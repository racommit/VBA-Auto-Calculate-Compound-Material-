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Book Hype AMD\Documents\PKL\MACRO\Simulasi test\"/>
    </mc:Choice>
  </mc:AlternateContent>
  <xr:revisionPtr revIDLastSave="0" documentId="13_ncr:1_{D01356EE-6E35-42BD-AA14-91EC11CDD93B}" xr6:coauthVersionLast="47" xr6:coauthVersionMax="47" xr10:uidLastSave="{00000000-0000-0000-0000-000000000000}"/>
  <bookViews>
    <workbookView xWindow="-108" yWindow="-108" windowWidth="23256" windowHeight="12456" tabRatio="723" activeTab="7" xr2:uid="{00000000-000D-0000-FFFF-FFFF00000000}"/>
  </bookViews>
  <sheets>
    <sheet name="XYZTU" sheetId="57" r:id="rId1"/>
    <sheet name="SPEC001" sheetId="1" r:id="rId2"/>
    <sheet name="SPEC002" sheetId="2" r:id="rId3"/>
    <sheet name="SPEC003" sheetId="3" r:id="rId4"/>
    <sheet name="SPEC004" sheetId="7" r:id="rId5"/>
    <sheet name="SPEC005" sheetId="218" r:id="rId6"/>
    <sheet name="RESUME" sheetId="8" r:id="rId7"/>
    <sheet name="CALCULATE" sheetId="58" r:id="rId8"/>
    <sheet name="CATEGORY SPESIFICATION" sheetId="9" r:id="rId9"/>
    <sheet name="HISTORY_UNDO" sheetId="60" r:id="rId10"/>
    <sheet name="SIMULATION_PROCESS" sheetId="85" r:id="rId11"/>
    <sheet name="RESUME (2)" sheetId="191" r:id="rId12"/>
    <sheet name="TEMP_SPEC005" sheetId="59" state="veryHidden" r:id="rId13"/>
    <sheet name="HISTORY_CHANGE" sheetId="200" r:id="rId14"/>
    <sheet name="Before Multiple_30900924" sheetId="231" r:id="rId15"/>
    <sheet name="Before Multiple_35891809" sheetId="232" r:id="rId16"/>
    <sheet name="Before Multiple_36576555" sheetId="233" r:id="rId17"/>
    <sheet name="Before Multiple_52354902" sheetId="240" r:id="rId18"/>
    <sheet name="Before Multiple_58886039" sheetId="241" r:id="rId19"/>
    <sheet name="Before Multiple_60119848" sheetId="242" r:id="rId20"/>
  </sheets>
  <functionGroups builtInGroupCount="19"/>
  <definedNames>
    <definedName name="_xlpm.col_match" hidden="1" xlm="1">#NAME?</definedName>
    <definedName name="_xlpm.headers" hidden="1" xlm="1">#NAME?</definedName>
    <definedName name="_xlpm.range" hidden="1" xlm="1">#NAME?</definedName>
    <definedName name="_xlpm.value" hidden="1" xlm="1">#NAME?</definedName>
    <definedName name="_xlnm.Print_Area" localSheetId="7">CALCULATE!$B$1:$K$38</definedName>
  </definedNames>
  <calcPr calcId="191029"/>
  <customWorkbookViews>
    <customWorkbookView name="App Layout" guid="{5C7B38D6-29D9-4C20-A92E-817BB499D35F}" maximized="1" xWindow="-9" yWindow="-9" windowWidth="1938" windowHeight="1038" activeSheetId="5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5" i="1" l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1" i="1"/>
  <c r="I180" i="1"/>
  <c r="I179" i="1"/>
  <c r="I178" i="1"/>
  <c r="I176" i="1"/>
  <c r="I175" i="1"/>
  <c r="I174" i="1"/>
  <c r="I173" i="1"/>
  <c r="I172" i="1"/>
  <c r="I171" i="1"/>
  <c r="I170" i="1"/>
  <c r="I168" i="1"/>
  <c r="I167" i="1"/>
  <c r="I166" i="1"/>
  <c r="I165" i="1"/>
  <c r="I164" i="1"/>
  <c r="I163" i="1"/>
  <c r="I162" i="1"/>
  <c r="I161" i="1"/>
  <c r="I160" i="1"/>
  <c r="I157" i="1"/>
  <c r="I156" i="1"/>
  <c r="I153" i="1"/>
  <c r="I147" i="1"/>
  <c r="I143" i="1"/>
  <c r="I142" i="1"/>
  <c r="I141" i="1"/>
  <c r="I140" i="1"/>
  <c r="I137" i="1"/>
  <c r="I136" i="1"/>
  <c r="I134" i="1"/>
  <c r="I133" i="1"/>
  <c r="I132" i="1"/>
  <c r="I131" i="1"/>
  <c r="I127" i="1"/>
  <c r="I126" i="1"/>
  <c r="I119" i="1"/>
  <c r="I118" i="1"/>
  <c r="I116" i="1"/>
  <c r="I115" i="1"/>
  <c r="I114" i="1"/>
  <c r="I113" i="1"/>
  <c r="I111" i="1"/>
  <c r="I109" i="1"/>
  <c r="I108" i="1"/>
  <c r="I104" i="1"/>
  <c r="I103" i="1"/>
  <c r="I102" i="1"/>
  <c r="I101" i="1"/>
  <c r="I98" i="1"/>
  <c r="I97" i="1"/>
  <c r="I96" i="1"/>
  <c r="I92" i="1"/>
  <c r="I91" i="1"/>
  <c r="I90" i="1"/>
  <c r="I89" i="1"/>
  <c r="I88" i="1"/>
  <c r="I86" i="1"/>
  <c r="I84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3" i="1"/>
  <c r="I32" i="1"/>
  <c r="I31" i="1"/>
  <c r="I30" i="1"/>
  <c r="I29" i="1"/>
  <c r="I28" i="1"/>
  <c r="I27" i="1"/>
  <c r="I26" i="1"/>
  <c r="I25" i="1"/>
  <c r="I24" i="1"/>
  <c r="I22" i="1"/>
  <c r="I21" i="1"/>
  <c r="I20" i="1"/>
  <c r="I19" i="1"/>
  <c r="I18" i="1"/>
  <c r="I14" i="1"/>
  <c r="I13" i="1"/>
  <c r="I12" i="1"/>
  <c r="I9" i="1"/>
  <c r="I8" i="1"/>
  <c r="I5" i="1"/>
  <c r="I3" i="1"/>
  <c r="I265" i="57"/>
  <c r="I264" i="57"/>
  <c r="I263" i="57"/>
  <c r="I262" i="57"/>
  <c r="I261" i="57"/>
  <c r="I260" i="57"/>
  <c r="I259" i="57"/>
  <c r="I258" i="57"/>
  <c r="I257" i="57"/>
  <c r="I256" i="57"/>
  <c r="I255" i="57"/>
  <c r="I254" i="57"/>
  <c r="I253" i="57"/>
  <c r="I252" i="57"/>
  <c r="I251" i="57"/>
  <c r="I250" i="57"/>
  <c r="I249" i="57"/>
  <c r="I248" i="57"/>
  <c r="I247" i="57"/>
  <c r="I246" i="57"/>
  <c r="I245" i="57"/>
  <c r="I244" i="57"/>
  <c r="I243" i="57"/>
  <c r="I242" i="57"/>
  <c r="I241" i="57"/>
  <c r="I240" i="57"/>
  <c r="I239" i="57"/>
  <c r="I238" i="57"/>
  <c r="I237" i="57"/>
  <c r="I236" i="57"/>
  <c r="I235" i="57"/>
  <c r="I234" i="57"/>
  <c r="I233" i="57"/>
  <c r="I232" i="57"/>
  <c r="I231" i="57"/>
  <c r="I230" i="57"/>
  <c r="I229" i="57"/>
  <c r="I228" i="57"/>
  <c r="I227" i="57"/>
  <c r="I226" i="57"/>
  <c r="I225" i="57"/>
  <c r="I224" i="57"/>
  <c r="I223" i="57"/>
  <c r="I222" i="57"/>
  <c r="I221" i="57"/>
  <c r="I220" i="57"/>
  <c r="I219" i="57"/>
  <c r="I218" i="57"/>
  <c r="I217" i="57"/>
  <c r="I216" i="57"/>
  <c r="I215" i="57"/>
  <c r="I214" i="57"/>
  <c r="I213" i="57"/>
  <c r="I212" i="57"/>
  <c r="I211" i="57"/>
  <c r="I210" i="57"/>
  <c r="I209" i="57"/>
  <c r="I208" i="57"/>
  <c r="I207" i="57"/>
  <c r="I206" i="57"/>
  <c r="I205" i="57"/>
  <c r="I204" i="57"/>
  <c r="I203" i="57"/>
  <c r="I202" i="57"/>
  <c r="I201" i="57"/>
  <c r="I200" i="57"/>
  <c r="I199" i="57"/>
  <c r="I198" i="57"/>
  <c r="I197" i="57"/>
  <c r="I196" i="57"/>
  <c r="I195" i="57"/>
  <c r="I194" i="57"/>
  <c r="I193" i="57"/>
  <c r="I192" i="57"/>
  <c r="I191" i="57"/>
  <c r="I190" i="57"/>
  <c r="I189" i="57"/>
  <c r="I188" i="57"/>
  <c r="I187" i="57"/>
  <c r="I186" i="57"/>
  <c r="I185" i="57"/>
  <c r="I184" i="57"/>
  <c r="I183" i="57"/>
  <c r="I181" i="57"/>
  <c r="I180" i="57"/>
  <c r="I179" i="57"/>
  <c r="I178" i="57"/>
  <c r="I177" i="57"/>
  <c r="I175" i="57"/>
  <c r="I174" i="57"/>
  <c r="I173" i="57"/>
  <c r="I172" i="57"/>
  <c r="I171" i="57"/>
  <c r="I169" i="57"/>
  <c r="I168" i="57"/>
  <c r="I166" i="57"/>
  <c r="I165" i="57"/>
  <c r="I164" i="57"/>
  <c r="I163" i="57"/>
  <c r="I162" i="57"/>
  <c r="I161" i="57"/>
  <c r="I160" i="57"/>
  <c r="I158" i="57"/>
  <c r="I157" i="57"/>
  <c r="I153" i="57"/>
  <c r="I147" i="57"/>
  <c r="I146" i="57"/>
  <c r="I145" i="57"/>
  <c r="I144" i="57"/>
  <c r="I143" i="57"/>
  <c r="I142" i="57"/>
  <c r="I141" i="57"/>
  <c r="I140" i="57"/>
  <c r="I137" i="57"/>
  <c r="I136" i="57"/>
  <c r="I134" i="57"/>
  <c r="I133" i="57"/>
  <c r="I132" i="57"/>
  <c r="I131" i="57"/>
  <c r="I127" i="57"/>
  <c r="I126" i="57"/>
  <c r="I125" i="57"/>
  <c r="I121" i="57"/>
  <c r="I119" i="57"/>
  <c r="I118" i="57"/>
  <c r="I116" i="57"/>
  <c r="I115" i="57"/>
  <c r="I114" i="57"/>
  <c r="I113" i="57"/>
  <c r="I111" i="57"/>
  <c r="I109" i="57"/>
  <c r="I108" i="57"/>
  <c r="I104" i="57"/>
  <c r="I103" i="57"/>
  <c r="I102" i="57"/>
  <c r="I101" i="57"/>
  <c r="I98" i="57"/>
  <c r="I97" i="57"/>
  <c r="I96" i="57"/>
  <c r="I92" i="57"/>
  <c r="I91" i="57"/>
  <c r="I90" i="57"/>
  <c r="I89" i="57"/>
  <c r="I88" i="57"/>
  <c r="I87" i="57"/>
  <c r="I86" i="57"/>
  <c r="I85" i="57"/>
  <c r="I84" i="57"/>
  <c r="I82" i="57"/>
  <c r="I76" i="57"/>
  <c r="I75" i="57"/>
  <c r="I74" i="57"/>
  <c r="I73" i="57"/>
  <c r="I72" i="57"/>
  <c r="I71" i="57"/>
  <c r="I70" i="57"/>
  <c r="I69" i="57"/>
  <c r="I68" i="57"/>
  <c r="I67" i="57"/>
  <c r="I66" i="57"/>
  <c r="I65" i="57"/>
  <c r="I64" i="57"/>
  <c r="I63" i="57"/>
  <c r="I62" i="57"/>
  <c r="I61" i="57"/>
  <c r="I60" i="57"/>
  <c r="I59" i="57"/>
  <c r="I58" i="57"/>
  <c r="I57" i="57"/>
  <c r="I56" i="57"/>
  <c r="I55" i="57"/>
  <c r="I54" i="57"/>
  <c r="I53" i="57"/>
  <c r="I52" i="57"/>
  <c r="I51" i="57"/>
  <c r="I50" i="57"/>
  <c r="I49" i="57"/>
  <c r="I48" i="57"/>
  <c r="I47" i="57"/>
  <c r="I46" i="57"/>
  <c r="I45" i="57"/>
  <c r="I44" i="57"/>
  <c r="I43" i="57"/>
  <c r="I42" i="57"/>
  <c r="I41" i="57"/>
  <c r="I40" i="57"/>
  <c r="I39" i="57"/>
  <c r="I33" i="57"/>
  <c r="I32" i="57"/>
  <c r="I31" i="57"/>
  <c r="I30" i="57"/>
  <c r="I29" i="57"/>
  <c r="I28" i="57"/>
  <c r="I27" i="57"/>
  <c r="I26" i="57"/>
  <c r="I25" i="57"/>
  <c r="I24" i="57"/>
  <c r="I22" i="57"/>
  <c r="I21" i="57"/>
  <c r="I20" i="57"/>
  <c r="I19" i="57"/>
  <c r="I18" i="57"/>
  <c r="I17" i="57"/>
  <c r="I16" i="57"/>
  <c r="I14" i="57"/>
  <c r="I13" i="57"/>
  <c r="I9" i="57"/>
  <c r="I8" i="57"/>
  <c r="I5" i="57"/>
  <c r="I3" i="57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1" i="2"/>
  <c r="I180" i="2"/>
  <c r="I179" i="2"/>
  <c r="I178" i="2"/>
  <c r="I176" i="2"/>
  <c r="I175" i="2"/>
  <c r="I174" i="2"/>
  <c r="I173" i="2"/>
  <c r="I172" i="2"/>
  <c r="I171" i="2"/>
  <c r="I170" i="2"/>
  <c r="I168" i="2"/>
  <c r="I167" i="2"/>
  <c r="I166" i="2"/>
  <c r="I165" i="2"/>
  <c r="I164" i="2"/>
  <c r="I163" i="2"/>
  <c r="I162" i="2"/>
  <c r="I161" i="2"/>
  <c r="I160" i="2"/>
  <c r="I157" i="2"/>
  <c r="I153" i="2"/>
  <c r="I147" i="2"/>
  <c r="I143" i="2"/>
  <c r="I142" i="2"/>
  <c r="I141" i="2"/>
  <c r="I140" i="2"/>
  <c r="I138" i="2"/>
  <c r="I137" i="2"/>
  <c r="I136" i="2"/>
  <c r="I134" i="2"/>
  <c r="I133" i="2"/>
  <c r="I132" i="2"/>
  <c r="I131" i="2"/>
  <c r="I127" i="2"/>
  <c r="I126" i="2"/>
  <c r="I119" i="2"/>
  <c r="I118" i="2"/>
  <c r="I116" i="2"/>
  <c r="I115" i="2"/>
  <c r="I114" i="2"/>
  <c r="I113" i="2"/>
  <c r="I111" i="2"/>
  <c r="I109" i="2"/>
  <c r="I108" i="2"/>
  <c r="I104" i="2"/>
  <c r="I103" i="2"/>
  <c r="I102" i="2"/>
  <c r="I101" i="2"/>
  <c r="I98" i="2"/>
  <c r="I97" i="2"/>
  <c r="I96" i="2"/>
  <c r="I92" i="2"/>
  <c r="I91" i="2"/>
  <c r="I90" i="2"/>
  <c r="I89" i="2"/>
  <c r="I88" i="2"/>
  <c r="I86" i="2"/>
  <c r="I84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3" i="2"/>
  <c r="I32" i="2"/>
  <c r="I31" i="2"/>
  <c r="I30" i="2"/>
  <c r="I29" i="2"/>
  <c r="I28" i="2"/>
  <c r="I27" i="2"/>
  <c r="I26" i="2"/>
  <c r="I25" i="2"/>
  <c r="I24" i="2"/>
  <c r="I22" i="2"/>
  <c r="I21" i="2"/>
  <c r="I20" i="2"/>
  <c r="I19" i="2"/>
  <c r="I18" i="2"/>
  <c r="I14" i="2"/>
  <c r="I13" i="2"/>
  <c r="I12" i="2"/>
  <c r="I9" i="2"/>
  <c r="I8" i="2"/>
  <c r="I5" i="2"/>
  <c r="I3" i="2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1" i="3"/>
  <c r="I180" i="3"/>
  <c r="I179" i="3"/>
  <c r="I178" i="3"/>
  <c r="I177" i="3"/>
  <c r="I176" i="3"/>
  <c r="I174" i="3"/>
  <c r="I173" i="3"/>
  <c r="I172" i="3"/>
  <c r="I171" i="3"/>
  <c r="I170" i="3"/>
  <c r="I168" i="3"/>
  <c r="I166" i="3"/>
  <c r="I165" i="3"/>
  <c r="I164" i="3"/>
  <c r="I163" i="3"/>
  <c r="I162" i="3"/>
  <c r="I161" i="3"/>
  <c r="I160" i="3"/>
  <c r="I159" i="3"/>
  <c r="I158" i="3"/>
  <c r="I157" i="3"/>
  <c r="I153" i="3"/>
  <c r="I152" i="3"/>
  <c r="I151" i="3"/>
  <c r="I147" i="3"/>
  <c r="I146" i="3"/>
  <c r="I145" i="3"/>
  <c r="I144" i="3"/>
  <c r="I141" i="3"/>
  <c r="I140" i="3"/>
  <c r="I137" i="3"/>
  <c r="I136" i="3"/>
  <c r="I135" i="3"/>
  <c r="I134" i="3"/>
  <c r="I133" i="3"/>
  <c r="I132" i="3"/>
  <c r="I131" i="3"/>
  <c r="I127" i="3"/>
  <c r="I126" i="3"/>
  <c r="I125" i="3"/>
  <c r="I119" i="3"/>
  <c r="I118" i="3"/>
  <c r="I116" i="3"/>
  <c r="I115" i="3"/>
  <c r="I114" i="3"/>
  <c r="I113" i="3"/>
  <c r="I111" i="3"/>
  <c r="I109" i="3"/>
  <c r="I108" i="3"/>
  <c r="I104" i="3"/>
  <c r="I103" i="3"/>
  <c r="I102" i="3"/>
  <c r="I101" i="3"/>
  <c r="I98" i="3"/>
  <c r="I97" i="3"/>
  <c r="I96" i="3"/>
  <c r="I92" i="3"/>
  <c r="I91" i="3"/>
  <c r="I90" i="3"/>
  <c r="I89" i="3"/>
  <c r="I88" i="3"/>
  <c r="I87" i="3"/>
  <c r="I86" i="3"/>
  <c r="I84" i="3"/>
  <c r="I82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3" i="3"/>
  <c r="I32" i="3"/>
  <c r="I31" i="3"/>
  <c r="I30" i="3"/>
  <c r="I29" i="3"/>
  <c r="I28" i="3"/>
  <c r="I27" i="3"/>
  <c r="I26" i="3"/>
  <c r="I25" i="3"/>
  <c r="I24" i="3"/>
  <c r="I22" i="3"/>
  <c r="I21" i="3"/>
  <c r="I20" i="3"/>
  <c r="I19" i="3"/>
  <c r="I18" i="3"/>
  <c r="I17" i="3"/>
  <c r="I16" i="3"/>
  <c r="I14" i="3"/>
  <c r="I13" i="3"/>
  <c r="I9" i="3"/>
  <c r="I8" i="3"/>
  <c r="I5" i="3"/>
  <c r="I3" i="3"/>
  <c r="I265" i="7"/>
  <c r="I264" i="7"/>
  <c r="I263" i="7"/>
  <c r="I262" i="7"/>
  <c r="I261" i="7"/>
  <c r="I260" i="7"/>
  <c r="I259" i="7"/>
  <c r="I258" i="7"/>
  <c r="I257" i="7"/>
  <c r="I256" i="7"/>
  <c r="I255" i="7"/>
  <c r="I254" i="7"/>
  <c r="I253" i="7"/>
  <c r="I252" i="7"/>
  <c r="I251" i="7"/>
  <c r="I250" i="7"/>
  <c r="I249" i="7"/>
  <c r="I248" i="7"/>
  <c r="I247" i="7"/>
  <c r="I246" i="7"/>
  <c r="I245" i="7"/>
  <c r="I244" i="7"/>
  <c r="I243" i="7"/>
  <c r="I242" i="7"/>
  <c r="I241" i="7"/>
  <c r="I240" i="7"/>
  <c r="I239" i="7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22" i="7"/>
  <c r="I221" i="7"/>
  <c r="I220" i="7"/>
  <c r="I219" i="7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1" i="7"/>
  <c r="I180" i="7"/>
  <c r="I179" i="7"/>
  <c r="I178" i="7"/>
  <c r="I176" i="7"/>
  <c r="I175" i="7"/>
  <c r="I174" i="7"/>
  <c r="I173" i="7"/>
  <c r="I172" i="7"/>
  <c r="I171" i="7"/>
  <c r="I170" i="7"/>
  <c r="I168" i="7"/>
  <c r="I167" i="7"/>
  <c r="I166" i="7"/>
  <c r="I165" i="7"/>
  <c r="I164" i="7"/>
  <c r="I163" i="7"/>
  <c r="I162" i="7"/>
  <c r="I161" i="7"/>
  <c r="I160" i="7"/>
  <c r="I157" i="7"/>
  <c r="I156" i="7"/>
  <c r="I153" i="7"/>
  <c r="I147" i="7"/>
  <c r="I143" i="7"/>
  <c r="I142" i="7"/>
  <c r="I141" i="7"/>
  <c r="I140" i="7"/>
  <c r="I137" i="7"/>
  <c r="I136" i="7"/>
  <c r="I134" i="7"/>
  <c r="I133" i="7"/>
  <c r="I132" i="7"/>
  <c r="I131" i="7"/>
  <c r="I127" i="7"/>
  <c r="I126" i="7"/>
  <c r="I119" i="7"/>
  <c r="I118" i="7"/>
  <c r="I116" i="7"/>
  <c r="I115" i="7"/>
  <c r="I114" i="7"/>
  <c r="I113" i="7"/>
  <c r="I111" i="7"/>
  <c r="I109" i="7"/>
  <c r="I108" i="7"/>
  <c r="I104" i="7"/>
  <c r="I103" i="7"/>
  <c r="I102" i="7"/>
  <c r="I101" i="7"/>
  <c r="I98" i="7"/>
  <c r="I97" i="7"/>
  <c r="I96" i="7"/>
  <c r="I92" i="7"/>
  <c r="I91" i="7"/>
  <c r="I90" i="7"/>
  <c r="I89" i="7"/>
  <c r="I88" i="7"/>
  <c r="I86" i="7"/>
  <c r="I84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59" i="7"/>
  <c r="I58" i="7"/>
  <c r="I57" i="7"/>
  <c r="I56" i="7"/>
  <c r="I55" i="7"/>
  <c r="I54" i="7"/>
  <c r="I53" i="7"/>
  <c r="I52" i="7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3" i="7"/>
  <c r="I32" i="7"/>
  <c r="I31" i="7"/>
  <c r="I30" i="7"/>
  <c r="I29" i="7"/>
  <c r="I28" i="7"/>
  <c r="I27" i="7"/>
  <c r="I26" i="7"/>
  <c r="I25" i="7"/>
  <c r="I24" i="7"/>
  <c r="I22" i="7"/>
  <c r="I21" i="7"/>
  <c r="I20" i="7"/>
  <c r="I19" i="7"/>
  <c r="I18" i="7"/>
  <c r="I14" i="7"/>
  <c r="I13" i="7"/>
  <c r="I12" i="7"/>
  <c r="I9" i="7"/>
  <c r="I8" i="7"/>
  <c r="I5" i="7"/>
  <c r="I3" i="7"/>
  <c r="I265" i="218"/>
  <c r="I264" i="218"/>
  <c r="I263" i="218"/>
  <c r="I262" i="218"/>
  <c r="I261" i="218"/>
  <c r="I260" i="218"/>
  <c r="I259" i="218"/>
  <c r="I258" i="218"/>
  <c r="I257" i="218"/>
  <c r="I256" i="218"/>
  <c r="I255" i="218"/>
  <c r="I254" i="218"/>
  <c r="I253" i="218"/>
  <c r="I252" i="218"/>
  <c r="I251" i="218"/>
  <c r="I250" i="218"/>
  <c r="I249" i="218"/>
  <c r="I248" i="218"/>
  <c r="I247" i="218"/>
  <c r="I246" i="218"/>
  <c r="I245" i="218"/>
  <c r="I244" i="218"/>
  <c r="I243" i="218"/>
  <c r="I242" i="218"/>
  <c r="I241" i="218"/>
  <c r="I240" i="218"/>
  <c r="I239" i="218"/>
  <c r="I238" i="218"/>
  <c r="I237" i="218"/>
  <c r="I236" i="218"/>
  <c r="I235" i="218"/>
  <c r="I234" i="218"/>
  <c r="I233" i="218"/>
  <c r="I232" i="218"/>
  <c r="I231" i="218"/>
  <c r="I230" i="218"/>
  <c r="I229" i="218"/>
  <c r="I228" i="218"/>
  <c r="I227" i="218"/>
  <c r="I226" i="218"/>
  <c r="I225" i="218"/>
  <c r="I224" i="218"/>
  <c r="I223" i="218"/>
  <c r="I222" i="218"/>
  <c r="I221" i="218"/>
  <c r="I220" i="218"/>
  <c r="I219" i="218"/>
  <c r="I218" i="218"/>
  <c r="I217" i="218"/>
  <c r="I216" i="218"/>
  <c r="I215" i="218"/>
  <c r="I214" i="218"/>
  <c r="I213" i="218"/>
  <c r="I212" i="218"/>
  <c r="I211" i="218"/>
  <c r="I210" i="218"/>
  <c r="I209" i="218"/>
  <c r="I208" i="218"/>
  <c r="I207" i="218"/>
  <c r="I206" i="218"/>
  <c r="I205" i="218"/>
  <c r="I204" i="218"/>
  <c r="I203" i="218"/>
  <c r="I202" i="218"/>
  <c r="I201" i="218"/>
  <c r="I200" i="218"/>
  <c r="I199" i="218"/>
  <c r="I198" i="218"/>
  <c r="I197" i="218"/>
  <c r="I196" i="218"/>
  <c r="I195" i="218"/>
  <c r="I194" i="218"/>
  <c r="I193" i="218"/>
  <c r="I192" i="218"/>
  <c r="I191" i="218"/>
  <c r="I190" i="218"/>
  <c r="I189" i="218"/>
  <c r="I188" i="218"/>
  <c r="I187" i="218"/>
  <c r="I186" i="218"/>
  <c r="I185" i="218"/>
  <c r="I184" i="218"/>
  <c r="I183" i="218"/>
  <c r="I181" i="218"/>
  <c r="I180" i="218"/>
  <c r="I179" i="218"/>
  <c r="I178" i="218"/>
  <c r="I176" i="218"/>
  <c r="I175" i="218"/>
  <c r="I174" i="218"/>
  <c r="I173" i="218"/>
  <c r="I172" i="218"/>
  <c r="I171" i="218"/>
  <c r="I170" i="218"/>
  <c r="I168" i="218"/>
  <c r="I167" i="218"/>
  <c r="I166" i="218"/>
  <c r="I165" i="218"/>
  <c r="I164" i="218"/>
  <c r="I163" i="218"/>
  <c r="I162" i="218"/>
  <c r="I161" i="218"/>
  <c r="I160" i="218"/>
  <c r="I157" i="218"/>
  <c r="I156" i="218"/>
  <c r="I153" i="218"/>
  <c r="I147" i="218"/>
  <c r="I143" i="218"/>
  <c r="I142" i="218"/>
  <c r="I141" i="218"/>
  <c r="I140" i="218"/>
  <c r="I137" i="218"/>
  <c r="I136" i="218"/>
  <c r="I134" i="218"/>
  <c r="I133" i="218"/>
  <c r="I132" i="218"/>
  <c r="I131" i="218"/>
  <c r="I127" i="218"/>
  <c r="I126" i="218"/>
  <c r="I119" i="218"/>
  <c r="I118" i="218"/>
  <c r="I116" i="218"/>
  <c r="I115" i="218"/>
  <c r="I114" i="218"/>
  <c r="I113" i="218"/>
  <c r="I111" i="218"/>
  <c r="I109" i="218"/>
  <c r="I108" i="218"/>
  <c r="I104" i="218"/>
  <c r="I103" i="218"/>
  <c r="I102" i="218"/>
  <c r="I101" i="218"/>
  <c r="I98" i="218"/>
  <c r="I97" i="218"/>
  <c r="I96" i="218"/>
  <c r="I92" i="218"/>
  <c r="I91" i="218"/>
  <c r="I90" i="218"/>
  <c r="I89" i="218"/>
  <c r="I88" i="218"/>
  <c r="I86" i="218"/>
  <c r="I84" i="218"/>
  <c r="I76" i="218"/>
  <c r="I75" i="218"/>
  <c r="I74" i="218"/>
  <c r="I73" i="218"/>
  <c r="I72" i="218"/>
  <c r="I71" i="218"/>
  <c r="I70" i="218"/>
  <c r="I69" i="218"/>
  <c r="I68" i="218"/>
  <c r="I67" i="218"/>
  <c r="I66" i="218"/>
  <c r="I65" i="218"/>
  <c r="I64" i="218"/>
  <c r="I63" i="218"/>
  <c r="I62" i="218"/>
  <c r="I61" i="218"/>
  <c r="I60" i="218"/>
  <c r="I59" i="218"/>
  <c r="I58" i="218"/>
  <c r="I57" i="218"/>
  <c r="I56" i="218"/>
  <c r="I55" i="218"/>
  <c r="I54" i="218"/>
  <c r="I53" i="218"/>
  <c r="I52" i="218"/>
  <c r="I51" i="218"/>
  <c r="I50" i="218"/>
  <c r="I49" i="218"/>
  <c r="I48" i="218"/>
  <c r="I47" i="218"/>
  <c r="I46" i="218"/>
  <c r="I45" i="218"/>
  <c r="I44" i="218"/>
  <c r="I43" i="218"/>
  <c r="I42" i="218"/>
  <c r="I41" i="218"/>
  <c r="I40" i="218"/>
  <c r="I39" i="218"/>
  <c r="I33" i="218"/>
  <c r="I32" i="218"/>
  <c r="I31" i="218"/>
  <c r="I30" i="218"/>
  <c r="I29" i="218"/>
  <c r="I28" i="218"/>
  <c r="I27" i="218"/>
  <c r="I26" i="218"/>
  <c r="I25" i="218"/>
  <c r="I24" i="218"/>
  <c r="I22" i="218"/>
  <c r="I21" i="218"/>
  <c r="I20" i="218"/>
  <c r="I19" i="218"/>
  <c r="I18" i="218"/>
  <c r="I14" i="218"/>
  <c r="I13" i="218"/>
  <c r="I12" i="218"/>
  <c r="I9" i="218"/>
  <c r="I8" i="218"/>
  <c r="I5" i="218"/>
  <c r="I3" i="218"/>
  <c r="U3" i="218"/>
  <c r="U5" i="218"/>
  <c r="U8" i="218"/>
  <c r="U9" i="218"/>
  <c r="U12" i="218"/>
  <c r="U13" i="218"/>
  <c r="U14" i="218"/>
  <c r="U18" i="218"/>
  <c r="U19" i="218"/>
  <c r="U20" i="218"/>
  <c r="U21" i="218"/>
  <c r="U22" i="218"/>
  <c r="U24" i="218"/>
  <c r="U25" i="218"/>
  <c r="U26" i="218"/>
  <c r="U27" i="218"/>
  <c r="U28" i="218"/>
  <c r="U29" i="218"/>
  <c r="U30" i="218"/>
  <c r="U31" i="218"/>
  <c r="U32" i="218"/>
  <c r="U33" i="218"/>
  <c r="U41" i="218"/>
  <c r="U42" i="218"/>
  <c r="U43" i="218"/>
  <c r="U44" i="218"/>
  <c r="U45" i="218"/>
  <c r="U46" i="218"/>
  <c r="U47" i="218"/>
  <c r="U48" i="218"/>
  <c r="U49" i="218"/>
  <c r="U50" i="218"/>
  <c r="U51" i="218"/>
  <c r="U52" i="218"/>
  <c r="U53" i="218"/>
  <c r="U54" i="218"/>
  <c r="U55" i="218"/>
  <c r="U56" i="218"/>
  <c r="U57" i="218"/>
  <c r="U58" i="218"/>
  <c r="U59" i="218"/>
  <c r="U60" i="218"/>
  <c r="U61" i="218"/>
  <c r="U62" i="218"/>
  <c r="U63" i="218"/>
  <c r="U64" i="218"/>
  <c r="U65" i="218"/>
  <c r="U66" i="218"/>
  <c r="U67" i="218"/>
  <c r="U68" i="218"/>
  <c r="U69" i="218"/>
  <c r="U70" i="218"/>
  <c r="U71" i="218"/>
  <c r="U72" i="218"/>
  <c r="U73" i="218"/>
  <c r="U74" i="218"/>
  <c r="U75" i="218"/>
  <c r="U76" i="218"/>
  <c r="U77" i="218"/>
  <c r="U78" i="218"/>
  <c r="U86" i="218"/>
  <c r="U88" i="218"/>
  <c r="U90" i="218"/>
  <c r="U91" i="218"/>
  <c r="U92" i="218"/>
  <c r="U94" i="218"/>
  <c r="U95" i="218"/>
  <c r="U98" i="218"/>
  <c r="U99" i="218"/>
  <c r="U100" i="218"/>
  <c r="U103" i="218"/>
  <c r="U104" i="218"/>
  <c r="U105" i="218"/>
  <c r="U106" i="218"/>
  <c r="U111" i="218"/>
  <c r="U112" i="218"/>
  <c r="U113" i="218"/>
  <c r="U115" i="218"/>
  <c r="U116" i="218"/>
  <c r="U117" i="218"/>
  <c r="U118" i="218"/>
  <c r="U120" i="218"/>
  <c r="U121" i="218"/>
  <c r="U128" i="218"/>
  <c r="U129" i="218"/>
  <c r="U133" i="218"/>
  <c r="U134" i="218"/>
  <c r="U135" i="218"/>
  <c r="U136" i="218"/>
  <c r="U138" i="218"/>
  <c r="U139" i="218"/>
  <c r="U142" i="218"/>
  <c r="U143" i="218"/>
  <c r="U144" i="218"/>
  <c r="U145" i="218"/>
  <c r="U149" i="218"/>
  <c r="U155" i="218"/>
  <c r="U158" i="218"/>
  <c r="U159" i="218"/>
  <c r="U162" i="218"/>
  <c r="U163" i="218"/>
  <c r="U164" i="218"/>
  <c r="U165" i="218"/>
  <c r="U166" i="218"/>
  <c r="U167" i="218"/>
  <c r="U168" i="218"/>
  <c r="U170" i="218"/>
  <c r="U172" i="218"/>
  <c r="U173" i="218"/>
  <c r="U174" i="218"/>
  <c r="U175" i="218"/>
  <c r="U176" i="218"/>
  <c r="U177" i="218"/>
  <c r="U178" i="218"/>
  <c r="U180" i="218"/>
  <c r="U181" i="218"/>
  <c r="U182" i="218"/>
  <c r="U183" i="218"/>
  <c r="U185" i="218"/>
  <c r="U186" i="218"/>
  <c r="U187" i="218"/>
  <c r="U188" i="218"/>
  <c r="U189" i="218"/>
  <c r="U190" i="218"/>
  <c r="U191" i="218"/>
  <c r="U192" i="218"/>
  <c r="U193" i="218"/>
  <c r="U194" i="218"/>
  <c r="U195" i="218"/>
  <c r="U196" i="218"/>
  <c r="U197" i="218"/>
  <c r="U198" i="218"/>
  <c r="U199" i="218"/>
  <c r="U200" i="218"/>
  <c r="U201" i="218"/>
  <c r="U202" i="218"/>
  <c r="U203" i="218"/>
  <c r="U204" i="218"/>
  <c r="U205" i="218"/>
  <c r="U206" i="218"/>
  <c r="U207" i="218"/>
  <c r="U208" i="218"/>
  <c r="U209" i="218"/>
  <c r="U210" i="218"/>
  <c r="U211" i="218"/>
  <c r="U212" i="218"/>
  <c r="U213" i="218"/>
  <c r="U214" i="218"/>
  <c r="U215" i="218"/>
  <c r="U216" i="218"/>
  <c r="U217" i="218"/>
  <c r="U218" i="218"/>
  <c r="U219" i="218"/>
  <c r="U220" i="218"/>
  <c r="U221" i="218"/>
  <c r="U222" i="218"/>
  <c r="U223" i="218"/>
  <c r="U224" i="218"/>
  <c r="U225" i="218"/>
  <c r="U226" i="218"/>
  <c r="U227" i="218"/>
  <c r="U228" i="218"/>
  <c r="U229" i="218"/>
  <c r="U230" i="218"/>
  <c r="U231" i="218"/>
  <c r="U232" i="218"/>
  <c r="U233" i="218"/>
  <c r="U234" i="218"/>
  <c r="U235" i="218"/>
  <c r="U236" i="218"/>
  <c r="U237" i="218"/>
  <c r="U238" i="218"/>
  <c r="U239" i="218"/>
  <c r="U240" i="218"/>
  <c r="U241" i="218"/>
  <c r="U242" i="218"/>
  <c r="U243" i="218"/>
  <c r="U244" i="218"/>
  <c r="U245" i="218"/>
  <c r="U246" i="218"/>
  <c r="U247" i="218"/>
  <c r="U248" i="218"/>
  <c r="U249" i="218"/>
  <c r="U250" i="218"/>
  <c r="U251" i="218"/>
  <c r="U252" i="218"/>
  <c r="U253" i="218"/>
  <c r="U254" i="218"/>
  <c r="U255" i="218"/>
  <c r="U256" i="218"/>
  <c r="U257" i="218"/>
  <c r="U258" i="218"/>
  <c r="U259" i="218"/>
  <c r="U260" i="218"/>
  <c r="U261" i="218"/>
  <c r="U262" i="218"/>
  <c r="U263" i="218"/>
  <c r="U264" i="218"/>
  <c r="U265" i="218"/>
  <c r="U266" i="218"/>
  <c r="U267" i="218"/>
  <c r="C21" i="8"/>
  <c r="I21" i="8"/>
  <c r="D66" i="3"/>
  <c r="F66" i="3" s="1"/>
  <c r="D65" i="218"/>
  <c r="F69" i="3"/>
  <c r="F68" i="3"/>
  <c r="L173" i="218"/>
  <c r="F68" i="218"/>
  <c r="F67" i="218"/>
  <c r="E64" i="218"/>
  <c r="F64" i="218" s="1"/>
  <c r="F63" i="218"/>
  <c r="E63" i="218"/>
  <c r="F62" i="218"/>
  <c r="E62" i="218"/>
  <c r="F60" i="218"/>
  <c r="E60" i="218"/>
  <c r="F59" i="218"/>
  <c r="E59" i="218"/>
  <c r="F58" i="218"/>
  <c r="E58" i="218"/>
  <c r="F57" i="218"/>
  <c r="E57" i="218"/>
  <c r="E56" i="218"/>
  <c r="F56" i="218" s="1"/>
  <c r="I169" i="218" s="1"/>
  <c r="E55" i="218"/>
  <c r="F55" i="218" s="1"/>
  <c r="U184" i="218" s="1"/>
  <c r="E54" i="218"/>
  <c r="F54" i="218" s="1"/>
  <c r="I177" i="218" s="1"/>
  <c r="E53" i="218"/>
  <c r="F53" i="218" s="1"/>
  <c r="I144" i="218" s="1"/>
  <c r="E52" i="218"/>
  <c r="F52" i="218" s="1"/>
  <c r="I82" i="218" s="1"/>
  <c r="E51" i="218"/>
  <c r="F51" i="218" s="1"/>
  <c r="U127" i="218" s="1"/>
  <c r="E50" i="218"/>
  <c r="F50" i="218" s="1"/>
  <c r="E49" i="218"/>
  <c r="F49" i="218" s="1"/>
  <c r="I17" i="218" s="1"/>
  <c r="E48" i="218"/>
  <c r="F48" i="218" s="1"/>
  <c r="E47" i="218"/>
  <c r="F47" i="218" s="1"/>
  <c r="U148" i="218" s="1"/>
  <c r="E46" i="218"/>
  <c r="F46" i="218" s="1"/>
  <c r="I145" i="218" s="1"/>
  <c r="E45" i="218"/>
  <c r="F45" i="218" s="1"/>
  <c r="I87" i="218" s="1"/>
  <c r="E44" i="218"/>
  <c r="F44" i="218" s="1"/>
  <c r="I81" i="218" s="1"/>
  <c r="E43" i="218"/>
  <c r="F43" i="218" s="1"/>
  <c r="E42" i="218"/>
  <c r="F42" i="218" s="1"/>
  <c r="I121" i="218" s="1"/>
  <c r="E41" i="218"/>
  <c r="F41" i="218" s="1"/>
  <c r="I120" i="218" s="1"/>
  <c r="Q78" i="218"/>
  <c r="P78" i="218"/>
  <c r="E40" i="218"/>
  <c r="F40" i="218" s="1"/>
  <c r="U161" i="218" s="1"/>
  <c r="F77" i="218"/>
  <c r="E77" i="218"/>
  <c r="F76" i="218"/>
  <c r="E76" i="218"/>
  <c r="F75" i="218"/>
  <c r="E75" i="218"/>
  <c r="F74" i="218"/>
  <c r="E74" i="218"/>
  <c r="F73" i="218"/>
  <c r="E73" i="218"/>
  <c r="F72" i="218"/>
  <c r="E72" i="218"/>
  <c r="F71" i="218"/>
  <c r="E71" i="218"/>
  <c r="E33" i="218"/>
  <c r="F33" i="218" s="1"/>
  <c r="U160" i="218" s="1"/>
  <c r="E32" i="218"/>
  <c r="F32" i="218" s="1"/>
  <c r="U137" i="218" s="1"/>
  <c r="E31" i="218"/>
  <c r="F31" i="218" s="1"/>
  <c r="U125" i="218" s="1"/>
  <c r="E30" i="218"/>
  <c r="F30" i="218" s="1"/>
  <c r="U4" i="218" s="1"/>
  <c r="E29" i="218"/>
  <c r="F29" i="218" s="1"/>
  <c r="I155" i="218" s="1"/>
  <c r="E28" i="218"/>
  <c r="F28" i="218" s="1"/>
  <c r="E27" i="218"/>
  <c r="F27" i="218" s="1"/>
  <c r="U152" i="218" s="1"/>
  <c r="E26" i="218"/>
  <c r="F26" i="218" s="1"/>
  <c r="U151" i="218" s="1"/>
  <c r="E25" i="218"/>
  <c r="F25" i="218" s="1"/>
  <c r="I148" i="218" s="1"/>
  <c r="E24" i="218"/>
  <c r="F24" i="218" s="1"/>
  <c r="E22" i="218"/>
  <c r="F22" i="218" s="1"/>
  <c r="E21" i="218"/>
  <c r="F21" i="218" s="1"/>
  <c r="I130" i="218" s="1"/>
  <c r="E20" i="218"/>
  <c r="F20" i="218" s="1"/>
  <c r="E19" i="218"/>
  <c r="F19" i="218" s="1"/>
  <c r="I11" i="218" s="1"/>
  <c r="E18" i="218"/>
  <c r="F18" i="218" s="1"/>
  <c r="I151" i="218" s="1"/>
  <c r="E17" i="218"/>
  <c r="F17" i="218" s="1"/>
  <c r="I139" i="218" s="1"/>
  <c r="E16" i="218"/>
  <c r="F16" i="218" s="1"/>
  <c r="I129" i="218" s="1"/>
  <c r="E15" i="218"/>
  <c r="F15" i="218" s="1"/>
  <c r="I128" i="218" s="1"/>
  <c r="E14" i="218"/>
  <c r="F14" i="218" s="1"/>
  <c r="I124" i="218" s="1"/>
  <c r="E13" i="218"/>
  <c r="F13" i="218" s="1"/>
  <c r="E12" i="218"/>
  <c r="F12" i="218" s="1"/>
  <c r="U156" i="218" s="1"/>
  <c r="E11" i="218"/>
  <c r="F11" i="218" s="1"/>
  <c r="I152" i="218" s="1"/>
  <c r="E10" i="218"/>
  <c r="F10" i="218" s="1"/>
  <c r="E9" i="218"/>
  <c r="F9" i="218" s="1"/>
  <c r="U10" i="218" s="1"/>
  <c r="E8" i="218"/>
  <c r="F8" i="218" s="1"/>
  <c r="I85" i="218" s="1"/>
  <c r="E7" i="218"/>
  <c r="F7" i="218" s="1"/>
  <c r="U82" i="218" s="1"/>
  <c r="E6" i="218"/>
  <c r="F6" i="218" s="1"/>
  <c r="U140" i="218" s="1"/>
  <c r="E5" i="218"/>
  <c r="F5" i="218" s="1"/>
  <c r="U124" i="218" s="1"/>
  <c r="E4" i="218"/>
  <c r="F4" i="218" s="1"/>
  <c r="E3" i="218"/>
  <c r="F3" i="218" s="1"/>
  <c r="E29" i="85"/>
  <c r="F21" i="8"/>
  <c r="H21" i="8"/>
  <c r="G21" i="8"/>
  <c r="L173" i="7"/>
  <c r="F68" i="7"/>
  <c r="F67" i="7"/>
  <c r="D65" i="7"/>
  <c r="F65" i="7" s="1"/>
  <c r="E64" i="7"/>
  <c r="F64" i="7" s="1"/>
  <c r="F63" i="7"/>
  <c r="E63" i="7"/>
  <c r="F62" i="7"/>
  <c r="E62" i="7"/>
  <c r="F60" i="7"/>
  <c r="E60" i="7"/>
  <c r="F59" i="7"/>
  <c r="E59" i="7"/>
  <c r="F58" i="7"/>
  <c r="E58" i="7"/>
  <c r="F57" i="7"/>
  <c r="E57" i="7"/>
  <c r="E56" i="7"/>
  <c r="F56" i="7" s="1"/>
  <c r="I169" i="7" s="1"/>
  <c r="E55" i="7"/>
  <c r="F55" i="7" s="1"/>
  <c r="I182" i="7" s="1"/>
  <c r="E54" i="7"/>
  <c r="F54" i="7" s="1"/>
  <c r="I177" i="7" s="1"/>
  <c r="E53" i="7"/>
  <c r="F53" i="7" s="1"/>
  <c r="I144" i="7" s="1"/>
  <c r="E52" i="7"/>
  <c r="F52" i="7" s="1"/>
  <c r="I82" i="7" s="1"/>
  <c r="E51" i="7"/>
  <c r="F51" i="7" s="1"/>
  <c r="I125" i="7" s="1"/>
  <c r="E50" i="7"/>
  <c r="F50" i="7" s="1"/>
  <c r="E49" i="7"/>
  <c r="F49" i="7" s="1"/>
  <c r="I17" i="7" s="1"/>
  <c r="E48" i="7"/>
  <c r="F48" i="7" s="1"/>
  <c r="E47" i="7"/>
  <c r="F47" i="7" s="1"/>
  <c r="I146" i="7" s="1"/>
  <c r="E46" i="7"/>
  <c r="F46" i="7" s="1"/>
  <c r="I145" i="7" s="1"/>
  <c r="E45" i="7"/>
  <c r="F45" i="7" s="1"/>
  <c r="I87" i="7" s="1"/>
  <c r="L82" i="7"/>
  <c r="E44" i="7"/>
  <c r="F44" i="7" s="1"/>
  <c r="I81" i="7" s="1"/>
  <c r="E43" i="7"/>
  <c r="F43" i="7" s="1"/>
  <c r="E42" i="7"/>
  <c r="F42" i="7" s="1"/>
  <c r="I121" i="7" s="1"/>
  <c r="E41" i="7"/>
  <c r="F41" i="7" s="1"/>
  <c r="I120" i="7" s="1"/>
  <c r="Q78" i="7"/>
  <c r="P78" i="7"/>
  <c r="E40" i="7"/>
  <c r="F40" i="7" s="1"/>
  <c r="I159" i="7" s="1"/>
  <c r="F77" i="7"/>
  <c r="E77" i="7"/>
  <c r="F76" i="7"/>
  <c r="E76" i="7"/>
  <c r="F75" i="7"/>
  <c r="E75" i="7"/>
  <c r="F74" i="7"/>
  <c r="E74" i="7"/>
  <c r="F73" i="7"/>
  <c r="E73" i="7"/>
  <c r="F72" i="7"/>
  <c r="E72" i="7"/>
  <c r="F71" i="7"/>
  <c r="E71" i="7"/>
  <c r="E33" i="7"/>
  <c r="F33" i="7" s="1"/>
  <c r="I158" i="7" s="1"/>
  <c r="E32" i="7"/>
  <c r="F32" i="7" s="1"/>
  <c r="I135" i="7" s="1"/>
  <c r="E31" i="7"/>
  <c r="F31" i="7" s="1"/>
  <c r="I123" i="7" s="1"/>
  <c r="E30" i="7"/>
  <c r="F30" i="7" s="1"/>
  <c r="I4" i="7" s="1"/>
  <c r="E29" i="7"/>
  <c r="F29" i="7" s="1"/>
  <c r="I155" i="7" s="1"/>
  <c r="E28" i="7"/>
  <c r="F28" i="7" s="1"/>
  <c r="E27" i="7"/>
  <c r="F27" i="7" s="1"/>
  <c r="I150" i="7" s="1"/>
  <c r="E26" i="7"/>
  <c r="F26" i="7" s="1"/>
  <c r="I149" i="7" s="1"/>
  <c r="E25" i="7"/>
  <c r="F25" i="7" s="1"/>
  <c r="I148" i="7" s="1"/>
  <c r="E24" i="7"/>
  <c r="F24" i="7" s="1"/>
  <c r="E22" i="7"/>
  <c r="F22" i="7" s="1"/>
  <c r="E21" i="7"/>
  <c r="F21" i="7" s="1"/>
  <c r="I130" i="7" s="1"/>
  <c r="E20" i="7"/>
  <c r="F20" i="7" s="1"/>
  <c r="E19" i="7"/>
  <c r="F19" i="7" s="1"/>
  <c r="I11" i="7" s="1"/>
  <c r="E18" i="7"/>
  <c r="F18" i="7" s="1"/>
  <c r="I151" i="7" s="1"/>
  <c r="E17" i="7"/>
  <c r="F17" i="7" s="1"/>
  <c r="I139" i="7" s="1"/>
  <c r="E16" i="7"/>
  <c r="F16" i="7" s="1"/>
  <c r="I129" i="7" s="1"/>
  <c r="E15" i="7"/>
  <c r="F15" i="7" s="1"/>
  <c r="I128" i="7" s="1"/>
  <c r="E14" i="7"/>
  <c r="F14" i="7" s="1"/>
  <c r="I124" i="7" s="1"/>
  <c r="E13" i="7"/>
  <c r="F13" i="7" s="1"/>
  <c r="E12" i="7"/>
  <c r="F12" i="7" s="1"/>
  <c r="I154" i="7" s="1"/>
  <c r="E11" i="7"/>
  <c r="F11" i="7" s="1"/>
  <c r="I152" i="7" s="1"/>
  <c r="E10" i="7"/>
  <c r="F10" i="7" s="1"/>
  <c r="E9" i="7"/>
  <c r="F9" i="7" s="1"/>
  <c r="E8" i="7"/>
  <c r="F8" i="7" s="1"/>
  <c r="I85" i="7" s="1"/>
  <c r="E7" i="7"/>
  <c r="F7" i="7" s="1"/>
  <c r="I80" i="7" s="1"/>
  <c r="E6" i="7"/>
  <c r="F6" i="7" s="1"/>
  <c r="I138" i="7" s="1"/>
  <c r="E5" i="7"/>
  <c r="F5" i="7" s="1"/>
  <c r="I122" i="7" s="1"/>
  <c r="E4" i="7"/>
  <c r="F4" i="7" s="1"/>
  <c r="E3" i="7"/>
  <c r="F3" i="7" s="1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E43" i="3"/>
  <c r="F43" i="3" s="1"/>
  <c r="Q75" i="3"/>
  <c r="P75" i="3"/>
  <c r="F74" i="3"/>
  <c r="F73" i="3"/>
  <c r="F72" i="3"/>
  <c r="F71" i="3"/>
  <c r="F70" i="3"/>
  <c r="F68" i="2"/>
  <c r="F67" i="2"/>
  <c r="D65" i="2"/>
  <c r="F65" i="2" s="1"/>
  <c r="E64" i="2"/>
  <c r="F64" i="2" s="1"/>
  <c r="F63" i="2"/>
  <c r="E63" i="2"/>
  <c r="F61" i="2"/>
  <c r="E61" i="2"/>
  <c r="F60" i="2"/>
  <c r="E60" i="2"/>
  <c r="F59" i="2"/>
  <c r="E59" i="2"/>
  <c r="F58" i="2"/>
  <c r="E58" i="2"/>
  <c r="F57" i="2"/>
  <c r="E57" i="2"/>
  <c r="E56" i="2"/>
  <c r="F56" i="2" s="1"/>
  <c r="I169" i="2" s="1"/>
  <c r="E55" i="2"/>
  <c r="F55" i="2" s="1"/>
  <c r="I182" i="2" s="1"/>
  <c r="E54" i="2"/>
  <c r="F54" i="2" s="1"/>
  <c r="I177" i="2" s="1"/>
  <c r="E53" i="2"/>
  <c r="F53" i="2" s="1"/>
  <c r="I159" i="2" s="1"/>
  <c r="E52" i="2"/>
  <c r="F52" i="2" s="1"/>
  <c r="I158" i="2" s="1"/>
  <c r="E51" i="2"/>
  <c r="F51" i="2" s="1"/>
  <c r="I156" i="2" s="1"/>
  <c r="E50" i="2"/>
  <c r="F50" i="2" s="1"/>
  <c r="I155" i="2" s="1"/>
  <c r="E49" i="2"/>
  <c r="F49" i="2" s="1"/>
  <c r="I154" i="2" s="1"/>
  <c r="E48" i="2"/>
  <c r="F48" i="2" s="1"/>
  <c r="I152" i="2" s="1"/>
  <c r="E47" i="2"/>
  <c r="F47" i="2" s="1"/>
  <c r="I151" i="2" s="1"/>
  <c r="E46" i="2"/>
  <c r="F46" i="2" s="1"/>
  <c r="I150" i="2" s="1"/>
  <c r="E45" i="2"/>
  <c r="F45" i="2" s="1"/>
  <c r="I149" i="2" s="1"/>
  <c r="E44" i="2"/>
  <c r="F44" i="2" s="1"/>
  <c r="I148" i="2" s="1"/>
  <c r="E43" i="2"/>
  <c r="F43" i="2" s="1"/>
  <c r="I146" i="2" s="1"/>
  <c r="E42" i="2"/>
  <c r="F42" i="2" s="1"/>
  <c r="I145" i="2" s="1"/>
  <c r="E41" i="2"/>
  <c r="F41" i="2" s="1"/>
  <c r="I144" i="2" s="1"/>
  <c r="Q78" i="2"/>
  <c r="P78" i="2"/>
  <c r="E40" i="2"/>
  <c r="F40" i="2" s="1"/>
  <c r="I139" i="2" s="1"/>
  <c r="F77" i="2"/>
  <c r="E77" i="2"/>
  <c r="F76" i="2"/>
  <c r="E76" i="2"/>
  <c r="F75" i="2"/>
  <c r="E75" i="2"/>
  <c r="F74" i="2"/>
  <c r="E74" i="2"/>
  <c r="F73" i="2"/>
  <c r="E73" i="2"/>
  <c r="F72" i="2"/>
  <c r="E72" i="2"/>
  <c r="F71" i="2"/>
  <c r="E71" i="2"/>
  <c r="E33" i="2"/>
  <c r="F33" i="2" s="1"/>
  <c r="I135" i="2" s="1"/>
  <c r="E32" i="2"/>
  <c r="F32" i="2" s="1"/>
  <c r="I130" i="2" s="1"/>
  <c r="E31" i="2"/>
  <c r="F31" i="2" s="1"/>
  <c r="I129" i="2" s="1"/>
  <c r="E30" i="2"/>
  <c r="F30" i="2" s="1"/>
  <c r="I128" i="2" s="1"/>
  <c r="E29" i="2"/>
  <c r="F29" i="2" s="1"/>
  <c r="I125" i="2" s="1"/>
  <c r="E28" i="2"/>
  <c r="F28" i="2" s="1"/>
  <c r="I124" i="2" s="1"/>
  <c r="E27" i="2"/>
  <c r="F27" i="2" s="1"/>
  <c r="I123" i="2" s="1"/>
  <c r="E26" i="2"/>
  <c r="F26" i="2" s="1"/>
  <c r="I122" i="2" s="1"/>
  <c r="E25" i="2"/>
  <c r="F25" i="2" s="1"/>
  <c r="I121" i="2" s="1"/>
  <c r="E24" i="2"/>
  <c r="F24" i="2" s="1"/>
  <c r="I120" i="2" s="1"/>
  <c r="E22" i="2"/>
  <c r="F22" i="2" s="1"/>
  <c r="E21" i="2"/>
  <c r="F21" i="2" s="1"/>
  <c r="E20" i="2"/>
  <c r="F20" i="2" s="1"/>
  <c r="E19" i="2"/>
  <c r="F19" i="2" s="1"/>
  <c r="E18" i="2"/>
  <c r="F18" i="2" s="1"/>
  <c r="I87" i="2" s="1"/>
  <c r="E17" i="2"/>
  <c r="F17" i="2" s="1"/>
  <c r="I85" i="2" s="1"/>
  <c r="E16" i="2"/>
  <c r="F16" i="2" s="1"/>
  <c r="I82" i="2" s="1"/>
  <c r="E15" i="2"/>
  <c r="F15" i="2" s="1"/>
  <c r="I81" i="2" s="1"/>
  <c r="E14" i="2"/>
  <c r="F14" i="2" s="1"/>
  <c r="I80" i="2" s="1"/>
  <c r="E13" i="2"/>
  <c r="F13" i="2" s="1"/>
  <c r="E12" i="2"/>
  <c r="F12" i="2" s="1"/>
  <c r="E11" i="2"/>
  <c r="F11" i="2" s="1"/>
  <c r="I17" i="2" s="1"/>
  <c r="E10" i="2"/>
  <c r="F10" i="2" s="1"/>
  <c r="E9" i="2"/>
  <c r="F9" i="2" s="1"/>
  <c r="I11" i="2" s="1"/>
  <c r="E8" i="2"/>
  <c r="F8" i="2" s="1"/>
  <c r="E7" i="2"/>
  <c r="F7" i="2" s="1"/>
  <c r="E6" i="2"/>
  <c r="F6" i="2" s="1"/>
  <c r="E5" i="2"/>
  <c r="F5" i="2" s="1"/>
  <c r="I4" i="2" s="1"/>
  <c r="E4" i="2"/>
  <c r="F4" i="2" s="1"/>
  <c r="E3" i="2"/>
  <c r="F3" i="2" s="1"/>
  <c r="F68" i="1"/>
  <c r="F67" i="1"/>
  <c r="D66" i="1"/>
  <c r="F66" i="1" s="1"/>
  <c r="F65" i="1"/>
  <c r="F64" i="1"/>
  <c r="E64" i="1"/>
  <c r="F62" i="1"/>
  <c r="E62" i="1"/>
  <c r="F61" i="1"/>
  <c r="E61" i="1"/>
  <c r="F60" i="1"/>
  <c r="E60" i="1"/>
  <c r="F59" i="1"/>
  <c r="E59" i="1"/>
  <c r="F58" i="1"/>
  <c r="E58" i="1"/>
  <c r="F57" i="1"/>
  <c r="E57" i="1"/>
  <c r="E56" i="1"/>
  <c r="F56" i="1" s="1"/>
  <c r="I169" i="1" s="1"/>
  <c r="E55" i="1"/>
  <c r="F55" i="1" s="1"/>
  <c r="I182" i="1" s="1"/>
  <c r="E54" i="1"/>
  <c r="F54" i="1" s="1"/>
  <c r="I177" i="1" s="1"/>
  <c r="E53" i="1"/>
  <c r="F53" i="1" s="1"/>
  <c r="I144" i="1" s="1"/>
  <c r="E52" i="1"/>
  <c r="F52" i="1" s="1"/>
  <c r="I82" i="1" s="1"/>
  <c r="E51" i="1"/>
  <c r="F51" i="1" s="1"/>
  <c r="I125" i="1" s="1"/>
  <c r="E50" i="1"/>
  <c r="F50" i="1" s="1"/>
  <c r="E49" i="1"/>
  <c r="F49" i="1" s="1"/>
  <c r="I17" i="1" s="1"/>
  <c r="E48" i="1"/>
  <c r="F48" i="1" s="1"/>
  <c r="E47" i="1"/>
  <c r="F47" i="1" s="1"/>
  <c r="I146" i="1" s="1"/>
  <c r="E46" i="1"/>
  <c r="F46" i="1" s="1"/>
  <c r="I145" i="1" s="1"/>
  <c r="E45" i="1"/>
  <c r="F45" i="1" s="1"/>
  <c r="I87" i="1" s="1"/>
  <c r="E44" i="1"/>
  <c r="F44" i="1" s="1"/>
  <c r="I81" i="1" s="1"/>
  <c r="E43" i="1"/>
  <c r="F43" i="1" s="1"/>
  <c r="E42" i="1"/>
  <c r="F42" i="1" s="1"/>
  <c r="I121" i="1" s="1"/>
  <c r="E41" i="1"/>
  <c r="F41" i="1" s="1"/>
  <c r="I120" i="1" s="1"/>
  <c r="Q76" i="1"/>
  <c r="P76" i="1"/>
  <c r="E40" i="1"/>
  <c r="F40" i="1" s="1"/>
  <c r="I159" i="1" s="1"/>
  <c r="F75" i="1"/>
  <c r="E75" i="1"/>
  <c r="F74" i="1"/>
  <c r="E74" i="1"/>
  <c r="F73" i="1"/>
  <c r="E73" i="1"/>
  <c r="F72" i="1"/>
  <c r="E72" i="1"/>
  <c r="F71" i="1"/>
  <c r="E71" i="1"/>
  <c r="F70" i="1"/>
  <c r="E70" i="1"/>
  <c r="F69" i="1"/>
  <c r="E69" i="1"/>
  <c r="E33" i="1"/>
  <c r="F33" i="1" s="1"/>
  <c r="I158" i="1" s="1"/>
  <c r="E32" i="1"/>
  <c r="F32" i="1" s="1"/>
  <c r="I135" i="1" s="1"/>
  <c r="E31" i="1"/>
  <c r="F31" i="1" s="1"/>
  <c r="I123" i="1" s="1"/>
  <c r="E30" i="1"/>
  <c r="F30" i="1" s="1"/>
  <c r="I4" i="1" s="1"/>
  <c r="E29" i="1"/>
  <c r="F29" i="1" s="1"/>
  <c r="I155" i="1" s="1"/>
  <c r="E28" i="1"/>
  <c r="F28" i="1" s="1"/>
  <c r="E27" i="1"/>
  <c r="F27" i="1" s="1"/>
  <c r="I150" i="1" s="1"/>
  <c r="E26" i="1"/>
  <c r="F26" i="1" s="1"/>
  <c r="I149" i="1" s="1"/>
  <c r="E25" i="1"/>
  <c r="F25" i="1" s="1"/>
  <c r="I148" i="1" s="1"/>
  <c r="E24" i="1"/>
  <c r="F24" i="1" s="1"/>
  <c r="E22" i="1"/>
  <c r="F22" i="1" s="1"/>
  <c r="E21" i="1"/>
  <c r="F21" i="1" s="1"/>
  <c r="I130" i="1" s="1"/>
  <c r="E20" i="1"/>
  <c r="F20" i="1" s="1"/>
  <c r="E19" i="1"/>
  <c r="F19" i="1" s="1"/>
  <c r="I11" i="1" s="1"/>
  <c r="E18" i="1"/>
  <c r="F18" i="1" s="1"/>
  <c r="I151" i="1" s="1"/>
  <c r="E17" i="1"/>
  <c r="F17" i="1" s="1"/>
  <c r="I139" i="1" s="1"/>
  <c r="E16" i="1"/>
  <c r="F16" i="1" s="1"/>
  <c r="I129" i="1" s="1"/>
  <c r="E15" i="1"/>
  <c r="F15" i="1" s="1"/>
  <c r="I128" i="1" s="1"/>
  <c r="E14" i="1"/>
  <c r="F14" i="1" s="1"/>
  <c r="I124" i="1" s="1"/>
  <c r="E13" i="1"/>
  <c r="F13" i="1" s="1"/>
  <c r="E12" i="1"/>
  <c r="F12" i="1" s="1"/>
  <c r="I154" i="1" s="1"/>
  <c r="E11" i="1"/>
  <c r="F11" i="1" s="1"/>
  <c r="I152" i="1" s="1"/>
  <c r="E10" i="1"/>
  <c r="F10" i="1" s="1"/>
  <c r="E9" i="1"/>
  <c r="F9" i="1" s="1"/>
  <c r="E8" i="1"/>
  <c r="F8" i="1" s="1"/>
  <c r="I85" i="1" s="1"/>
  <c r="E7" i="1"/>
  <c r="F7" i="1" s="1"/>
  <c r="I80" i="1" s="1"/>
  <c r="E6" i="1"/>
  <c r="F6" i="1" s="1"/>
  <c r="I138" i="1" s="1"/>
  <c r="E5" i="1"/>
  <c r="F5" i="1" s="1"/>
  <c r="I122" i="1" s="1"/>
  <c r="E4" i="1"/>
  <c r="F4" i="1" s="1"/>
  <c r="E3" i="1"/>
  <c r="F3" i="1" s="1"/>
  <c r="F67" i="57"/>
  <c r="F66" i="57"/>
  <c r="D64" i="57"/>
  <c r="F64" i="57" s="1"/>
  <c r="F63" i="57"/>
  <c r="F62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Q77" i="57"/>
  <c r="P77" i="57"/>
  <c r="F76" i="57"/>
  <c r="F75" i="57"/>
  <c r="F74" i="57"/>
  <c r="F73" i="57"/>
  <c r="F72" i="57"/>
  <c r="F71" i="57"/>
  <c r="F70" i="57"/>
  <c r="E30" i="57"/>
  <c r="F30" i="57" s="1"/>
  <c r="J92" i="57" l="1"/>
  <c r="J104" i="2"/>
  <c r="J104" i="7"/>
  <c r="M9" i="7" s="1"/>
  <c r="J97" i="57"/>
  <c r="J92" i="2"/>
  <c r="M7" i="2" s="1"/>
  <c r="J195" i="1"/>
  <c r="M13" i="1" s="1"/>
  <c r="J97" i="1"/>
  <c r="M8" i="1" s="1"/>
  <c r="J109" i="57"/>
  <c r="M11" i="57" s="1"/>
  <c r="J195" i="57"/>
  <c r="M13" i="57" s="1"/>
  <c r="J92" i="7"/>
  <c r="M7" i="7" s="1"/>
  <c r="J97" i="7"/>
  <c r="M8" i="7" s="1"/>
  <c r="J22" i="7"/>
  <c r="M3" i="7" s="1"/>
  <c r="J109" i="3"/>
  <c r="M11" i="3" s="1"/>
  <c r="J104" i="3"/>
  <c r="M9" i="3" s="1"/>
  <c r="J97" i="2"/>
  <c r="M8" i="2" s="1"/>
  <c r="J109" i="2"/>
  <c r="M11" i="2" s="1"/>
  <c r="J77" i="1"/>
  <c r="M6" i="1" s="1"/>
  <c r="J109" i="1"/>
  <c r="M11" i="1" s="1"/>
  <c r="J92" i="1"/>
  <c r="M7" i="1" s="1"/>
  <c r="J116" i="7"/>
  <c r="M10" i="7" s="1"/>
  <c r="J34" i="7"/>
  <c r="M5" i="7" s="1"/>
  <c r="J3" i="7"/>
  <c r="M4" i="7" s="1"/>
  <c r="J77" i="7"/>
  <c r="M6" i="7" s="1"/>
  <c r="J165" i="7"/>
  <c r="M12" i="7" s="1"/>
  <c r="J109" i="7"/>
  <c r="M11" i="7" s="1"/>
  <c r="J195" i="7"/>
  <c r="M13" i="7" s="1"/>
  <c r="J195" i="3"/>
  <c r="M13" i="3" s="1"/>
  <c r="J22" i="3"/>
  <c r="M3" i="3" s="1"/>
  <c r="J92" i="3"/>
  <c r="M7" i="3" s="1"/>
  <c r="J97" i="3"/>
  <c r="J34" i="3"/>
  <c r="M5" i="3" s="1"/>
  <c r="J195" i="2"/>
  <c r="M13" i="2" s="1"/>
  <c r="J77" i="2"/>
  <c r="M6" i="2" s="1"/>
  <c r="J34" i="2"/>
  <c r="M5" i="2" s="1"/>
  <c r="J165" i="2"/>
  <c r="M12" i="2" s="1"/>
  <c r="J22" i="2"/>
  <c r="M3" i="2" s="1"/>
  <c r="J116" i="2"/>
  <c r="M10" i="2" s="1"/>
  <c r="J3" i="2"/>
  <c r="M4" i="2" s="1"/>
  <c r="J3" i="1"/>
  <c r="M4" i="1" s="1"/>
  <c r="J22" i="1"/>
  <c r="M3" i="1" s="1"/>
  <c r="J116" i="1"/>
  <c r="M10" i="1" s="1"/>
  <c r="J165" i="1"/>
  <c r="M12" i="1" s="1"/>
  <c r="J34" i="1"/>
  <c r="M5" i="1" s="1"/>
  <c r="J104" i="1"/>
  <c r="M9" i="1" s="1"/>
  <c r="J22" i="57"/>
  <c r="J34" i="57"/>
  <c r="M5" i="57" s="1"/>
  <c r="J104" i="57"/>
  <c r="M9" i="57" s="1"/>
  <c r="J97" i="218"/>
  <c r="M8" i="218" s="1"/>
  <c r="I4" i="218"/>
  <c r="I80" i="218"/>
  <c r="J77" i="218" s="1"/>
  <c r="J195" i="218"/>
  <c r="M13" i="218" s="1"/>
  <c r="I123" i="218"/>
  <c r="I159" i="218"/>
  <c r="I135" i="218"/>
  <c r="J104" i="218"/>
  <c r="M9" i="218" s="1"/>
  <c r="J109" i="218"/>
  <c r="M11" i="218" s="1"/>
  <c r="I125" i="218"/>
  <c r="I149" i="218"/>
  <c r="J22" i="218"/>
  <c r="M3" i="218" s="1"/>
  <c r="J92" i="218"/>
  <c r="M7" i="218" s="1"/>
  <c r="I138" i="218"/>
  <c r="I150" i="218"/>
  <c r="J34" i="218"/>
  <c r="M5" i="218" s="1"/>
  <c r="I154" i="218"/>
  <c r="I122" i="218"/>
  <c r="I146" i="218"/>
  <c r="I158" i="218"/>
  <c r="I182" i="218"/>
  <c r="J165" i="218" s="1"/>
  <c r="M9" i="2"/>
  <c r="V95" i="218"/>
  <c r="U157" i="218"/>
  <c r="V112" i="218"/>
  <c r="U122" i="218"/>
  <c r="U169" i="218"/>
  <c r="U132" i="218"/>
  <c r="U146" i="218"/>
  <c r="V197" i="218"/>
  <c r="U87" i="218"/>
  <c r="V99" i="218"/>
  <c r="U89" i="218"/>
  <c r="U171" i="218"/>
  <c r="U17" i="218"/>
  <c r="U16" i="218"/>
  <c r="U179" i="218"/>
  <c r="U131" i="218"/>
  <c r="U119" i="218"/>
  <c r="U154" i="218"/>
  <c r="U153" i="218"/>
  <c r="U141" i="218"/>
  <c r="U83" i="218"/>
  <c r="U11" i="218"/>
  <c r="U130" i="218"/>
  <c r="V22" i="218"/>
  <c r="U84" i="218"/>
  <c r="U150" i="218"/>
  <c r="U126" i="218"/>
  <c r="V106" i="218"/>
  <c r="U147" i="218"/>
  <c r="U123" i="218"/>
  <c r="M7" i="57"/>
  <c r="E63" i="3"/>
  <c r="E57" i="3"/>
  <c r="E53" i="3"/>
  <c r="E49" i="3"/>
  <c r="E71" i="3"/>
  <c r="E20" i="3"/>
  <c r="F20" i="3" s="1"/>
  <c r="I122" i="3" s="1"/>
  <c r="E13" i="3"/>
  <c r="F13" i="3" s="1"/>
  <c r="I81" i="3" s="1"/>
  <c r="E3" i="3"/>
  <c r="F3" i="3" s="1"/>
  <c r="E52" i="3"/>
  <c r="E24" i="3"/>
  <c r="F24" i="3" s="1"/>
  <c r="I128" i="3" s="1"/>
  <c r="E9" i="3"/>
  <c r="F9" i="3" s="1"/>
  <c r="I12" i="3" s="1"/>
  <c r="E54" i="3"/>
  <c r="E58" i="3"/>
  <c r="E16" i="3"/>
  <c r="F16" i="3" s="1"/>
  <c r="E6" i="3"/>
  <c r="F6" i="3" s="1"/>
  <c r="E44" i="3"/>
  <c r="F44" i="3" s="1"/>
  <c r="I175" i="3" s="1"/>
  <c r="E33" i="3"/>
  <c r="F33" i="3" s="1"/>
  <c r="I150" i="3" s="1"/>
  <c r="E29" i="3"/>
  <c r="F29" i="3" s="1"/>
  <c r="I142" i="3" s="1"/>
  <c r="E25" i="3"/>
  <c r="F25" i="3" s="1"/>
  <c r="I129" i="3" s="1"/>
  <c r="E8" i="3"/>
  <c r="F8" i="3" s="1"/>
  <c r="I11" i="3" s="1"/>
  <c r="E70" i="3"/>
  <c r="E5" i="3"/>
  <c r="F5" i="3" s="1"/>
  <c r="I4" i="3" s="1"/>
  <c r="E15" i="3"/>
  <c r="F15" i="3" s="1"/>
  <c r="E61" i="3"/>
  <c r="E39" i="3"/>
  <c r="F39" i="3" s="1"/>
  <c r="E28" i="3"/>
  <c r="F28" i="3" s="1"/>
  <c r="I139" i="3" s="1"/>
  <c r="E12" i="3"/>
  <c r="F12" i="3" s="1"/>
  <c r="I80" i="3" s="1"/>
  <c r="E42" i="3"/>
  <c r="F42" i="3" s="1"/>
  <c r="I156" i="3" s="1"/>
  <c r="E50" i="3"/>
  <c r="E72" i="3"/>
  <c r="E21" i="3"/>
  <c r="F21" i="3" s="1"/>
  <c r="I123" i="3" s="1"/>
  <c r="E40" i="3"/>
  <c r="F40" i="3" s="1"/>
  <c r="I154" i="3" s="1"/>
  <c r="E62" i="3"/>
  <c r="E56" i="3"/>
  <c r="E48" i="3"/>
  <c r="E19" i="3"/>
  <c r="F19" i="3" s="1"/>
  <c r="I121" i="3" s="1"/>
  <c r="E10" i="3"/>
  <c r="F10" i="3" s="1"/>
  <c r="E32" i="3"/>
  <c r="F32" i="3" s="1"/>
  <c r="I149" i="3" s="1"/>
  <c r="E18" i="3"/>
  <c r="F18" i="3" s="1"/>
  <c r="I120" i="3" s="1"/>
  <c r="E47" i="3"/>
  <c r="F47" i="3" s="1"/>
  <c r="I167" i="3" s="1"/>
  <c r="E30" i="3"/>
  <c r="F30" i="3" s="1"/>
  <c r="I143" i="3" s="1"/>
  <c r="E45" i="3"/>
  <c r="F45" i="3" s="1"/>
  <c r="I182" i="3" s="1"/>
  <c r="E60" i="3"/>
  <c r="E55" i="3"/>
  <c r="E51" i="3"/>
  <c r="E74" i="3"/>
  <c r="E7" i="3"/>
  <c r="F7" i="3" s="1"/>
  <c r="E41" i="3"/>
  <c r="F41" i="3" s="1"/>
  <c r="I155" i="3" s="1"/>
  <c r="E31" i="3"/>
  <c r="F31" i="3" s="1"/>
  <c r="I148" i="3" s="1"/>
  <c r="E27" i="3"/>
  <c r="F27" i="3" s="1"/>
  <c r="I138" i="3" s="1"/>
  <c r="E22" i="3"/>
  <c r="F22" i="3" s="1"/>
  <c r="I124" i="3" s="1"/>
  <c r="E17" i="3"/>
  <c r="F17" i="3" s="1"/>
  <c r="E14" i="3"/>
  <c r="F14" i="3" s="1"/>
  <c r="I85" i="3" s="1"/>
  <c r="E4" i="3"/>
  <c r="F4" i="3" s="1"/>
  <c r="E59" i="3"/>
  <c r="E46" i="3"/>
  <c r="F46" i="3" s="1"/>
  <c r="I169" i="3" s="1"/>
  <c r="E73" i="3"/>
  <c r="E26" i="3"/>
  <c r="F26" i="3" s="1"/>
  <c r="I130" i="3" s="1"/>
  <c r="E11" i="3"/>
  <c r="F11" i="3" s="1"/>
  <c r="E63" i="57"/>
  <c r="E57" i="57"/>
  <c r="E53" i="57"/>
  <c r="E49" i="57"/>
  <c r="E73" i="57"/>
  <c r="E16" i="57"/>
  <c r="F16" i="57" s="1"/>
  <c r="I129" i="57" s="1"/>
  <c r="E9" i="57"/>
  <c r="F9" i="57" s="1"/>
  <c r="E43" i="57"/>
  <c r="F43" i="57" s="1"/>
  <c r="I12" i="57" s="1"/>
  <c r="E39" i="57"/>
  <c r="F39" i="57" s="1"/>
  <c r="I156" i="57" s="1"/>
  <c r="E28" i="57"/>
  <c r="F28" i="57" s="1"/>
  <c r="I155" i="57" s="1"/>
  <c r="E15" i="57"/>
  <c r="F15" i="57" s="1"/>
  <c r="I128" i="57" s="1"/>
  <c r="E31" i="57"/>
  <c r="F31" i="57" s="1"/>
  <c r="I123" i="57" s="1"/>
  <c r="E10" i="57"/>
  <c r="F10" i="57" s="1"/>
  <c r="E46" i="57"/>
  <c r="F46" i="57" s="1"/>
  <c r="I182" i="57" s="1"/>
  <c r="E17" i="57"/>
  <c r="F17" i="57" s="1"/>
  <c r="I139" i="57" s="1"/>
  <c r="E74" i="57"/>
  <c r="E21" i="57"/>
  <c r="F21" i="57" s="1"/>
  <c r="I130" i="57" s="1"/>
  <c r="E14" i="57"/>
  <c r="F14" i="57" s="1"/>
  <c r="I124" i="57" s="1"/>
  <c r="E45" i="57"/>
  <c r="F45" i="57" s="1"/>
  <c r="I176" i="57" s="1"/>
  <c r="E4" i="57"/>
  <c r="F4" i="57" s="1"/>
  <c r="E44" i="57"/>
  <c r="F44" i="57" s="1"/>
  <c r="E33" i="57"/>
  <c r="F33" i="57" s="1"/>
  <c r="I135" i="57" s="1"/>
  <c r="E29" i="57"/>
  <c r="F29" i="57" s="1"/>
  <c r="I4" i="57" s="1"/>
  <c r="E25" i="57"/>
  <c r="F25" i="57" s="1"/>
  <c r="I148" i="57" s="1"/>
  <c r="E20" i="57"/>
  <c r="F20" i="57" s="1"/>
  <c r="I11" i="57" s="1"/>
  <c r="E6" i="57"/>
  <c r="F6" i="57" s="1"/>
  <c r="I138" i="57" s="1"/>
  <c r="E13" i="57"/>
  <c r="F13" i="57" s="1"/>
  <c r="E71" i="57"/>
  <c r="E24" i="57"/>
  <c r="F24" i="57" s="1"/>
  <c r="E47" i="57"/>
  <c r="F47" i="57" s="1"/>
  <c r="I170" i="57" s="1"/>
  <c r="E60" i="57"/>
  <c r="E76" i="57"/>
  <c r="E5" i="57"/>
  <c r="F5" i="57" s="1"/>
  <c r="I122" i="57" s="1"/>
  <c r="E27" i="57"/>
  <c r="F27" i="57" s="1"/>
  <c r="I150" i="57" s="1"/>
  <c r="E75" i="57"/>
  <c r="E12" i="57"/>
  <c r="F12" i="57" s="1"/>
  <c r="I154" i="57" s="1"/>
  <c r="E54" i="57"/>
  <c r="E58" i="57"/>
  <c r="E40" i="57"/>
  <c r="F40" i="57" s="1"/>
  <c r="I159" i="57" s="1"/>
  <c r="E62" i="57"/>
  <c r="E56" i="57"/>
  <c r="E48" i="57"/>
  <c r="F48" i="57" s="1"/>
  <c r="I167" i="57" s="1"/>
  <c r="E72" i="57"/>
  <c r="E11" i="57"/>
  <c r="F11" i="57" s="1"/>
  <c r="I152" i="57" s="1"/>
  <c r="E52" i="57"/>
  <c r="E32" i="57"/>
  <c r="F32" i="57" s="1"/>
  <c r="E19" i="57"/>
  <c r="F19" i="57" s="1"/>
  <c r="I151" i="57" s="1"/>
  <c r="E3" i="57"/>
  <c r="F3" i="57" s="1"/>
  <c r="E42" i="57"/>
  <c r="F42" i="57" s="1"/>
  <c r="I81" i="57" s="1"/>
  <c r="E55" i="57"/>
  <c r="E51" i="57"/>
  <c r="E70" i="57"/>
  <c r="E18" i="57"/>
  <c r="F18" i="57" s="1"/>
  <c r="E41" i="57"/>
  <c r="F41" i="57" s="1"/>
  <c r="I120" i="57" s="1"/>
  <c r="E22" i="57"/>
  <c r="F22" i="57" s="1"/>
  <c r="E59" i="57"/>
  <c r="E7" i="57"/>
  <c r="F7" i="57" s="1"/>
  <c r="I80" i="57" s="1"/>
  <c r="E50" i="57"/>
  <c r="E26" i="57"/>
  <c r="F26" i="57" s="1"/>
  <c r="I149" i="57" s="1"/>
  <c r="J165" i="3" l="1"/>
  <c r="M12" i="3" s="1"/>
  <c r="J77" i="3"/>
  <c r="M6" i="3" s="1"/>
  <c r="J116" i="57"/>
  <c r="J116" i="3"/>
  <c r="M10" i="3" s="1"/>
  <c r="J3" i="3"/>
  <c r="M4" i="3" s="1"/>
  <c r="J77" i="57"/>
  <c r="M6" i="57" s="1"/>
  <c r="J3" i="57"/>
  <c r="M4" i="57" s="1"/>
  <c r="J165" i="57"/>
  <c r="J3" i="218"/>
  <c r="M4" i="218" s="1"/>
  <c r="J116" i="218"/>
  <c r="M10" i="218" s="1"/>
  <c r="V167" i="218"/>
  <c r="V3" i="218"/>
  <c r="V79" i="218"/>
  <c r="V118" i="218"/>
  <c r="M12" i="218"/>
  <c r="M6" i="218"/>
  <c r="M10" i="57"/>
  <c r="M12" i="57"/>
  <c r="M8" i="57"/>
  <c r="M8" i="3"/>
  <c r="M14" i="1"/>
  <c r="N3" i="1" s="1"/>
  <c r="D4" i="8" s="1"/>
  <c r="M15" i="218"/>
  <c r="M15" i="3"/>
  <c r="M15" i="1"/>
  <c r="M3" i="57"/>
  <c r="M15" i="57" s="1"/>
  <c r="M15" i="7"/>
  <c r="M14" i="7"/>
  <c r="N8" i="7" s="1"/>
  <c r="G9" i="8" s="1"/>
  <c r="M15" i="2"/>
  <c r="M14" i="2"/>
  <c r="N12" i="2" s="1"/>
  <c r="E13" i="8" s="1"/>
  <c r="M14" i="218" l="1"/>
  <c r="N12" i="218" s="1"/>
  <c r="H13" i="8" s="1"/>
  <c r="K3" i="1"/>
  <c r="N10" i="7"/>
  <c r="G11" i="8" s="1"/>
  <c r="N12" i="7"/>
  <c r="G13" i="8" s="1"/>
  <c r="N11" i="7"/>
  <c r="G12" i="8" s="1"/>
  <c r="N9" i="7"/>
  <c r="G10" i="8" s="1"/>
  <c r="N13" i="7"/>
  <c r="G14" i="8" s="1"/>
  <c r="N4" i="7"/>
  <c r="G5" i="8" s="1"/>
  <c r="N5" i="7"/>
  <c r="G6" i="8" s="1"/>
  <c r="N7" i="7"/>
  <c r="G8" i="8" s="1"/>
  <c r="N6" i="7"/>
  <c r="G7" i="8" s="1"/>
  <c r="N3" i="7"/>
  <c r="G4" i="8" s="1"/>
  <c r="N10" i="2"/>
  <c r="E11" i="8" s="1"/>
  <c r="M14" i="3"/>
  <c r="N3" i="2"/>
  <c r="E4" i="8" s="1"/>
  <c r="N6" i="2"/>
  <c r="E7" i="8" s="1"/>
  <c r="N7" i="2"/>
  <c r="E8" i="8" s="1"/>
  <c r="N9" i="2"/>
  <c r="E10" i="8" s="1"/>
  <c r="N11" i="2"/>
  <c r="E12" i="8" s="1"/>
  <c r="N8" i="2"/>
  <c r="E9" i="8" s="1"/>
  <c r="N13" i="2"/>
  <c r="E14" i="8" s="1"/>
  <c r="N5" i="2"/>
  <c r="E6" i="8" s="1"/>
  <c r="N4" i="2"/>
  <c r="E5" i="8" s="1"/>
  <c r="M14" i="57"/>
  <c r="N8" i="57" s="1"/>
  <c r="C9" i="8" s="1"/>
  <c r="N4" i="1"/>
  <c r="D5" i="8" s="1"/>
  <c r="N5" i="1"/>
  <c r="D6" i="8" s="1"/>
  <c r="N13" i="1"/>
  <c r="D14" i="8" s="1"/>
  <c r="N9" i="1"/>
  <c r="D10" i="8" s="1"/>
  <c r="N11" i="1"/>
  <c r="D12" i="8" s="1"/>
  <c r="N6" i="1"/>
  <c r="D7" i="8" s="1"/>
  <c r="N7" i="1"/>
  <c r="D8" i="8" s="1"/>
  <c r="N8" i="1"/>
  <c r="D9" i="8" s="1"/>
  <c r="N10" i="1"/>
  <c r="D11" i="8" s="1"/>
  <c r="N12" i="1"/>
  <c r="D13" i="8" s="1"/>
  <c r="N10" i="218" l="1"/>
  <c r="H11" i="8" s="1"/>
  <c r="N4" i="218"/>
  <c r="H5" i="8" s="1"/>
  <c r="N7" i="218"/>
  <c r="H8" i="8" s="1"/>
  <c r="H13" i="191"/>
  <c r="N3" i="218"/>
  <c r="H4" i="8" s="1"/>
  <c r="N5" i="218"/>
  <c r="H6" i="8" s="1"/>
  <c r="N6" i="218"/>
  <c r="H7" i="8" s="1"/>
  <c r="N11" i="218"/>
  <c r="H12" i="8" s="1"/>
  <c r="N9" i="218"/>
  <c r="H10" i="8" s="1"/>
  <c r="N8" i="218"/>
  <c r="H9" i="8" s="1"/>
  <c r="N13" i="218"/>
  <c r="H14" i="8" s="1"/>
  <c r="H8" i="191"/>
  <c r="N14" i="7"/>
  <c r="G15" i="8" s="1"/>
  <c r="N15" i="7"/>
  <c r="G16" i="8" s="1"/>
  <c r="N9" i="57"/>
  <c r="C10" i="8" s="1"/>
  <c r="N7" i="57"/>
  <c r="C8" i="8" s="1"/>
  <c r="N6" i="3"/>
  <c r="F7" i="8" s="1"/>
  <c r="N11" i="3"/>
  <c r="F12" i="8" s="1"/>
  <c r="N9" i="3"/>
  <c r="F10" i="8" s="1"/>
  <c r="N3" i="3"/>
  <c r="F4" i="8" s="1"/>
  <c r="N13" i="3"/>
  <c r="F14" i="8" s="1"/>
  <c r="N7" i="3"/>
  <c r="F8" i="8" s="1"/>
  <c r="N8" i="3"/>
  <c r="F9" i="8" s="1"/>
  <c r="N4" i="3"/>
  <c r="F5" i="8" s="1"/>
  <c r="N5" i="3"/>
  <c r="F6" i="8" s="1"/>
  <c r="N12" i="3"/>
  <c r="F13" i="8" s="1"/>
  <c r="N11" i="57"/>
  <c r="C12" i="8" s="1"/>
  <c r="N10" i="3"/>
  <c r="F11" i="8" s="1"/>
  <c r="N3" i="57"/>
  <c r="C4" i="8" s="1"/>
  <c r="N15" i="2"/>
  <c r="E16" i="8" s="1"/>
  <c r="N4" i="57"/>
  <c r="C5" i="8" s="1"/>
  <c r="N10" i="57"/>
  <c r="C11" i="8" s="1"/>
  <c r="N12" i="57"/>
  <c r="C13" i="8" s="1"/>
  <c r="N6" i="57"/>
  <c r="C7" i="8" s="1"/>
  <c r="N13" i="57"/>
  <c r="C14" i="8" s="1"/>
  <c r="N14" i="2"/>
  <c r="E15" i="8" s="1"/>
  <c r="N14" i="1"/>
  <c r="D15" i="8" s="1"/>
  <c r="N5" i="57"/>
  <c r="C6" i="8" s="1"/>
  <c r="N15" i="1"/>
  <c r="D16" i="8" s="1"/>
  <c r="H5" i="191" l="1"/>
  <c r="H11" i="191"/>
  <c r="H4" i="191"/>
  <c r="N14" i="218"/>
  <c r="H15" i="8" s="1"/>
  <c r="H14" i="191"/>
  <c r="H6" i="191"/>
  <c r="H9" i="191"/>
  <c r="N15" i="218"/>
  <c r="H16" i="8" s="1"/>
  <c r="H12" i="191"/>
  <c r="H7" i="191"/>
  <c r="H10" i="191"/>
  <c r="I9" i="8"/>
  <c r="K9" i="8" s="1" a="1"/>
  <c r="K9" i="8" s="1"/>
  <c r="H16" i="191"/>
  <c r="N15" i="3"/>
  <c r="F16" i="8" s="1"/>
  <c r="N14" i="57"/>
  <c r="C15" i="8" s="1"/>
  <c r="N15" i="57"/>
  <c r="C16" i="8" s="1"/>
  <c r="N14" i="3"/>
  <c r="F15" i="8" s="1"/>
  <c r="H15" i="191" l="1"/>
  <c r="I4" i="8"/>
  <c r="K4" i="8" s="1" a="1"/>
  <c r="K4" i="8" s="1"/>
  <c r="I5" i="8"/>
  <c r="K5" i="8" s="1" a="1"/>
  <c r="K5" i="8" s="1"/>
  <c r="I14" i="8"/>
  <c r="C22" i="8"/>
  <c r="I7" i="8"/>
  <c r="K7" i="8" s="1" a="1"/>
  <c r="K7" i="8" s="1"/>
  <c r="I12" i="8"/>
  <c r="I13" i="8"/>
  <c r="K13" i="8" s="1" a="1"/>
  <c r="K13" i="8" s="1"/>
  <c r="I8" i="8"/>
  <c r="K8" i="8" s="1" a="1"/>
  <c r="K8" i="8" s="1"/>
  <c r="I10" i="8"/>
  <c r="K10" i="8" s="1" a="1"/>
  <c r="K10" i="8" s="1"/>
  <c r="J9" i="8" a="1"/>
  <c r="J9" i="8" s="1"/>
  <c r="I11" i="8"/>
  <c r="K11" i="8" s="1" a="1"/>
  <c r="K11" i="8" s="1"/>
  <c r="I6" i="8"/>
  <c r="J6" i="8" s="1" a="1"/>
  <c r="J6" i="8" s="1"/>
  <c r="D72" i="85"/>
  <c r="D73" i="85"/>
  <c r="D71" i="85"/>
  <c r="C72" i="85"/>
  <c r="C73" i="85"/>
  <c r="C71" i="85"/>
  <c r="C14" i="85"/>
  <c r="C15" i="85"/>
  <c r="C13" i="85"/>
  <c r="H21" i="191"/>
  <c r="G21" i="191"/>
  <c r="F21" i="191"/>
  <c r="E21" i="191"/>
  <c r="D21" i="191"/>
  <c r="C21" i="191"/>
  <c r="I20" i="191"/>
  <c r="I21" i="191" s="1"/>
  <c r="I18" i="191"/>
  <c r="H18" i="191"/>
  <c r="G18" i="191"/>
  <c r="F18" i="191"/>
  <c r="E18" i="191"/>
  <c r="D18" i="191"/>
  <c r="C18" i="191"/>
  <c r="J18" i="191" s="1"/>
  <c r="I17" i="191"/>
  <c r="C48" i="85"/>
  <c r="C47" i="85"/>
  <c r="C46" i="85"/>
  <c r="D67" i="85"/>
  <c r="D66" i="85"/>
  <c r="D65" i="85"/>
  <c r="D29" i="85"/>
  <c r="C18" i="8"/>
  <c r="K21" i="8"/>
  <c r="I20" i="8"/>
  <c r="D21" i="8"/>
  <c r="E21" i="8"/>
  <c r="J18" i="8"/>
  <c r="I18" i="8"/>
  <c r="D18" i="8"/>
  <c r="E18" i="8"/>
  <c r="F18" i="8"/>
  <c r="G18" i="8"/>
  <c r="H18" i="8"/>
  <c r="I17" i="8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4" i="9"/>
  <c r="I16" i="8" l="1"/>
  <c r="I22" i="8" s="1"/>
  <c r="J4" i="8" a="1"/>
  <c r="J4" i="8" s="1"/>
  <c r="K12" i="8" a="1"/>
  <c r="K12" i="8" s="1"/>
  <c r="J8" i="8" a="1"/>
  <c r="J8" i="8" s="1"/>
  <c r="J13" i="8" a="1"/>
  <c r="J13" i="8" s="1"/>
  <c r="J12" i="8" a="1"/>
  <c r="J12" i="8" s="1"/>
  <c r="K6" i="8" a="1"/>
  <c r="K6" i="8" s="1"/>
  <c r="J7" i="8" a="1"/>
  <c r="J7" i="8" s="1"/>
  <c r="K14" i="8" a="1"/>
  <c r="K14" i="8" s="1"/>
  <c r="J5" i="8" a="1"/>
  <c r="J5" i="8" s="1"/>
  <c r="J10" i="8" a="1"/>
  <c r="J10" i="8" s="1"/>
  <c r="J11" i="8" a="1"/>
  <c r="J11" i="8" s="1"/>
  <c r="J14" i="8" a="1"/>
  <c r="J14" i="8" s="1"/>
  <c r="I15" i="8"/>
  <c r="K21" i="191"/>
  <c r="K16" i="8" l="1"/>
  <c r="J16" i="8"/>
  <c r="K15" i="8"/>
  <c r="J15" i="8"/>
  <c r="D4" i="191"/>
  <c r="E11" i="191" l="1"/>
  <c r="D7" i="191"/>
  <c r="D9" i="191"/>
  <c r="D6" i="191"/>
  <c r="D8" i="191"/>
  <c r="D13" i="191"/>
  <c r="D5" i="191"/>
  <c r="D10" i="191"/>
  <c r="D14" i="191"/>
  <c r="D11" i="191"/>
  <c r="D12" i="191"/>
  <c r="D19" i="8" l="1"/>
  <c r="G7" i="191"/>
  <c r="G9" i="191"/>
  <c r="G13" i="191"/>
  <c r="G11" i="191"/>
  <c r="G6" i="191"/>
  <c r="G8" i="191"/>
  <c r="G5" i="191"/>
  <c r="G14" i="191"/>
  <c r="G10" i="191"/>
  <c r="G12" i="191"/>
  <c r="G4" i="191"/>
  <c r="F4" i="191"/>
  <c r="E6" i="191"/>
  <c r="E12" i="191"/>
  <c r="E5" i="191"/>
  <c r="E9" i="191"/>
  <c r="E10" i="191"/>
  <c r="E14" i="191"/>
  <c r="E13" i="191"/>
  <c r="E4" i="191"/>
  <c r="E7" i="191"/>
  <c r="D16" i="191"/>
  <c r="D15" i="191"/>
  <c r="C12" i="191"/>
  <c r="E19" i="8" l="1"/>
  <c r="G16" i="191"/>
  <c r="G15" i="191"/>
  <c r="F5" i="191"/>
  <c r="F6" i="191"/>
  <c r="F12" i="191"/>
  <c r="F14" i="191"/>
  <c r="F10" i="191"/>
  <c r="F11" i="191"/>
  <c r="F7" i="191"/>
  <c r="F9" i="191"/>
  <c r="F13" i="191"/>
  <c r="E16" i="191"/>
  <c r="E15" i="191"/>
  <c r="D19" i="191"/>
  <c r="D22" i="191"/>
  <c r="C14" i="191"/>
  <c r="C13" i="191"/>
  <c r="C11" i="191"/>
  <c r="C10" i="191"/>
  <c r="C9" i="191"/>
  <c r="C8" i="191"/>
  <c r="C7" i="191"/>
  <c r="C6" i="191"/>
  <c r="C5" i="191"/>
  <c r="C4" i="191"/>
  <c r="I4" i="191" s="1"/>
  <c r="D22" i="8"/>
  <c r="F22" i="8" l="1"/>
  <c r="G22" i="191"/>
  <c r="G19" i="191"/>
  <c r="F16" i="191"/>
  <c r="F15" i="191"/>
  <c r="E19" i="191"/>
  <c r="E22" i="191"/>
  <c r="C16" i="191"/>
  <c r="C19" i="191" s="1"/>
  <c r="C15" i="191"/>
  <c r="E22" i="8"/>
  <c r="F22" i="191" l="1"/>
  <c r="F19" i="191"/>
  <c r="I5" i="191"/>
  <c r="J5" i="191" s="1" a="1"/>
  <c r="J5" i="191" s="1"/>
  <c r="C22" i="191"/>
  <c r="F19" i="8"/>
  <c r="C19" i="8"/>
  <c r="I6" i="191" l="1"/>
  <c r="K6" i="191" s="1" a="1"/>
  <c r="K6" i="191" s="1"/>
  <c r="K5" i="191" a="1"/>
  <c r="K5" i="191" s="1"/>
  <c r="J4" i="191" a="1"/>
  <c r="J4" i="191" s="1"/>
  <c r="K4" i="191" a="1"/>
  <c r="K4" i="191" s="1"/>
  <c r="J6" i="191" l="1" a="1"/>
  <c r="J6" i="191" s="1"/>
  <c r="G22" i="8"/>
  <c r="G19" i="8"/>
  <c r="I19" i="8" l="1"/>
  <c r="H22" i="191"/>
  <c r="B26" i="191"/>
  <c r="I9" i="191"/>
  <c r="I10" i="191"/>
  <c r="I11" i="191"/>
  <c r="J11" i="191" s="1" a="1"/>
  <c r="J11" i="191" s="1"/>
  <c r="H19" i="8"/>
  <c r="A23" i="8"/>
  <c r="I7" i="191"/>
  <c r="K7" i="191" s="1" a="1"/>
  <c r="K7" i="191" s="1"/>
  <c r="J19" i="8" l="1"/>
  <c r="I13" i="191"/>
  <c r="K13" i="191" s="1" a="1"/>
  <c r="K13" i="191" s="1"/>
  <c r="I12" i="191"/>
  <c r="K12" i="191" s="1" a="1"/>
  <c r="K12" i="191" s="1"/>
  <c r="H22" i="8"/>
  <c r="K22" i="8" s="1"/>
  <c r="K9" i="191" a="1"/>
  <c r="K9" i="191" s="1"/>
  <c r="K10" i="191" a="1"/>
  <c r="K10" i="191" s="1"/>
  <c r="H19" i="191"/>
  <c r="J10" i="191" a="1"/>
  <c r="J10" i="191" s="1"/>
  <c r="J9" i="191" a="1"/>
  <c r="J9" i="191" s="1"/>
  <c r="I8" i="191"/>
  <c r="J8" i="191" s="1" a="1"/>
  <c r="J8" i="191" s="1"/>
  <c r="K11" i="191" a="1"/>
  <c r="K11" i="191" s="1"/>
  <c r="J7" i="191" a="1"/>
  <c r="J7" i="191" s="1"/>
  <c r="I14" i="191"/>
  <c r="J13" i="191" l="1" a="1"/>
  <c r="J13" i="191" s="1"/>
  <c r="I16" i="191"/>
  <c r="I19" i="191" s="1"/>
  <c r="J19" i="191" s="1"/>
  <c r="J14" i="191" a="1"/>
  <c r="J14" i="191" s="1"/>
  <c r="K14" i="191" a="1"/>
  <c r="K14" i="191" s="1"/>
  <c r="I15" i="191"/>
  <c r="J12" i="191" a="1"/>
  <c r="J12" i="191" s="1"/>
  <c r="K8" i="191" a="1"/>
  <c r="K8" i="191" s="1"/>
  <c r="F65" i="218"/>
  <c r="I22" i="191" l="1"/>
  <c r="K22" i="191" s="1"/>
  <c r="K15" i="191"/>
  <c r="J15" i="191"/>
  <c r="J16" i="191"/>
  <c r="K16" i="19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<sst xmlns="http://schemas.openxmlformats.org/spreadsheetml/2006/main" count="5387" uniqueCount="461">
  <si>
    <t>Material Name</t>
  </si>
  <si>
    <t>WEIGHT(kg)</t>
  </si>
  <si>
    <t>Ekstrak (kg)</t>
  </si>
  <si>
    <t>Total</t>
  </si>
  <si>
    <t>ZINC OXIDE</t>
  </si>
  <si>
    <t>STEARIC ACID</t>
  </si>
  <si>
    <t>MBTS</t>
  </si>
  <si>
    <t>CABA</t>
  </si>
  <si>
    <t>SULFUR</t>
  </si>
  <si>
    <t>CBAF</t>
  </si>
  <si>
    <t>GPF N-660</t>
  </si>
  <si>
    <t>CWEI</t>
  </si>
  <si>
    <t>PAI IAN HWA CC (white filler)</t>
  </si>
  <si>
    <t>HRDG</t>
  </si>
  <si>
    <t>LOBA</t>
  </si>
  <si>
    <t>TDAE OIL</t>
  </si>
  <si>
    <t>REHD</t>
  </si>
  <si>
    <t>Magnesium Oxide (MgO)</t>
  </si>
  <si>
    <t>TAFB</t>
  </si>
  <si>
    <t>ESCOREZ-1102</t>
  </si>
  <si>
    <t>NRAK</t>
  </si>
  <si>
    <t>SIR-10 (EUDR)</t>
  </si>
  <si>
    <t>ALCO</t>
  </si>
  <si>
    <t>TBBS</t>
  </si>
  <si>
    <t>ANEB</t>
  </si>
  <si>
    <t>6PPD</t>
  </si>
  <si>
    <t>TMQ</t>
  </si>
  <si>
    <t>CABC</t>
  </si>
  <si>
    <t>CRYSTEX OT 20%</t>
  </si>
  <si>
    <t>REHA</t>
  </si>
  <si>
    <t>PVI</t>
  </si>
  <si>
    <t>SBDA</t>
  </si>
  <si>
    <t>NRAL</t>
  </si>
  <si>
    <t>SIR-20 (EUDR)</t>
  </si>
  <si>
    <t>ANEE</t>
  </si>
  <si>
    <t>OKERIN 2122 H</t>
  </si>
  <si>
    <t>BRDE</t>
  </si>
  <si>
    <t>BUNA CB-60</t>
  </si>
  <si>
    <t>CBAC</t>
  </si>
  <si>
    <t>HAF N-330</t>
  </si>
  <si>
    <t>ULTRABEND 4000</t>
  </si>
  <si>
    <t>PEGA</t>
  </si>
  <si>
    <t>PEGB</t>
  </si>
  <si>
    <t>Struktol HT105</t>
  </si>
  <si>
    <t>CBAB</t>
  </si>
  <si>
    <t>TAFC</t>
  </si>
  <si>
    <t>BRDC</t>
  </si>
  <si>
    <t>BR-1220</t>
  </si>
  <si>
    <t>ALCE</t>
  </si>
  <si>
    <t>DCBS</t>
  </si>
  <si>
    <t>ANEM</t>
  </si>
  <si>
    <t>OKERIN 15001 H</t>
  </si>
  <si>
    <t>TAGD</t>
  </si>
  <si>
    <t>TAFN</t>
  </si>
  <si>
    <t>MANOBOND 680C</t>
  </si>
  <si>
    <t>TAGE</t>
  </si>
  <si>
    <t>RA-65</t>
  </si>
  <si>
    <t>Material Kode</t>
  </si>
  <si>
    <t>SPEC001</t>
  </si>
  <si>
    <t>DESC</t>
  </si>
  <si>
    <t>ACAA</t>
  </si>
  <si>
    <t>ACAC</t>
  </si>
  <si>
    <t>ALCD</t>
  </si>
  <si>
    <t>ALCQ</t>
  </si>
  <si>
    <t>ANEA</t>
  </si>
  <si>
    <t>MILY</t>
  </si>
  <si>
    <t>RENACIT-11</t>
  </si>
  <si>
    <t>SBR 1502</t>
  </si>
  <si>
    <t>B-IIR X2</t>
  </si>
  <si>
    <t>Material</t>
  </si>
  <si>
    <t>Natural Rubber</t>
  </si>
  <si>
    <t>Synthetic Rubber</t>
  </si>
  <si>
    <t>Reclaim Rubber</t>
  </si>
  <si>
    <t>Filler</t>
  </si>
  <si>
    <t>Sustainable Filler</t>
  </si>
  <si>
    <t>Oil</t>
  </si>
  <si>
    <t>Sustainable Oil</t>
  </si>
  <si>
    <t>Chemical</t>
  </si>
  <si>
    <t>Sustainable Chemical</t>
  </si>
  <si>
    <t>Reinforcement</t>
  </si>
  <si>
    <t>Sustainable Reinforcement</t>
  </si>
  <si>
    <t>Total Material</t>
  </si>
  <si>
    <t>Material Sustainability</t>
  </si>
  <si>
    <t>NRAA</t>
  </si>
  <si>
    <t>NRAC</t>
  </si>
  <si>
    <t>NRAH</t>
  </si>
  <si>
    <t>BRDD</t>
  </si>
  <si>
    <t>BRDI</t>
  </si>
  <si>
    <t>EPDJ</t>
  </si>
  <si>
    <t>HRDF</t>
  </si>
  <si>
    <t>SBEA</t>
  </si>
  <si>
    <t>SBEE</t>
  </si>
  <si>
    <t>SBEF</t>
  </si>
  <si>
    <t>SBEG</t>
  </si>
  <si>
    <t>SBEH</t>
  </si>
  <si>
    <t>SBEK</t>
  </si>
  <si>
    <t>SBER</t>
  </si>
  <si>
    <t>SBET</t>
  </si>
  <si>
    <t>SBEV</t>
  </si>
  <si>
    <t>SBEX</t>
  </si>
  <si>
    <t>SPEC 001</t>
  </si>
  <si>
    <t>Comp'd</t>
  </si>
  <si>
    <t>WEIGHT (KG)</t>
  </si>
  <si>
    <t>Item Code</t>
  </si>
  <si>
    <t>PHR</t>
  </si>
  <si>
    <t>%</t>
  </si>
  <si>
    <t>Kg</t>
  </si>
  <si>
    <t>MDZ140R</t>
  </si>
  <si>
    <t>SIR-20</t>
  </si>
  <si>
    <t>N-660</t>
  </si>
  <si>
    <t>ESCOREZ 1102</t>
  </si>
  <si>
    <t>HS</t>
  </si>
  <si>
    <t>OKERIN 2122H</t>
  </si>
  <si>
    <t>CRYSTEX OT-20%</t>
  </si>
  <si>
    <t>ALCA</t>
  </si>
  <si>
    <t>CBS</t>
  </si>
  <si>
    <t>ALCC</t>
  </si>
  <si>
    <t>DPG</t>
  </si>
  <si>
    <t>CB-22</t>
  </si>
  <si>
    <t>CBAM</t>
  </si>
  <si>
    <t>N-234</t>
  </si>
  <si>
    <t>CWEM</t>
  </si>
  <si>
    <t>Ultrasil 7000</t>
  </si>
  <si>
    <t>MILM</t>
  </si>
  <si>
    <t>AKTIPLAST ST</t>
  </si>
  <si>
    <t>MILP</t>
  </si>
  <si>
    <t>X 50 S</t>
  </si>
  <si>
    <t>SLR 4630</t>
  </si>
  <si>
    <t>JSR HP755</t>
  </si>
  <si>
    <t>TAFX</t>
  </si>
  <si>
    <t>Sylvatraxx 6720</t>
  </si>
  <si>
    <t>ALCR</t>
  </si>
  <si>
    <t>RHENOGRAN HEXA-80</t>
  </si>
  <si>
    <t>CBAN</t>
  </si>
  <si>
    <t>N-375</t>
  </si>
  <si>
    <t>MILD</t>
  </si>
  <si>
    <t>SP-6700</t>
  </si>
  <si>
    <t>PBFH</t>
  </si>
  <si>
    <t>POLYESTER (1500 D/2) 54E</t>
  </si>
  <si>
    <t>SCJN</t>
  </si>
  <si>
    <t>STEEL CORD 3×0.27 HT</t>
  </si>
  <si>
    <t>NBCA</t>
  </si>
  <si>
    <t>NYLON 66 (840 D/2) 52E</t>
  </si>
  <si>
    <t>BWAB</t>
  </si>
  <si>
    <t>BEAD WIRE 1.26 MM</t>
  </si>
  <si>
    <t>TOTAL</t>
  </si>
  <si>
    <t>LS-HAF N-326</t>
  </si>
  <si>
    <t>CWEA</t>
  </si>
  <si>
    <t>CWEH</t>
  </si>
  <si>
    <t>CWEK</t>
  </si>
  <si>
    <t>CWES</t>
  </si>
  <si>
    <t>LOAK</t>
  </si>
  <si>
    <t>LOGA</t>
  </si>
  <si>
    <t>ACAB</t>
  </si>
  <si>
    <t>ACAE</t>
  </si>
  <si>
    <t>ALCU</t>
  </si>
  <si>
    <t>ALCW</t>
  </si>
  <si>
    <t>ANEF</t>
  </si>
  <si>
    <t>ANEG</t>
  </si>
  <si>
    <t>ANEJ</t>
  </si>
  <si>
    <t>ANEK</t>
  </si>
  <si>
    <t>ANEN</t>
  </si>
  <si>
    <t>ANEP</t>
  </si>
  <si>
    <t>COKC</t>
  </si>
  <si>
    <t>MIKJ</t>
  </si>
  <si>
    <t>MILA</t>
  </si>
  <si>
    <t>MILB</t>
  </si>
  <si>
    <t>MILS</t>
  </si>
  <si>
    <t>TAFA</t>
  </si>
  <si>
    <t>TAFR</t>
  </si>
  <si>
    <t>BWAA</t>
  </si>
  <si>
    <t>CFFA</t>
  </si>
  <si>
    <t>NBEE</t>
  </si>
  <si>
    <t>PAEC</t>
  </si>
  <si>
    <t>PAED</t>
  </si>
  <si>
    <t>PAEG</t>
  </si>
  <si>
    <t>PBFD</t>
  </si>
  <si>
    <t>RYBA</t>
  </si>
  <si>
    <t>RYBD</t>
  </si>
  <si>
    <t>SCJE</t>
  </si>
  <si>
    <t>SCJL</t>
  </si>
  <si>
    <t>SCJW</t>
  </si>
  <si>
    <t>PDAA</t>
  </si>
  <si>
    <t>SP-1068</t>
  </si>
  <si>
    <t>ELAZTOBOND A-250</t>
  </si>
  <si>
    <t>PBFG</t>
  </si>
  <si>
    <t>PBFE</t>
  </si>
  <si>
    <t>TAFQ</t>
  </si>
  <si>
    <t>STEEL CORD 3x0.27 HT</t>
  </si>
  <si>
    <t>SR HP755</t>
  </si>
  <si>
    <t>PAI IAN HWA CC(white filler)</t>
  </si>
  <si>
    <t>TBB9</t>
  </si>
  <si>
    <t>6PPr</t>
  </si>
  <si>
    <t>TMC</t>
  </si>
  <si>
    <t>SIR-10</t>
  </si>
  <si>
    <t>SBR 1723</t>
  </si>
  <si>
    <t>MBT</t>
  </si>
  <si>
    <t>TMO</t>
  </si>
  <si>
    <t>SUMIKANOL 620</t>
  </si>
  <si>
    <t>SUMIKANOL-507</t>
  </si>
  <si>
    <t>COMPOUND SO TREAD OES</t>
  </si>
  <si>
    <t>STEEL CORD 3x0,27 HT</t>
  </si>
  <si>
    <t>BEAD WIRE 1,26 MM</t>
  </si>
  <si>
    <t>SPEC 002</t>
  </si>
  <si>
    <t>SPEC 003</t>
  </si>
  <si>
    <t>POLYESTER (1500 D/2) 46E</t>
  </si>
  <si>
    <t>NYLON 66 (1260 D/2) 52E</t>
  </si>
  <si>
    <t>SIR-1</t>
  </si>
  <si>
    <t>SPEC 004</t>
  </si>
  <si>
    <t>% MATERIAL REPLACED</t>
  </si>
  <si>
    <t>CATEGORY</t>
  </si>
  <si>
    <t>WWC</t>
  </si>
  <si>
    <t>WWB</t>
  </si>
  <si>
    <t>RCBW</t>
  </si>
  <si>
    <t>YYYA</t>
  </si>
  <si>
    <t>YYYB</t>
  </si>
  <si>
    <t xml:space="preserve">    </t>
  </si>
  <si>
    <t>SPEC002</t>
  </si>
  <si>
    <t>SPEC003</t>
  </si>
  <si>
    <t>SPEC004</t>
  </si>
  <si>
    <t>SPEC005</t>
  </si>
  <si>
    <t>SPEC 007</t>
  </si>
  <si>
    <t>Detail Material</t>
  </si>
  <si>
    <t>XYZTU</t>
  </si>
  <si>
    <t>CODE MATERIAL REPLACED</t>
  </si>
  <si>
    <t>CODE MATERIAL SUSTAINABILIY</t>
  </si>
  <si>
    <t>% MATERIAL SUSTAINABILIY</t>
  </si>
  <si>
    <t>SUSTAINABILITY CLASSIFICATION</t>
  </si>
  <si>
    <t>MATERIAL SUSTAINABILITY REPLACEMENT</t>
  </si>
  <si>
    <t>Change Material - 1</t>
  </si>
  <si>
    <t>Change Material - 2</t>
  </si>
  <si>
    <t>Change Material - 3</t>
  </si>
  <si>
    <t>Author Now : Agusti</t>
  </si>
  <si>
    <t>INFORMATION LOG : Sedang dalam tahap pengembangam, segala kesalahan/error harap hubungi admin : rizkyagusti7@gmail.com</t>
  </si>
  <si>
    <t>Redo Value Material</t>
  </si>
  <si>
    <t>Author : Agusti</t>
  </si>
  <si>
    <t>Baris</t>
  </si>
  <si>
    <t>Kolom</t>
  </si>
  <si>
    <t>ID</t>
  </si>
  <si>
    <t>Waku Perubahan</t>
  </si>
  <si>
    <t>Spec</t>
  </si>
  <si>
    <t>Nama Material</t>
  </si>
  <si>
    <t>Sebelum</t>
  </si>
  <si>
    <t>Sesudah</t>
  </si>
  <si>
    <t xml:space="preserve">Redo Value Material </t>
  </si>
  <si>
    <t>No</t>
  </si>
  <si>
    <t>Tanggal</t>
  </si>
  <si>
    <t>Sheet</t>
  </si>
  <si>
    <t>*History lengkap tersedia di sheet hitory</t>
  </si>
  <si>
    <t>Material Baru</t>
  </si>
  <si>
    <t>Undo Material Replacement (Action ID: 49065531)</t>
  </si>
  <si>
    <t>Undo Material Replacement (Action ID: 48706883)</t>
  </si>
  <si>
    <t>Undo Material Replacement (Action ID: 48454727)</t>
  </si>
  <si>
    <t>Undo Material Replacement (Action ID: 46691555)</t>
  </si>
  <si>
    <t>Undo Material Replacement (Action ID: 43825008)</t>
  </si>
  <si>
    <t>Status</t>
  </si>
  <si>
    <t>Undo Material Replacement (Action ID: 49176148)</t>
  </si>
  <si>
    <t>Undo Material Replacement (Action ID: 49256758)</t>
  </si>
  <si>
    <t>Action ID</t>
  </si>
  <si>
    <t>Material Lama</t>
  </si>
  <si>
    <t>Perubahan</t>
  </si>
  <si>
    <t>Jenis</t>
  </si>
  <si>
    <t>Nilai Lama</t>
  </si>
  <si>
    <t>Nilai Baru</t>
  </si>
  <si>
    <t>Undo Material Replacement (Action ID: 49572086)</t>
  </si>
  <si>
    <t>Undo Material Replacement (Action ID: 49727836)</t>
  </si>
  <si>
    <t>Undo Material Replacement (Action ID: 49820664)</t>
  </si>
  <si>
    <t>Undo Material Replacement (Action ID: 49877879)</t>
  </si>
  <si>
    <t>Undo Material Replacement (Action ID: 49944312)</t>
  </si>
  <si>
    <t>UNDO REPLACED MATERIAL</t>
  </si>
  <si>
    <t>Replace Material HRDG</t>
  </si>
  <si>
    <t>Undo Material Replacement (Action ID: 50506926)</t>
  </si>
  <si>
    <t>Replace Material HRDG (Action ID: 50797129)</t>
  </si>
  <si>
    <t>Undo Material Replacement (Action ID: 50797129)</t>
  </si>
  <si>
    <t>Author : Agus</t>
  </si>
  <si>
    <t>Multiple Replace: HRDG -&gt; NEW-HRDG;  (Action ID: 61072695)</t>
  </si>
  <si>
    <t>Undo Multiple Material Replacement (Action ID: 61072695)</t>
  </si>
  <si>
    <t>Multiple Replace: HRDG -&gt; NEW-HRDG; SBDA -&gt; NEW-SBDA;  (Action ID: 61275723)</t>
  </si>
  <si>
    <t>Multiple Replace: HRDG -&gt; NEW-HRDG; SBDA -&gt; NEW-SBDA; BRDE -&gt; NEW-BRDE;  (Action ID: 61394887)</t>
  </si>
  <si>
    <t>Multiple Material Replacement (Action ID: 61804875)</t>
  </si>
  <si>
    <t>Undo Material Replacement (Action ID: 61804875)</t>
  </si>
  <si>
    <t>Multiple Material Replacement (Action ID: 61863699)</t>
  </si>
  <si>
    <t>Undo Material Replacement (Action ID: 61863699)</t>
  </si>
  <si>
    <t>Multiple Material Replacement (Action ID: 61902336)</t>
  </si>
  <si>
    <t>Undo Material Replacement (Action ID: 61902336)</t>
  </si>
  <si>
    <t>Multiple Material Replacement (Action ID: 62824844)</t>
  </si>
  <si>
    <t>Undo Material Replacement (Action ID: 62824844)</t>
  </si>
  <si>
    <t>Multiple Material Replacement (Action ID: 63080316)</t>
  </si>
  <si>
    <t>Multiple Material Replacement (Action ID: 63109918)</t>
  </si>
  <si>
    <t>Multiple Material Replacement (Action ID: 63145262)</t>
  </si>
  <si>
    <t>Multiple Material Replacement (Action ID: 63191180)</t>
  </si>
  <si>
    <t>Author : ASPAL</t>
  </si>
  <si>
    <t>Multiple Material Replacement (Action ID: ACT20250608175527434)</t>
  </si>
  <si>
    <t>Multiple Material Replacement (Action ID: 65436109)</t>
  </si>
  <si>
    <t>Multiple Material Replacement (Action ID: 65616812)</t>
  </si>
  <si>
    <t>Multiple Material Replacement (Action ID: 66229938)</t>
  </si>
  <si>
    <t>Multiple Material Replacement (Action ID: 66260516)</t>
  </si>
  <si>
    <t>Undo Material Replacement (Action ID: 66260516)</t>
  </si>
  <si>
    <t>Undo Material Replacement (Action ID: 66229938)</t>
  </si>
  <si>
    <t>Multiple Material Replacement (Action ID: 66394281)</t>
  </si>
  <si>
    <t>Undo Material Replacement (Action ID: 66394281)</t>
  </si>
  <si>
    <t>Multiple Material Replacement (Action ID: 66500852)</t>
  </si>
  <si>
    <t>Undo Material Replacement (Action ID: 66500852)</t>
  </si>
  <si>
    <t>Multiple Material Replacement (Action ID: 66800117)</t>
  </si>
  <si>
    <t>Undo Material Replacement (Action ID: 66800117)</t>
  </si>
  <si>
    <t>Multiple Material Replacement (Action ID: 85129320)</t>
  </si>
  <si>
    <t>Undo Material Replacement (Action ID: 85129320)</t>
  </si>
  <si>
    <t>Multiple Material Replacement (Action ID: 36531102)</t>
  </si>
  <si>
    <t>Undo Material Replacement (Action ID: 36531102)</t>
  </si>
  <si>
    <t>Multiple Material Replacement (Action ID: 37735805)</t>
  </si>
  <si>
    <t>Multiple Material Replacement (Action ID: 37798887)</t>
  </si>
  <si>
    <t>Undo Material Replacement (Action ID: 37798887)</t>
  </si>
  <si>
    <t>Undo Material Replacement (Action ID: 37735805)</t>
  </si>
  <si>
    <t>Kategori Material Sustainability</t>
  </si>
  <si>
    <t>Kondisi</t>
  </si>
  <si>
    <t>Kombinasi</t>
  </si>
  <si>
    <t>Material 1</t>
  </si>
  <si>
    <t>Improvement</t>
  </si>
  <si>
    <t>Kategori</t>
  </si>
  <si>
    <t>YES</t>
  </si>
  <si>
    <t>Material Diganti</t>
  </si>
  <si>
    <t>Material Pengganti</t>
  </si>
  <si>
    <t>Multiple Material Replacement (Action ID: 450421)</t>
  </si>
  <si>
    <t>Sustainability Per Category</t>
  </si>
  <si>
    <t>Undo Material Replacement (Action ID: 450421)</t>
  </si>
  <si>
    <t>Category</t>
  </si>
  <si>
    <t>Multiple Material Replacement (Action ID: 31893576)</t>
  </si>
  <si>
    <t>Multiple Material Replacement (Action ID: 34466281)</t>
  </si>
  <si>
    <t>Multiple Material Replacement (Action ID: 34835895)</t>
  </si>
  <si>
    <t>Multiple Material Replacement (Action ID: 35163121)</t>
  </si>
  <si>
    <t>Multiple Material Replacement (Action ID: 35297785)</t>
  </si>
  <si>
    <t>Undo Material Replacement (Action ID: 35297785)</t>
  </si>
  <si>
    <t>Undo Material Replacement (Action ID: 35163121)</t>
  </si>
  <si>
    <t>Multiple Material Replacement (Action ID: 35355836)</t>
  </si>
  <si>
    <t>Material 1 + 2</t>
  </si>
  <si>
    <t>Material 1 + 2 + 3</t>
  </si>
  <si>
    <t>SUS-HRDG</t>
  </si>
  <si>
    <t>SUS-ACAA</t>
  </si>
  <si>
    <t>SUS-LOBA</t>
  </si>
  <si>
    <t>Total (NWT) Production Tires</t>
  </si>
  <si>
    <t>Portion per size (%)</t>
  </si>
  <si>
    <t>Portion Material sustainability</t>
  </si>
  <si>
    <t>ALL CATEGORY</t>
  </si>
  <si>
    <t>Author : aGUSTI</t>
  </si>
  <si>
    <t>Undo Material Replacement (Action ID: 35355836)</t>
  </si>
  <si>
    <t>Undo Material Replacement (Action ID: 34835895)</t>
  </si>
  <si>
    <t>Undo Material Replacement (Action ID: 34466281)</t>
  </si>
  <si>
    <t>Undo Material Replacement (Action ID: 31893576)</t>
  </si>
  <si>
    <t>SISA NWT</t>
  </si>
  <si>
    <t>Multiple Material Replacement (Action ID: 38151355)</t>
  </si>
  <si>
    <t>Undo Material Replacement (Action ID: 38151355)</t>
  </si>
  <si>
    <t>Multiple Material Replacement (Action ID: 38532621)</t>
  </si>
  <si>
    <t>Undo Material Replacement (Action ID: 38532621)</t>
  </si>
  <si>
    <t>Multiple Material Replacement (Action ID: 38664004)</t>
  </si>
  <si>
    <t>Undo Material Replacement (Action ID: 38664004)</t>
  </si>
  <si>
    <t>Multiple Material Replacement (Action ID: 38744703)</t>
  </si>
  <si>
    <t>Undo Material Replacement (Action ID: 38744703)</t>
  </si>
  <si>
    <t>Multiple Material Replacement (Action ID: 38891438)</t>
  </si>
  <si>
    <t>Multiple Material Replacement (Action ID: 39914293)</t>
  </si>
  <si>
    <t>Multiple Material Replacement (Action ID: 39975578)</t>
  </si>
  <si>
    <t>Multiple Material Replacement (Action ID: 42068312)</t>
  </si>
  <si>
    <t>Multiple Material Replacement (Action ID: 42822770)</t>
  </si>
  <si>
    <t>Multiple Material Replacement (Action ID: 42926676)</t>
  </si>
  <si>
    <t>Multiple Material Replacement (Action ID: 45352441)</t>
  </si>
  <si>
    <t>Sustainability After:</t>
  </si>
  <si>
    <t>Change:</t>
  </si>
  <si>
    <t>Multiple Material Replacement (Action ID: 45470281)</t>
  </si>
  <si>
    <t>acaa</t>
  </si>
  <si>
    <t>sus-acaa</t>
  </si>
  <si>
    <t>loba</t>
  </si>
  <si>
    <t>sus-loba</t>
  </si>
  <si>
    <t>I</t>
  </si>
  <si>
    <t>REPLACE</t>
  </si>
  <si>
    <t>ADD_TO_EXISTING</t>
  </si>
  <si>
    <t>-</t>
  </si>
  <si>
    <t>LAIN</t>
  </si>
  <si>
    <t>GANTI</t>
  </si>
  <si>
    <t>Undo Material Replacement (Action ID: 84708188)</t>
  </si>
  <si>
    <t>Material Replacement (Action ID: 11/06/2025 23:53:20)</t>
  </si>
  <si>
    <t>Material Replacement (Action ID: 12/06/2025 00:12:52)</t>
  </si>
  <si>
    <t>Author : agus</t>
  </si>
  <si>
    <t>Material Replacement (Action ID: 12/06/2025 11:10:02)</t>
  </si>
  <si>
    <t>Author : gh</t>
  </si>
  <si>
    <t>Material Replacement (Action ID: 12/06/2025 18:43:19)</t>
  </si>
  <si>
    <t>Material Replacement (Action ID: 12/06/2025 18:44:58)</t>
  </si>
  <si>
    <t>Material Replacement (Action ID: 12/06/2025 18:45:59)</t>
  </si>
  <si>
    <t>Total NWT</t>
  </si>
  <si>
    <t>Material Replacement (Action ID: 12/06/2025 19:59:14)</t>
  </si>
  <si>
    <t>Author : gs</t>
  </si>
  <si>
    <t>sbda</t>
  </si>
  <si>
    <t>sus-sbda</t>
  </si>
  <si>
    <t>SUS-SBDA</t>
  </si>
  <si>
    <t>H</t>
  </si>
  <si>
    <t>INSERT_NEW_MATERIAL</t>
  </si>
  <si>
    <t>SET_NEW_MATERIAL_VALUE</t>
  </si>
  <si>
    <t>Material Replacement (Action ID: 12/06/2025 20:08:43)</t>
  </si>
  <si>
    <t>s</t>
  </si>
  <si>
    <t>Multiple Material Replacement (Action ID: 73590531)</t>
  </si>
  <si>
    <t>Material Replacement (Action ID: 12/06/2025 20:26:41)</t>
  </si>
  <si>
    <t>Undo Material Replacement (Action ID: 73590531)</t>
  </si>
  <si>
    <t>Multiple Material Replacement (Action ID: 75007023)</t>
  </si>
  <si>
    <t>Material Replacement (Action ID: 12/06/2025 20:50:18)</t>
  </si>
  <si>
    <t>Undo Material Replacement (Action ID: 75007023)</t>
  </si>
  <si>
    <t>Total Sustainable</t>
  </si>
  <si>
    <t>Multiple Material Replacement (Action ID: 81507438)</t>
  </si>
  <si>
    <t>Material Replacement (Action ID: 12/06/2025 22:38:38)</t>
  </si>
  <si>
    <t>Sustainability Before:</t>
  </si>
  <si>
    <t>Multiple Material Replacement (Action ID: 3513755)</t>
  </si>
  <si>
    <t>Material Replacement (Action ID: 13/06/2025 00:58:45)</t>
  </si>
  <si>
    <t>NWT Sebelum</t>
  </si>
  <si>
    <t>NWT Sesudah</t>
  </si>
  <si>
    <r>
      <t xml:space="preserve">KALKULASI KOMBINASI MATERIAL </t>
    </r>
    <r>
      <rPr>
        <b/>
        <i/>
        <sz val="20"/>
        <color theme="1"/>
        <rFont val="Calibri"/>
        <family val="2"/>
        <scheme val="minor"/>
      </rPr>
      <t>SUSTAINABILITY</t>
    </r>
  </si>
  <si>
    <r>
      <rPr>
        <b/>
        <i/>
        <sz val="20"/>
        <color theme="1"/>
        <rFont val="Calibri"/>
        <family val="2"/>
        <scheme val="minor"/>
      </rPr>
      <t>SUSTAINABILITY</t>
    </r>
    <r>
      <rPr>
        <b/>
        <sz val="20"/>
        <color theme="1"/>
        <rFont val="Calibri"/>
        <family val="2"/>
        <scheme val="minor"/>
      </rPr>
      <t xml:space="preserve"> KESELURUHAN</t>
    </r>
  </si>
  <si>
    <r>
      <t xml:space="preserve">Sebelum </t>
    </r>
    <r>
      <rPr>
        <b/>
        <i/>
        <sz val="20"/>
        <color theme="1"/>
        <rFont val="Calibri"/>
        <family val="2"/>
        <scheme val="minor"/>
      </rPr>
      <t>Replacement</t>
    </r>
  </si>
  <si>
    <r>
      <t xml:space="preserve">Sesudah </t>
    </r>
    <r>
      <rPr>
        <b/>
        <i/>
        <sz val="20"/>
        <color theme="1"/>
        <rFont val="Calibri"/>
        <family val="2"/>
        <scheme val="minor"/>
      </rPr>
      <t>Replacement</t>
    </r>
  </si>
  <si>
    <r>
      <rPr>
        <b/>
        <i/>
        <sz val="14"/>
        <color theme="1"/>
        <rFont val="Calibri"/>
        <family val="2"/>
        <scheme val="minor"/>
      </rPr>
      <t>Sustainability</t>
    </r>
    <r>
      <rPr>
        <b/>
        <sz val="14"/>
        <color theme="1"/>
        <rFont val="Calibri"/>
        <family val="2"/>
        <scheme val="minor"/>
      </rPr>
      <t xml:space="preserve"> Sebelum</t>
    </r>
  </si>
  <si>
    <r>
      <rPr>
        <b/>
        <i/>
        <sz val="14"/>
        <color theme="1"/>
        <rFont val="Calibri"/>
        <family val="2"/>
        <scheme val="minor"/>
      </rPr>
      <t>Sustainability</t>
    </r>
    <r>
      <rPr>
        <b/>
        <sz val="14"/>
        <color theme="1"/>
        <rFont val="Calibri"/>
        <family val="2"/>
        <scheme val="minor"/>
      </rPr>
      <t xml:space="preserve"> Sesudah</t>
    </r>
  </si>
  <si>
    <r>
      <rPr>
        <b/>
        <i/>
        <sz val="20"/>
        <color theme="1"/>
        <rFont val="Calibri"/>
        <family val="2"/>
        <scheme val="minor"/>
      </rPr>
      <t>SUSTAINABILITY</t>
    </r>
    <r>
      <rPr>
        <b/>
        <sz val="20"/>
        <color theme="1"/>
        <rFont val="Calibri"/>
        <family val="2"/>
        <scheme val="minor"/>
      </rPr>
      <t xml:space="preserve">  MATERIAL</t>
    </r>
  </si>
  <si>
    <t>Undo Material Replacement (Action ID: 3513755)</t>
  </si>
  <si>
    <t>Multiple Material Replacement (Action ID: 3892069)</t>
  </si>
  <si>
    <t>Material Replacement (Action ID: 13/06/2025 01:05:02)</t>
  </si>
  <si>
    <t>BUILD  VERSION 1.3 | LAST UPDATE 13/06/2025 | ACTIVE</t>
  </si>
  <si>
    <t>SUS-CBAN</t>
  </si>
  <si>
    <t>Multiple Material Replacement (Action ID: 30337623)</t>
  </si>
  <si>
    <t>Material Replacement (Action ID: 13/06/2025 08:25:43)</t>
  </si>
  <si>
    <t>Multiple Material Replacement (Action ID: 30900924)</t>
  </si>
  <si>
    <t>Material Replacement (Action ID: 13/06/2025 08:35:08)</t>
  </si>
  <si>
    <t>SUS-BRDI</t>
  </si>
  <si>
    <t>Multiple Material Replacement (Action ID: 35891809)</t>
  </si>
  <si>
    <t>Material Replacement (Action ID: 13/06/2025 09:58:21)</t>
  </si>
  <si>
    <t>Multiple Material Replacement (Action ID: 36576555)</t>
  </si>
  <si>
    <t>Material Replacement (Action ID: 13/06/2025 10:09:45)</t>
  </si>
  <si>
    <t>0,00</t>
  </si>
  <si>
    <t>Row 7 Col I</t>
  </si>
  <si>
    <t>Multiple Material Replacement (Action ID: 52354902)</t>
  </si>
  <si>
    <t>Material Replacement (Action ID: 15/06/2025 14:32:43)</t>
  </si>
  <si>
    <t>Undo Material Replacement (Action ID: 52354902)</t>
  </si>
  <si>
    <t>Undo Material Replacement (Action ID: 36576555)</t>
  </si>
  <si>
    <t>SUS-CBAC</t>
  </si>
  <si>
    <t>0,28</t>
  </si>
  <si>
    <t>Multiple Material Replacement (Action ID: 58886039)</t>
  </si>
  <si>
    <t>Material Replacement (Action ID: 15/06/2025 16:21:55)</t>
  </si>
  <si>
    <t>15/06 16:42</t>
  </si>
  <si>
    <t>Row 110 Col I</t>
  </si>
  <si>
    <t>0,29</t>
  </si>
  <si>
    <t>Row 110 Col H</t>
  </si>
  <si>
    <t>Row 35 Col I</t>
  </si>
  <si>
    <t>0,42</t>
  </si>
  <si>
    <t>Row 116 Col I</t>
  </si>
  <si>
    <t>0,57</t>
  </si>
  <si>
    <t>0,14</t>
  </si>
  <si>
    <t>Multiple Material Replacement (Action ID: 60119848)</t>
  </si>
  <si>
    <t>Material Replacement (Action ID: 15/06/2025 16:42:21)</t>
  </si>
  <si>
    <t>loak</t>
  </si>
  <si>
    <t>sus-loak</t>
  </si>
  <si>
    <t>SUS-LOAK</t>
  </si>
  <si>
    <t>SUSTAINABLE OIL</t>
  </si>
  <si>
    <t>NATURAL RUBBER</t>
  </si>
  <si>
    <t>sbeh</t>
  </si>
  <si>
    <t>sus-sbeh</t>
  </si>
  <si>
    <t>SUS-SBEH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</si>
</sst>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"/>
    <numFmt numFmtId="167" formatCode="0.00000"/>
    <numFmt numFmtId="168" formatCode="dd/mm\ hh:mm"/>
    <numFmt numFmtId="169" formatCode="0.0%"/>
    <numFmt numFmtId="170" formatCode="0.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color rgb="FF80808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rgb="FFFF0000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8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medium">
        <color indexed="8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medium">
        <color indexed="8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8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8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0" fillId="0" borderId="1" xfId="0" applyBorder="1"/>
    <xf numFmtId="164" fontId="0" fillId="0" borderId="0" xfId="0" applyNumberFormat="1"/>
    <xf numFmtId="0" fontId="3" fillId="0" borderId="1" xfId="0" applyFont="1" applyBorder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3" fillId="0" borderId="0" xfId="0" applyFont="1"/>
    <xf numFmtId="0" fontId="3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2" fillId="0" borderId="6" xfId="0" applyFont="1" applyBorder="1" applyAlignment="1">
      <alignment vertical="center" wrapText="1"/>
    </xf>
    <xf numFmtId="10" fontId="0" fillId="0" borderId="7" xfId="1" applyNumberFormat="1" applyFont="1" applyBorder="1"/>
    <xf numFmtId="10" fontId="0" fillId="0" borderId="7" xfId="0" applyNumberFormat="1" applyBorder="1"/>
    <xf numFmtId="10" fontId="0" fillId="0" borderId="8" xfId="0" applyNumberFormat="1" applyBorder="1"/>
    <xf numFmtId="0" fontId="0" fillId="0" borderId="6" xfId="0" applyBorder="1" applyAlignment="1">
      <alignment vertical="center" wrapText="1"/>
    </xf>
    <xf numFmtId="0" fontId="3" fillId="3" borderId="6" xfId="0" applyFont="1" applyFill="1" applyBorder="1" applyAlignment="1">
      <alignment vertical="center" wrapText="1"/>
    </xf>
    <xf numFmtId="167" fontId="0" fillId="0" borderId="7" xfId="0" quotePrefix="1" applyNumberFormat="1" applyBorder="1" applyAlignment="1">
      <alignment horizontal="right" vertical="center"/>
    </xf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7" fillId="0" borderId="7" xfId="0" applyFont="1" applyBorder="1"/>
    <xf numFmtId="0" fontId="11" fillId="0" borderId="7" xfId="0" applyFont="1" applyBorder="1"/>
    <xf numFmtId="0" fontId="10" fillId="0" borderId="9" xfId="0" applyFont="1" applyBorder="1"/>
    <xf numFmtId="0" fontId="11" fillId="0" borderId="7" xfId="0" applyFont="1" applyBorder="1" applyAlignment="1">
      <alignment horizontal="right"/>
    </xf>
    <xf numFmtId="9" fontId="11" fillId="0" borderId="7" xfId="1" applyFont="1" applyBorder="1" applyAlignment="1">
      <alignment horizontal="right"/>
    </xf>
    <xf numFmtId="22" fontId="0" fillId="0" borderId="0" xfId="0" applyNumberFormat="1"/>
    <xf numFmtId="0" fontId="5" fillId="0" borderId="7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165" fontId="4" fillId="0" borderId="7" xfId="0" applyNumberFormat="1" applyFont="1" applyBorder="1" applyAlignment="1">
      <alignment horizontal="right" vertical="center" wrapText="1"/>
    </xf>
    <xf numFmtId="0" fontId="0" fillId="0" borderId="7" xfId="0" applyBorder="1"/>
    <xf numFmtId="0" fontId="3" fillId="0" borderId="0" xfId="0" applyFont="1" applyAlignment="1">
      <alignment horizontal="center"/>
    </xf>
    <xf numFmtId="0" fontId="0" fillId="0" borderId="7" xfId="0" applyFont="1" applyBorder="1" applyAlignment="1"/>
    <xf numFmtId="0" fontId="3" fillId="0" borderId="7" xfId="0" applyFont="1" applyBorder="1"/>
    <xf numFmtId="168" fontId="0" fillId="0" borderId="7" xfId="0" applyNumberFormat="1" applyFont="1" applyBorder="1" applyAlignment="1"/>
    <xf numFmtId="168" fontId="0" fillId="0" borderId="7" xfId="0" applyNumberFormat="1" applyBorder="1"/>
    <xf numFmtId="2" fontId="0" fillId="0" borderId="7" xfId="0" applyNumberFormat="1" applyFont="1" applyBorder="1" applyAlignment="1"/>
    <xf numFmtId="2" fontId="0" fillId="0" borderId="7" xfId="0" applyNumberFormat="1" applyBorder="1"/>
    <xf numFmtId="0" fontId="13" fillId="0" borderId="7" xfId="0" applyFont="1" applyBorder="1" applyAlignment="1"/>
    <xf numFmtId="10" fontId="0" fillId="0" borderId="0" xfId="0" applyNumberFormat="1"/>
    <xf numFmtId="0" fontId="3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0" fontId="3" fillId="0" borderId="7" xfId="0" applyFont="1" applyFill="1" applyBorder="1" applyAlignment="1">
      <alignment horizontal="center"/>
    </xf>
    <xf numFmtId="164" fontId="0" fillId="0" borderId="7" xfId="0" applyNumberFormat="1" applyBorder="1" applyAlignment="1">
      <alignment horizontal="center" vertical="center" wrapText="1"/>
    </xf>
    <xf numFmtId="0" fontId="3" fillId="0" borderId="7" xfId="0" applyFont="1" applyBorder="1" applyAlignment="1">
      <alignment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/>
    </xf>
    <xf numFmtId="9" fontId="0" fillId="0" borderId="7" xfId="1" applyFont="1" applyBorder="1"/>
    <xf numFmtId="10" fontId="0" fillId="4" borderId="18" xfId="0" applyNumberFormat="1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0" fontId="0" fillId="0" borderId="25" xfId="0" applyNumberFormat="1" applyBorder="1"/>
    <xf numFmtId="10" fontId="0" fillId="4" borderId="25" xfId="0" applyNumberFormat="1" applyFill="1" applyBorder="1"/>
    <xf numFmtId="0" fontId="0" fillId="0" borderId="26" xfId="0" applyBorder="1"/>
    <xf numFmtId="0" fontId="0" fillId="0" borderId="25" xfId="0" applyBorder="1"/>
    <xf numFmtId="9" fontId="0" fillId="0" borderId="7" xfId="0" applyNumberFormat="1" applyBorder="1"/>
    <xf numFmtId="9" fontId="0" fillId="0" borderId="23" xfId="0" applyNumberFormat="1" applyBorder="1"/>
    <xf numFmtId="10" fontId="0" fillId="4" borderId="26" xfId="0" applyNumberFormat="1" applyFill="1" applyBorder="1"/>
    <xf numFmtId="0" fontId="3" fillId="4" borderId="27" xfId="0" applyFont="1" applyFill="1" applyBorder="1" applyAlignment="1">
      <alignment vertical="center" wrapText="1"/>
    </xf>
    <xf numFmtId="10" fontId="0" fillId="0" borderId="25" xfId="1" applyNumberFormat="1" applyFont="1" applyBorder="1"/>
    <xf numFmtId="0" fontId="15" fillId="0" borderId="7" xfId="0" applyFont="1" applyFill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10" fontId="0" fillId="0" borderId="0" xfId="1" applyNumberFormat="1" applyFont="1"/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10" fontId="0" fillId="0" borderId="0" xfId="1" applyNumberFormat="1" applyFont="1" applyAlignment="1">
      <alignment horizontal="left" vertical="center"/>
    </xf>
    <xf numFmtId="167" fontId="0" fillId="0" borderId="0" xfId="0" applyNumberFormat="1"/>
    <xf numFmtId="166" fontId="0" fillId="0" borderId="0" xfId="0" applyNumberFormat="1"/>
    <xf numFmtId="164" fontId="0" fillId="0" borderId="7" xfId="0" applyNumberFormat="1" applyBorder="1" applyAlignment="1">
      <alignment vertical="center" wrapText="1"/>
    </xf>
    <xf numFmtId="164" fontId="3" fillId="0" borderId="7" xfId="0" applyNumberFormat="1" applyFont="1" applyBorder="1" applyAlignment="1">
      <alignment horizontal="right"/>
    </xf>
    <xf numFmtId="0" fontId="4" fillId="0" borderId="7" xfId="0" applyFont="1" applyBorder="1" applyAlignment="1">
      <alignment vertical="center" wrapText="1"/>
    </xf>
    <xf numFmtId="10" fontId="0" fillId="0" borderId="0" xfId="1" applyNumberFormat="1" applyFont="1" applyBorder="1"/>
    <xf numFmtId="0" fontId="14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left" vertical="center" wrapText="1"/>
    </xf>
    <xf numFmtId="0" fontId="16" fillId="0" borderId="7" xfId="0" applyFont="1" applyBorder="1"/>
    <xf numFmtId="0" fontId="14" fillId="0" borderId="14" xfId="0" applyFont="1" applyBorder="1" applyAlignment="1">
      <alignment horizontal="center"/>
    </xf>
    <xf numFmtId="0" fontId="16" fillId="0" borderId="7" xfId="0" applyFont="1" applyBorder="1" applyAlignment="1">
      <alignment horizontal="left" vertical="center" wrapText="1"/>
    </xf>
    <xf numFmtId="0" fontId="16" fillId="0" borderId="9" xfId="0" applyFont="1" applyBorder="1"/>
    <xf numFmtId="0" fontId="16" fillId="0" borderId="0" xfId="0" applyFont="1" applyBorder="1"/>
    <xf numFmtId="0" fontId="14" fillId="0" borderId="7" xfId="0" applyFont="1" applyBorder="1"/>
    <xf numFmtId="0" fontId="14" fillId="0" borderId="7" xfId="0" applyFont="1" applyFill="1" applyBorder="1" applyAlignment="1">
      <alignment horizontal="left" vertical="center" wrapText="1"/>
    </xf>
    <xf numFmtId="0" fontId="16" fillId="0" borderId="7" xfId="0" applyFont="1" applyBorder="1" applyAlignment="1">
      <alignment vertical="center" wrapText="1"/>
    </xf>
    <xf numFmtId="167" fontId="16" fillId="0" borderId="7" xfId="0" applyNumberFormat="1" applyFont="1" applyBorder="1" applyAlignment="1">
      <alignment vertical="center" wrapText="1"/>
    </xf>
    <xf numFmtId="0" fontId="0" fillId="0" borderId="32" xfId="0" applyBorder="1"/>
    <xf numFmtId="9" fontId="0" fillId="0" borderId="14" xfId="1" applyFont="1" applyBorder="1"/>
    <xf numFmtId="10" fontId="0" fillId="0" borderId="31" xfId="0" applyNumberFormat="1" applyBorder="1"/>
    <xf numFmtId="10" fontId="0" fillId="4" borderId="7" xfId="0" applyNumberFormat="1" applyFill="1" applyBorder="1"/>
    <xf numFmtId="0" fontId="3" fillId="2" borderId="7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66" fontId="3" fillId="0" borderId="7" xfId="0" applyNumberFormat="1" applyFont="1" applyBorder="1" applyAlignment="1">
      <alignment horizontal="right" vertical="center" wrapText="1"/>
    </xf>
    <xf numFmtId="165" fontId="0" fillId="0" borderId="7" xfId="0" applyNumberFormat="1" applyBorder="1" applyAlignment="1">
      <alignment horizontal="center" vertical="center" wrapText="1"/>
    </xf>
    <xf numFmtId="10" fontId="0" fillId="0" borderId="7" xfId="0" applyNumberFormat="1" applyBorder="1" applyAlignment="1">
      <alignment horizontal="center" vertical="center" wrapText="1"/>
    </xf>
    <xf numFmtId="166" fontId="3" fillId="0" borderId="7" xfId="0" applyNumberFormat="1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64" fontId="3" fillId="0" borderId="7" xfId="0" applyNumberFormat="1" applyFont="1" applyBorder="1" applyAlignment="1">
      <alignment horizontal="right" vertical="center"/>
    </xf>
    <xf numFmtId="0" fontId="3" fillId="3" borderId="7" xfId="0" applyFont="1" applyFill="1" applyBorder="1" applyAlignment="1">
      <alignment vertical="center" wrapText="1"/>
    </xf>
    <xf numFmtId="165" fontId="3" fillId="0" borderId="7" xfId="0" applyNumberFormat="1" applyFont="1" applyBorder="1" applyAlignment="1">
      <alignment horizontal="center" vertical="center" wrapText="1"/>
    </xf>
    <xf numFmtId="9" fontId="3" fillId="0" borderId="7" xfId="0" applyNumberFormat="1" applyFont="1" applyBorder="1" applyAlignment="1">
      <alignment horizontal="center" vertical="center" wrapText="1"/>
    </xf>
    <xf numFmtId="0" fontId="3" fillId="4" borderId="7" xfId="0" applyFont="1" applyFill="1" applyBorder="1" applyAlignment="1">
      <alignment vertical="center" wrapText="1"/>
    </xf>
    <xf numFmtId="10" fontId="3" fillId="0" borderId="7" xfId="0" applyNumberFormat="1" applyFont="1" applyBorder="1" applyAlignment="1">
      <alignment horizontal="center" vertical="center" wrapText="1"/>
    </xf>
    <xf numFmtId="0" fontId="3" fillId="5" borderId="7" xfId="0" applyFont="1" applyFill="1" applyBorder="1" applyAlignment="1">
      <alignment vertical="center" wrapText="1"/>
    </xf>
    <xf numFmtId="1" fontId="0" fillId="0" borderId="7" xfId="0" applyNumberFormat="1" applyBorder="1" applyAlignment="1">
      <alignment vertical="center" wrapText="1"/>
    </xf>
    <xf numFmtId="166" fontId="0" fillId="0" borderId="7" xfId="0" applyNumberFormat="1" applyBorder="1" applyAlignment="1">
      <alignment horizontal="right" vertical="center" wrapText="1"/>
    </xf>
    <xf numFmtId="0" fontId="0" fillId="0" borderId="7" xfId="0" applyBorder="1" applyAlignment="1">
      <alignment horizontal="left" vertical="center" wrapText="1"/>
    </xf>
    <xf numFmtId="164" fontId="3" fillId="0" borderId="7" xfId="0" applyNumberFormat="1" applyFont="1" applyBorder="1" applyAlignment="1">
      <alignment horizontal="right" vertical="center" wrapText="1"/>
    </xf>
    <xf numFmtId="164" fontId="0" fillId="0" borderId="7" xfId="0" applyNumberFormat="1" applyBorder="1" applyAlignment="1">
      <alignment horizontal="right" vertical="center" wrapText="1"/>
    </xf>
    <xf numFmtId="3" fontId="3" fillId="0" borderId="7" xfId="0" applyNumberFormat="1" applyFont="1" applyBorder="1" applyAlignment="1">
      <alignment horizontal="right" vertical="center" wrapText="1"/>
    </xf>
    <xf numFmtId="1" fontId="3" fillId="0" borderId="7" xfId="0" applyNumberFormat="1" applyFont="1" applyBorder="1" applyAlignment="1">
      <alignment vertical="center" wrapText="1"/>
    </xf>
    <xf numFmtId="164" fontId="0" fillId="0" borderId="7" xfId="0" applyNumberFormat="1" applyBorder="1" applyAlignment="1">
      <alignment horizontal="right"/>
    </xf>
    <xf numFmtId="165" fontId="0" fillId="0" borderId="7" xfId="0" applyNumberFormat="1" applyBorder="1" applyAlignment="1">
      <alignment horizontal="right" vertical="center" wrapText="1"/>
    </xf>
    <xf numFmtId="0" fontId="0" fillId="0" borderId="7" xfId="0" applyBorder="1" applyAlignment="1">
      <alignment horizontal="right"/>
    </xf>
    <xf numFmtId="165" fontId="0" fillId="0" borderId="7" xfId="0" applyNumberFormat="1" applyBorder="1" applyAlignment="1">
      <alignment vertical="center" wrapText="1"/>
    </xf>
    <xf numFmtId="0" fontId="0" fillId="0" borderId="7" xfId="0" applyBorder="1" applyAlignment="1">
      <alignment horizontal="right" vertical="center" wrapText="1"/>
    </xf>
    <xf numFmtId="164" fontId="3" fillId="0" borderId="7" xfId="0" applyNumberFormat="1" applyFont="1" applyBorder="1"/>
    <xf numFmtId="9" fontId="0" fillId="0" borderId="7" xfId="0" applyNumberFormat="1" applyBorder="1" applyAlignment="1">
      <alignment horizontal="center" vertical="center" wrapText="1"/>
    </xf>
    <xf numFmtId="49" fontId="2" fillId="0" borderId="7" xfId="0" applyNumberFormat="1" applyFont="1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9" fontId="0" fillId="0" borderId="0" xfId="1" applyFont="1"/>
    <xf numFmtId="169" fontId="0" fillId="0" borderId="0" xfId="1" applyNumberFormat="1" applyFont="1"/>
    <xf numFmtId="0" fontId="0" fillId="0" borderId="0" xfId="0" applyFont="1" applyAlignment="1">
      <alignment horizontal="left" vertical="center"/>
    </xf>
    <xf numFmtId="0" fontId="0" fillId="0" borderId="7" xfId="0" applyFont="1" applyBorder="1" applyAlignment="1">
      <alignment vertical="center" wrapText="1"/>
    </xf>
    <xf numFmtId="164" fontId="0" fillId="0" borderId="7" xfId="0" applyNumberFormat="1" applyFont="1" applyBorder="1" applyAlignment="1">
      <alignment horizontal="right" vertical="center" wrapText="1"/>
    </xf>
    <xf numFmtId="1" fontId="0" fillId="0" borderId="7" xfId="0" applyNumberFormat="1" applyFont="1" applyBorder="1" applyAlignment="1">
      <alignment vertical="center" wrapText="1"/>
    </xf>
    <xf numFmtId="166" fontId="0" fillId="0" borderId="7" xfId="0" applyNumberFormat="1" applyFont="1" applyBorder="1" applyAlignment="1">
      <alignment horizontal="right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0" fontId="3" fillId="0" borderId="34" xfId="0" applyFont="1" applyBorder="1"/>
    <xf numFmtId="0" fontId="3" fillId="0" borderId="35" xfId="0" applyFont="1" applyBorder="1"/>
    <xf numFmtId="0" fontId="2" fillId="0" borderId="36" xfId="0" applyFont="1" applyBorder="1" applyAlignment="1">
      <alignment vertical="center" wrapText="1"/>
    </xf>
    <xf numFmtId="10" fontId="0" fillId="0" borderId="37" xfId="1" applyNumberFormat="1" applyFont="1" applyBorder="1"/>
    <xf numFmtId="10" fontId="0" fillId="0" borderId="38" xfId="1" applyNumberFormat="1" applyFont="1" applyBorder="1"/>
    <xf numFmtId="0" fontId="0" fillId="0" borderId="36" xfId="0" applyBorder="1" applyAlignment="1">
      <alignment vertical="center" wrapText="1"/>
    </xf>
    <xf numFmtId="0" fontId="3" fillId="3" borderId="36" xfId="0" applyFont="1" applyFill="1" applyBorder="1" applyAlignment="1">
      <alignment vertical="center" wrapText="1"/>
    </xf>
    <xf numFmtId="10" fontId="0" fillId="0" borderId="37" xfId="0" applyNumberFormat="1" applyBorder="1"/>
    <xf numFmtId="10" fontId="0" fillId="0" borderId="38" xfId="0" applyNumberFormat="1" applyBorder="1"/>
    <xf numFmtId="0" fontId="3" fillId="4" borderId="39" xfId="0" applyFont="1" applyFill="1" applyBorder="1" applyAlignment="1">
      <alignment vertical="center" wrapText="1"/>
    </xf>
    <xf numFmtId="10" fontId="0" fillId="0" borderId="40" xfId="1" applyNumberFormat="1" applyFont="1" applyBorder="1"/>
    <xf numFmtId="10" fontId="0" fillId="0" borderId="41" xfId="1" applyNumberFormat="1" applyFont="1" applyBorder="1"/>
    <xf numFmtId="170" fontId="16" fillId="0" borderId="37" xfId="1" applyNumberFormat="1" applyFont="1" applyBorder="1"/>
    <xf numFmtId="0" fontId="14" fillId="0" borderId="37" xfId="0" applyFont="1" applyBorder="1" applyAlignment="1">
      <alignment horizontal="center" vertical="center"/>
    </xf>
    <xf numFmtId="170" fontId="14" fillId="4" borderId="37" xfId="1" applyNumberFormat="1" applyFont="1" applyFill="1" applyBorder="1"/>
    <xf numFmtId="167" fontId="16" fillId="4" borderId="7" xfId="0" applyNumberFormat="1" applyFont="1" applyFill="1" applyBorder="1" applyAlignment="1">
      <alignment vertical="center" wrapText="1"/>
    </xf>
    <xf numFmtId="170" fontId="14" fillId="4" borderId="18" xfId="1" applyNumberFormat="1" applyFont="1" applyFill="1" applyBorder="1" applyAlignment="1">
      <alignment horizontal="center" vertical="center" wrapText="1"/>
    </xf>
    <xf numFmtId="170" fontId="14" fillId="4" borderId="7" xfId="1" applyNumberFormat="1" applyFont="1" applyFill="1" applyBorder="1" applyAlignment="1">
      <alignment horizontal="center" vertical="center" wrapText="1"/>
    </xf>
    <xf numFmtId="170" fontId="16" fillId="0" borderId="7" xfId="1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vertical="center" wrapText="1"/>
    </xf>
    <xf numFmtId="166" fontId="0" fillId="0" borderId="0" xfId="0" applyNumberFormat="1" applyAlignment="1">
      <alignment horizontal="left" vertical="center"/>
    </xf>
    <xf numFmtId="170" fontId="7" fillId="4" borderId="18" xfId="1" applyNumberFormat="1" applyFont="1" applyFill="1" applyBorder="1" applyAlignment="1">
      <alignment horizontal="center" vertical="center" wrapText="1"/>
    </xf>
    <xf numFmtId="170" fontId="11" fillId="0" borderId="18" xfId="1" applyNumberFormat="1" applyFont="1" applyBorder="1" applyAlignment="1">
      <alignment horizontal="center" vertical="center" wrapText="1"/>
    </xf>
    <xf numFmtId="0" fontId="19" fillId="0" borderId="7" xfId="0" applyFont="1" applyBorder="1" applyAlignment="1">
      <alignment horizontal="left" vertical="center" wrapText="1"/>
    </xf>
    <xf numFmtId="0" fontId="0" fillId="0" borderId="0" xfId="0" applyFont="1"/>
    <xf numFmtId="0" fontId="0" fillId="0" borderId="37" xfId="0" applyFont="1" applyBorder="1"/>
    <xf numFmtId="164" fontId="0" fillId="0" borderId="37" xfId="0" applyNumberFormat="1" applyFont="1" applyBorder="1" applyAlignment="1">
      <alignment horizontal="right"/>
    </xf>
    <xf numFmtId="170" fontId="7" fillId="4" borderId="7" xfId="1" applyNumberFormat="1" applyFont="1" applyFill="1" applyBorder="1" applyAlignment="1">
      <alignment horizontal="center"/>
    </xf>
    <xf numFmtId="0" fontId="5" fillId="0" borderId="37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165" fontId="4" fillId="0" borderId="37" xfId="0" applyNumberFormat="1" applyFont="1" applyBorder="1" applyAlignment="1">
      <alignment horizontal="right" vertical="center" wrapText="1"/>
    </xf>
    <xf numFmtId="167" fontId="0" fillId="0" borderId="37" xfId="0" quotePrefix="1" applyNumberFormat="1" applyFont="1" applyBorder="1" applyAlignment="1">
      <alignment horizontal="right" vertical="center"/>
    </xf>
    <xf numFmtId="0" fontId="0" fillId="0" borderId="37" xfId="0" applyFont="1" applyBorder="1" applyAlignment="1">
      <alignment vertical="center" wrapText="1"/>
    </xf>
    <xf numFmtId="164" fontId="0" fillId="0" borderId="37" xfId="0" applyNumberFormat="1" applyFont="1" applyBorder="1" applyAlignment="1">
      <alignment horizontal="right" vertical="center" wrapText="1"/>
    </xf>
    <xf numFmtId="1" fontId="0" fillId="0" borderId="37" xfId="0" applyNumberFormat="1" applyFont="1" applyBorder="1" applyAlignment="1">
      <alignment vertical="center" wrapText="1"/>
    </xf>
    <xf numFmtId="166" fontId="0" fillId="0" borderId="37" xfId="0" applyNumberFormat="1" applyFont="1" applyBorder="1" applyAlignment="1">
      <alignment horizontal="right" vertical="center" wrapText="1"/>
    </xf>
    <xf numFmtId="9" fontId="11" fillId="4" borderId="7" xfId="1" applyFont="1" applyFill="1" applyBorder="1" applyAlignment="1">
      <alignment horizontal="right"/>
    </xf>
    <xf numFmtId="167" fontId="0" fillId="0" borderId="37" xfId="0" quotePrefix="1" applyNumberFormat="1" applyBorder="1" applyAlignment="1">
      <alignment horizontal="right" vertical="center"/>
    </xf>
    <xf numFmtId="0" fontId="3" fillId="0" borderId="37" xfId="0" applyFont="1" applyBorder="1" applyAlignment="1">
      <alignment vertical="center" wrapText="1"/>
    </xf>
    <xf numFmtId="164" fontId="0" fillId="0" borderId="37" xfId="0" applyNumberFormat="1" applyBorder="1" applyAlignment="1">
      <alignment vertical="center" wrapText="1"/>
    </xf>
    <xf numFmtId="164" fontId="3" fillId="0" borderId="37" xfId="0" applyNumberFormat="1" applyFont="1" applyBorder="1" applyAlignment="1">
      <alignment horizontal="right" vertical="center" wrapText="1"/>
    </xf>
    <xf numFmtId="0" fontId="0" fillId="0" borderId="37" xfId="0" applyBorder="1" applyAlignment="1">
      <alignment vertical="center" wrapText="1"/>
    </xf>
    <xf numFmtId="1" fontId="0" fillId="0" borderId="37" xfId="0" applyNumberFormat="1" applyBorder="1" applyAlignment="1">
      <alignment vertical="center" wrapText="1"/>
    </xf>
    <xf numFmtId="166" fontId="0" fillId="0" borderId="37" xfId="0" applyNumberFormat="1" applyBorder="1" applyAlignment="1">
      <alignment horizontal="right" vertical="center" wrapText="1"/>
    </xf>
    <xf numFmtId="164" fontId="0" fillId="0" borderId="37" xfId="0" applyNumberFormat="1" applyFont="1" applyBorder="1" applyAlignment="1">
      <alignment vertical="center" wrapText="1"/>
    </xf>
    <xf numFmtId="0" fontId="0" fillId="0" borderId="37" xfId="0" applyBorder="1"/>
    <xf numFmtId="0" fontId="3" fillId="0" borderId="37" xfId="0" applyFont="1" applyBorder="1" applyAlignment="1">
      <alignment horizontal="left" vertical="center" wrapText="1"/>
    </xf>
    <xf numFmtId="166" fontId="3" fillId="0" borderId="37" xfId="0" applyNumberFormat="1" applyFont="1" applyBorder="1" applyAlignment="1">
      <alignment horizontal="right" vertical="center" wrapText="1"/>
    </xf>
    <xf numFmtId="0" fontId="0" fillId="0" borderId="37" xfId="0" applyFont="1" applyBorder="1" applyAlignment="1">
      <alignment horizontal="left" vertical="center" wrapText="1"/>
    </xf>
    <xf numFmtId="0" fontId="3" fillId="0" borderId="37" xfId="0" applyFont="1" applyBorder="1"/>
    <xf numFmtId="164" fontId="3" fillId="0" borderId="37" xfId="0" applyNumberFormat="1" applyFont="1" applyBorder="1" applyAlignment="1">
      <alignment horizontal="right"/>
    </xf>
    <xf numFmtId="0" fontId="3" fillId="0" borderId="37" xfId="0" applyFont="1" applyBorder="1" applyAlignment="1">
      <alignment horizontal="left" vertical="center"/>
    </xf>
    <xf numFmtId="164" fontId="3" fillId="0" borderId="37" xfId="0" applyNumberFormat="1" applyFont="1" applyBorder="1" applyAlignment="1">
      <alignment horizontal="right" vertical="center"/>
    </xf>
    <xf numFmtId="166" fontId="3" fillId="0" borderId="37" xfId="0" applyNumberFormat="1" applyFont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164" fontId="0" fillId="0" borderId="37" xfId="0" applyNumberFormat="1" applyBorder="1" applyAlignment="1">
      <alignment horizontal="right" vertical="center" wrapText="1"/>
    </xf>
    <xf numFmtId="3" fontId="3" fillId="0" borderId="37" xfId="0" applyNumberFormat="1" applyFont="1" applyBorder="1" applyAlignment="1">
      <alignment horizontal="right" vertical="center" wrapText="1"/>
    </xf>
    <xf numFmtId="164" fontId="0" fillId="0" borderId="37" xfId="0" applyNumberFormat="1" applyBorder="1" applyAlignment="1">
      <alignment horizontal="right"/>
    </xf>
    <xf numFmtId="164" fontId="3" fillId="0" borderId="37" xfId="0" applyNumberFormat="1" applyFont="1" applyBorder="1"/>
    <xf numFmtId="170" fontId="7" fillId="4" borderId="7" xfId="1" applyNumberFormat="1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167" fontId="0" fillId="0" borderId="0" xfId="0" applyNumberFormat="1" applyAlignment="1">
      <alignment horizontal="left" vertical="center"/>
    </xf>
    <xf numFmtId="167" fontId="0" fillId="0" borderId="37" xfId="0" applyNumberFormat="1" applyBorder="1" applyAlignment="1">
      <alignment vertical="center" wrapText="1"/>
    </xf>
    <xf numFmtId="167" fontId="0" fillId="0" borderId="7" xfId="0" applyNumberFormat="1" applyBorder="1" applyAlignment="1">
      <alignment vertical="center" wrapText="1"/>
    </xf>
    <xf numFmtId="167" fontId="3" fillId="0" borderId="37" xfId="0" applyNumberFormat="1" applyFont="1" applyBorder="1" applyAlignment="1">
      <alignment vertical="center" wrapText="1"/>
    </xf>
    <xf numFmtId="167" fontId="0" fillId="0" borderId="37" xfId="0" applyNumberFormat="1" applyFont="1" applyBorder="1" applyAlignment="1">
      <alignment vertical="center" wrapText="1"/>
    </xf>
    <xf numFmtId="0" fontId="0" fillId="0" borderId="37" xfId="0" applyNumberFormat="1" applyFont="1" applyBorder="1" applyAlignment="1">
      <alignment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14" fontId="8" fillId="6" borderId="9" xfId="0" applyNumberFormat="1" applyFont="1" applyFill="1" applyBorder="1" applyAlignment="1">
      <alignment horizontal="center" vertical="top"/>
    </xf>
    <xf numFmtId="0" fontId="8" fillId="6" borderId="0" xfId="0" applyFont="1" applyFill="1" applyBorder="1" applyAlignment="1">
      <alignment horizontal="center" vertical="top"/>
    </xf>
    <xf numFmtId="0" fontId="8" fillId="6" borderId="10" xfId="0" applyFont="1" applyFill="1" applyBorder="1" applyAlignment="1">
      <alignment horizontal="center" vertical="top"/>
    </xf>
    <xf numFmtId="0" fontId="7" fillId="7" borderId="9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14" fontId="3" fillId="7" borderId="9" xfId="0" applyNumberFormat="1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0" borderId="16" xfId="0" applyBorder="1" applyAlignment="1">
      <alignment horizontal="right"/>
    </xf>
    <xf numFmtId="0" fontId="3" fillId="0" borderId="0" xfId="0" applyFont="1" applyAlignment="1">
      <alignment horizontal="center"/>
    </xf>
    <xf numFmtId="0" fontId="7" fillId="0" borderId="0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Sustainability</a:t>
            </a:r>
            <a:r>
              <a:rPr lang="en-ID" baseline="0"/>
              <a:t> Material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SIMULATION_PROCESS!$E$70</c:f>
              <c:strCache>
                <c:ptCount val="1"/>
                <c:pt idx="0">
                  <c:v>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SIMULATION_PROCESS!$C$71:$C$73</c:f>
              <c:strCache>
                <c:ptCount val="3"/>
                <c:pt idx="0">
                  <c:v>SUS-LOAK</c:v>
                </c:pt>
                <c:pt idx="1">
                  <c:v>SUS-SBEH</c:v>
                </c:pt>
                <c:pt idx="2">
                  <c:v>0</c:v>
                </c:pt>
              </c:strCache>
            </c:strRef>
          </c:cat>
          <c:val>
            <c:numRef>
              <c:f>SIMULATION_PROCESS!$E$71:$E$73</c:f>
              <c:numCache>
                <c:formatCode>0.00000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E-4796-8374-F0A9E281BAFB}"/>
            </c:ext>
          </c:extLst>
        </c:ser>
        <c:ser>
          <c:idx val="1"/>
          <c:order val="1"/>
          <c:tx>
            <c:strRef>
              <c:f>SIMULATION_PROCESS!$F$70</c:f>
              <c:strCache>
                <c:ptCount val="1"/>
                <c:pt idx="0">
                  <c:v>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SIMULATION_PROCESS!$C$71:$C$73</c:f>
              <c:strCache>
                <c:ptCount val="3"/>
                <c:pt idx="0">
                  <c:v>SUS-LOAK</c:v>
                </c:pt>
                <c:pt idx="1">
                  <c:v>SUS-SBEH</c:v>
                </c:pt>
                <c:pt idx="2">
                  <c:v>0</c:v>
                </c:pt>
              </c:strCache>
            </c:strRef>
          </c:cat>
          <c:val>
            <c:numRef>
              <c:f>SIMULATION_PROCESS!$F$71:$F$73</c:f>
              <c:numCache>
                <c:formatCode>0.00000</c:formatCode>
                <c:ptCount val="3"/>
                <c:pt idx="0">
                  <c:v>0.23280000000000001</c:v>
                </c:pt>
                <c:pt idx="1">
                  <c:v>0.35270000000000001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BE-4796-8374-F0A9E281B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198928"/>
        <c:axId val="1260199760"/>
      </c:barChart>
      <c:catAx>
        <c:axId val="126019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199760"/>
        <c:crosses val="autoZero"/>
        <c:auto val="1"/>
        <c:lblAlgn val="ctr"/>
        <c:lblOffset val="100"/>
        <c:noMultiLvlLbl val="0"/>
      </c:catAx>
      <c:valAx>
        <c:axId val="126019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19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Material Replaced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SIMULATION_PROCESS!$E$64</c:f>
              <c:strCache>
                <c:ptCount val="1"/>
                <c:pt idx="0">
                  <c:v>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SIMULATION_PROCESS!$C$65:$C$67</c:f>
              <c:strCache>
                <c:ptCount val="2"/>
                <c:pt idx="0">
                  <c:v>LOAK</c:v>
                </c:pt>
                <c:pt idx="1">
                  <c:v>SBEH</c:v>
                </c:pt>
              </c:strCache>
            </c:strRef>
          </c:cat>
          <c:val>
            <c:numRef>
              <c:f>SIMULATION_PROCESS!$E$65:$E$67</c:f>
              <c:numCache>
                <c:formatCode>0.00000</c:formatCode>
                <c:ptCount val="3"/>
                <c:pt idx="0">
                  <c:v>0.46560000000000001</c:v>
                </c:pt>
                <c:pt idx="1">
                  <c:v>0.70540000000000003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D-4156-9F3A-33760B2286E6}"/>
            </c:ext>
          </c:extLst>
        </c:ser>
        <c:ser>
          <c:idx val="1"/>
          <c:order val="1"/>
          <c:tx>
            <c:strRef>
              <c:f>SIMULATION_PROCESS!$F$64</c:f>
              <c:strCache>
                <c:ptCount val="1"/>
                <c:pt idx="0">
                  <c:v>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SIMULATION_PROCESS!$C$65:$C$67</c:f>
              <c:strCache>
                <c:ptCount val="2"/>
                <c:pt idx="0">
                  <c:v>LOAK</c:v>
                </c:pt>
                <c:pt idx="1">
                  <c:v>SBEH</c:v>
                </c:pt>
              </c:strCache>
            </c:strRef>
          </c:cat>
          <c:val>
            <c:numRef>
              <c:f>SIMULATION_PROCESS!$F$65:$F$67</c:f>
              <c:numCache>
                <c:formatCode>0.00000</c:formatCode>
                <c:ptCount val="3"/>
                <c:pt idx="0">
                  <c:v>0.23280000000000001</c:v>
                </c:pt>
                <c:pt idx="1">
                  <c:v>0.35270000000000001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D-4156-9F3A-33760B228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3663344"/>
        <c:axId val="1353666672"/>
      </c:barChart>
      <c:catAx>
        <c:axId val="135366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666672"/>
        <c:crosses val="autoZero"/>
        <c:auto val="1"/>
        <c:lblAlgn val="ctr"/>
        <c:lblOffset val="100"/>
        <c:noMultiLvlLbl val="0"/>
      </c:catAx>
      <c:valAx>
        <c:axId val="135366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66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Sustainability With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SIMULATION_PROCESS!$D$45</c:f>
              <c:strCache>
                <c:ptCount val="1"/>
                <c:pt idx="0">
                  <c:v>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SIMULATION_PROCESS!$C$46:$C$48</c:f>
            </c:multiLvlStrRef>
          </c:cat>
          <c:val>
            <c:numRef>
              <c:f>SIMULATION_PROCESS!$D$46:$D$48</c:f>
            </c:numRef>
          </c:val>
          <c:extLst>
            <c:ext xmlns:c16="http://schemas.microsoft.com/office/drawing/2014/chart" uri="{C3380CC4-5D6E-409C-BE32-E72D297353CC}">
              <c16:uniqueId val="{00000000-EA8E-4729-B95B-F7D178643617}"/>
            </c:ext>
          </c:extLst>
        </c:ser>
        <c:ser>
          <c:idx val="1"/>
          <c:order val="1"/>
          <c:tx>
            <c:strRef>
              <c:f>SIMULATION_PROCESS!$E$45</c:f>
              <c:strCache>
                <c:ptCount val="1"/>
                <c:pt idx="0">
                  <c:v>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SIMULATION_PROCESS!$C$46:$C$48</c:f>
            </c:multiLvlStrRef>
          </c:cat>
          <c:val>
            <c:numRef>
              <c:f>SIMULATION_PROCESS!$E$46:$E$48</c:f>
            </c:numRef>
          </c:val>
          <c:extLst>
            <c:ext xmlns:c16="http://schemas.microsoft.com/office/drawing/2014/chart" uri="{C3380CC4-5D6E-409C-BE32-E72D297353CC}">
              <c16:uniqueId val="{00000001-EA8E-4729-B95B-F7D178643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0010352"/>
        <c:axId val="1190003280"/>
      </c:barChart>
      <c:catAx>
        <c:axId val="119001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03280"/>
        <c:crosses val="autoZero"/>
        <c:auto val="1"/>
        <c:lblAlgn val="ctr"/>
        <c:lblOffset val="100"/>
        <c:noMultiLvlLbl val="0"/>
      </c:catAx>
      <c:valAx>
        <c:axId val="119000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1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SIMULATION_PROCESS!$D$26</c:f>
              <c:strCache>
                <c:ptCount val="1"/>
                <c:pt idx="0">
                  <c:v>Total Sustainable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SIMULATION_PROCESS!$C$27:$C$28</c:f>
              <c:strCache>
                <c:ptCount val="2"/>
                <c:pt idx="0">
                  <c:v>Sebelum Replacement</c:v>
                </c:pt>
                <c:pt idx="1">
                  <c:v>Sesudah Replacement</c:v>
                </c:pt>
              </c:strCache>
            </c:strRef>
          </c:cat>
          <c:val>
            <c:numRef>
              <c:f>SIMULATION_PROCESS!$D$27:$D$28</c:f>
              <c:numCache>
                <c:formatCode>0.000%</c:formatCode>
                <c:ptCount val="2"/>
                <c:pt idx="0">
                  <c:v>0.29375739115549993</c:v>
                </c:pt>
                <c:pt idx="1">
                  <c:v>0.43381477577158878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5-4B9B-88D9-86EE9FEF3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258847"/>
        <c:axId val="401259263"/>
      </c:barChart>
      <c:catAx>
        <c:axId val="40125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9263"/>
        <c:crosses val="autoZero"/>
        <c:auto val="1"/>
        <c:lblAlgn val="ctr"/>
        <c:lblOffset val="100"/>
        <c:noMultiLvlLbl val="0"/>
      </c:catAx>
      <c:valAx>
        <c:axId val="40125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Sustainability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SIMULATION_PROCESS!$E$7</c:f>
              <c:strCache>
                <c:ptCount val="1"/>
                <c:pt idx="0">
                  <c:v>Sustainability 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SIMULATION_PROCESS!$E$8:$E$10</c:f>
              <c:numCache>
                <c:formatCode>0.000%</c:formatCode>
                <c:ptCount val="3"/>
                <c:pt idx="0">
                  <c:v>0.29375739115549993</c:v>
                </c:pt>
                <c:pt idx="1">
                  <c:v>0.29375739115549993</c:v>
                </c:pt>
                <c:pt idx="2">
                  <c:v>0.29375739115549993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7-4ACB-902F-605DB01EB034}"/>
            </c:ext>
          </c:extLst>
        </c:ser>
        <c:ser>
          <c:idx val="1"/>
          <c:order val="1"/>
          <c:tx>
            <c:strRef>
              <c:f>SIMULATION_PROCESS!$F$7</c:f>
              <c:strCache>
                <c:ptCount val="1"/>
                <c:pt idx="0">
                  <c:v>Sustainability 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SIMULATION_PROCESS!$F$8:$F$10</c:f>
              <c:numCache>
                <c:formatCode>0.000%</c:formatCode>
                <c:ptCount val="3"/>
                <c:pt idx="0">
                  <c:v>0.36173769482049611</c:v>
                </c:pt>
                <c:pt idx="1">
                  <c:v>0.43381477577158878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7-4ACB-902F-605DB01E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3852575"/>
        <c:axId val="1633856735"/>
      </c:barChart>
      <c:catAx>
        <c:axId val="163385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6735"/>
        <c:crosses val="autoZero"/>
        <c:auto val="1"/>
        <c:lblAlgn val="ctr"/>
        <c:lblOffset val="100"/>
        <c:noMultiLvlLbl val="0"/>
      </c:catAx>
      <c:valAx>
        <c:axId val="163385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NWT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SIMULATION_PROCESS!$E$26</c:f>
              <c:strCache>
                <c:ptCount val="1"/>
                <c:pt idx="0">
                  <c:v>Total NWT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SIMULATION_PROCESS!$C$27:$C$28</c:f>
              <c:strCache>
                <c:ptCount val="2"/>
                <c:pt idx="0">
                  <c:v>Sebelum Replacement</c:v>
                </c:pt>
                <c:pt idx="1">
                  <c:v>Sesudah Replacement</c:v>
                </c:pt>
              </c:strCache>
            </c:strRef>
          </c:cat>
          <c:val>
            <c:numRef>
              <c:f>SIMULATION_PROCESS!$E$27:$E$28</c:f>
              <c:numCache>
                <c:formatCode>0.000%</c:formatCode>
                <c:ptCount val="2"/>
                <c:pt idx="0">
                  <c:v>4.962509653411469E-2</c:v>
                </c:pt>
                <c:pt idx="1">
                  <c:v>7.2474285090526475E-2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B-4F22-A57F-CD087EC39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258847"/>
        <c:axId val="401259263"/>
      </c:barChart>
      <c:catAx>
        <c:axId val="40125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9263"/>
        <c:crosses val="autoZero"/>
        <c:auto val="1"/>
        <c:lblAlgn val="ctr"/>
        <c:lblOffset val="100"/>
        <c:noMultiLvlLbl val="0"/>
      </c:catAx>
      <c:valAx>
        <c:axId val="40125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5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NWT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SIMULATION_PROCESS!$G$7</c:f>
              <c:strCache>
                <c:ptCount val="1"/>
                <c:pt idx="0">
                  <c:v>NWT Sebelum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SIMULATION_PROCESS!$G$8:$G$10</c:f>
              <c:numCache>
                <c:formatCode>0.000%</c:formatCode>
                <c:ptCount val="3"/>
                <c:pt idx="0">
                  <c:v>4.962509653411469E-2</c:v>
                </c:pt>
                <c:pt idx="1">
                  <c:v>4.962509653411469E-2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B-4F4D-9C44-0E4D8E43E0B6}"/>
            </c:ext>
          </c:extLst>
        </c:ser>
        <c:ser>
          <c:idx val="1"/>
          <c:order val="1"/>
          <c:tx>
            <c:strRef>
              <c:f>SIMULATION_PROCESS!$H$7</c:f>
              <c:strCache>
                <c:ptCount val="1"/>
                <c:pt idx="0">
                  <c:v>NWT Sesudah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SIMULATION_PROCESS!$C$8:$C$10</c:f>
              <c:strCache>
                <c:ptCount val="3"/>
                <c:pt idx="0">
                  <c:v>Material 1</c:v>
                </c:pt>
                <c:pt idx="1">
                  <c:v>Material 1 + 2</c:v>
                </c:pt>
                <c:pt idx="2">
                  <c:v>Material 1 + 2 + 3</c:v>
                </c:pt>
              </c:strCache>
            </c:strRef>
          </c:cat>
          <c:val>
            <c:numRef>
              <c:f>SIMULATION_PROCESS!$H$8:$H$10</c:f>
              <c:numCache>
                <c:formatCode>0.000%</c:formatCode>
                <c:ptCount val="3"/>
                <c:pt idx="0">
                  <c:v>6.1096120764448723E-2</c:v>
                </c:pt>
                <c:pt idx="1">
                  <c:v>7.2474285090526475E-2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B-4F4D-9C44-0E4D8E4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3852575"/>
        <c:axId val="1633856735"/>
      </c:barChart>
      <c:catAx>
        <c:axId val="163385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6735"/>
        <c:crosses val="autoZero"/>
        <c:auto val="1"/>
        <c:lblAlgn val="ctr"/>
        <c:lblOffset val="100"/>
        <c:noMultiLvlLbl val="0"/>
      </c:catAx>
      <c:valAx>
        <c:axId val="163385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85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2890587</xdr:colOff>
      <xdr:row>14</xdr:row>
      <xdr:rowOff>54981</xdr:rowOff>
    </xdr:from>
    <xdr:to>
      <xdr:col>10</xdr:col>
      <xdr:colOff>3131605</xdr:colOff>
      <xdr:row>18</xdr:row>
      <xdr:rowOff>47360</xdr:rowOff>
    </xdr:to>
    <xdr:sp macro="[0]!submit_multiple_replacem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040530" y="3571067"/>
          <a:ext cx="3876846" cy="819693"/>
        </a:xfrm>
        <a:prstGeom prst="roundRect">
          <a:avLst/>
        </a:prstGeom>
        <a:solidFill>
          <a:srgbClr val="00B050"/>
        </a:solidFill>
        <a:ln>
          <a:gradFill flip="none" rotWithShape="1">
            <a:gsLst>
              <a:gs pos="19000">
                <a:schemeClr val="tx1"/>
              </a:gs>
              <a:gs pos="61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lin ang="16800000" scaled="0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800" b="1">
              <a:solidFill>
                <a:schemeClr val="bg1"/>
              </a:solidFill>
            </a:rPr>
            <a:t>SUBMIT</a:t>
          </a:r>
          <a:endParaRPr lang="en-ID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907917</xdr:colOff>
      <xdr:row>32</xdr:row>
      <xdr:rowOff>150932</xdr:rowOff>
    </xdr:from>
    <xdr:to>
      <xdr:col>10</xdr:col>
      <xdr:colOff>1148935</xdr:colOff>
      <xdr:row>36</xdr:row>
      <xdr:rowOff>143311</xdr:rowOff>
    </xdr:to>
    <xdr:sp macro="[0]!redo_last_a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057860" y="7466132"/>
          <a:ext cx="3876846" cy="819693"/>
        </a:xfrm>
        <a:prstGeom prst="roundRect">
          <a:avLst/>
        </a:prstGeom>
        <a:solidFill>
          <a:srgbClr val="00B050"/>
        </a:solidFill>
        <a:ln>
          <a:gradFill flip="none" rotWithShape="1">
            <a:gsLst>
              <a:gs pos="19000">
                <a:schemeClr val="tx1"/>
              </a:gs>
              <a:gs pos="61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lin ang="16800000" scaled="0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800" b="1">
              <a:solidFill>
                <a:schemeClr val="bg1"/>
              </a:solidFill>
            </a:rPr>
            <a:t>UNDO</a:t>
          </a:r>
          <a:r>
            <a:rPr lang="en-ID" sz="2800" b="1" baseline="0">
              <a:solidFill>
                <a:schemeClr val="bg1"/>
              </a:solidFill>
            </a:rPr>
            <a:t> </a:t>
          </a:r>
          <a:r>
            <a:rPr lang="en-US" sz="2800" b="1" baseline="0">
              <a:solidFill>
                <a:schemeClr val="bg1"/>
              </a:solidFill>
            </a:rPr>
            <a:t>⬅️</a:t>
          </a:r>
          <a:endParaRPr lang="en-ID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374334</xdr:colOff>
      <xdr:row>14</xdr:row>
      <xdr:rowOff>67750</xdr:rowOff>
    </xdr:from>
    <xdr:to>
      <xdr:col>9</xdr:col>
      <xdr:colOff>2725689</xdr:colOff>
      <xdr:row>18</xdr:row>
      <xdr:rowOff>60130</xdr:rowOff>
    </xdr:to>
    <xdr:sp macro="[0]!ResetAll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2914677" y="3583836"/>
          <a:ext cx="2960955" cy="819694"/>
        </a:xfrm>
        <a:prstGeom prst="roundRect">
          <a:avLst/>
        </a:prstGeom>
        <a:solidFill>
          <a:srgbClr val="FF0000"/>
        </a:solidFill>
        <a:ln>
          <a:gradFill flip="none" rotWithShape="1">
            <a:gsLst>
              <a:gs pos="19000">
                <a:schemeClr val="tx1"/>
              </a:gs>
              <a:gs pos="61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lin ang="16800000" scaled="0"/>
            <a:tileRect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800" b="1">
              <a:solidFill>
                <a:schemeClr val="bg1"/>
              </a:solidFill>
            </a:rPr>
            <a:t>RESET</a:t>
          </a:r>
          <a:endParaRPr lang="en-ID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1417320</xdr:colOff>
          <xdr:row>33</xdr:row>
          <xdr:rowOff>129540</xdr:rowOff>
        </xdr:from>
        <xdr:to>
          <xdr:col>10</xdr:col>
          <xdr:colOff>3162300</xdr:colOff>
          <xdr:row>36</xdr:row>
          <xdr:rowOff>129540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CEK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1143000</xdr:colOff>
          <xdr:row>10</xdr:row>
          <xdr:rowOff>152400</xdr:rowOff>
        </xdr:from>
        <xdr:to>
          <xdr:col>10</xdr:col>
          <xdr:colOff>3078480</xdr:colOff>
          <xdr:row>13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524385</xdr:colOff>
      <xdr:row>67</xdr:row>
      <xdr:rowOff>106520</xdr:rowOff>
    </xdr:from>
    <xdr:to>
      <xdr:col>13</xdr:col>
      <xdr:colOff>1730187</xdr:colOff>
      <xdr:row>75</xdr:row>
      <xdr:rowOff>49165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508001</xdr:colOff>
      <xdr:row>59</xdr:row>
      <xdr:rowOff>70467</xdr:rowOff>
    </xdr:from>
    <xdr:to>
      <xdr:col>13</xdr:col>
      <xdr:colOff>1748117</xdr:colOff>
      <xdr:row>67</xdr:row>
      <xdr:rowOff>24584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1950788</xdr:colOff>
      <xdr:row>40</xdr:row>
      <xdr:rowOff>136674</xdr:rowOff>
    </xdr:from>
    <xdr:to>
      <xdr:col>13</xdr:col>
      <xdr:colOff>394014</xdr:colOff>
      <xdr:row>55</xdr:row>
      <xdr:rowOff>176003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53787</xdr:colOff>
      <xdr:row>21</xdr:row>
      <xdr:rowOff>98612</xdr:rowOff>
    </xdr:from>
    <xdr:to>
      <xdr:col>13</xdr:col>
      <xdr:colOff>1640541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26893</xdr:colOff>
      <xdr:row>2</xdr:row>
      <xdr:rowOff>138591</xdr:rowOff>
    </xdr:from>
    <xdr:to>
      <xdr:col>13</xdr:col>
      <xdr:colOff>1620115</xdr:colOff>
      <xdr:row>10</xdr:row>
      <xdr:rowOff>62752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80683</xdr:colOff>
      <xdr:row>28</xdr:row>
      <xdr:rowOff>26894</xdr:rowOff>
    </xdr:from>
    <xdr:to>
      <xdr:col>13</xdr:col>
      <xdr:colOff>1649507</xdr:colOff>
      <xdr:row>37</xdr:row>
      <xdr:rowOff>26894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17929</xdr:colOff>
      <xdr:row>10</xdr:row>
      <xdr:rowOff>170328</xdr:rowOff>
    </xdr:from>
    <xdr:to>
      <xdr:col>13</xdr:col>
      <xdr:colOff>1611151</xdr:colOff>
      <xdr:row>18</xdr:row>
      <xdr:rowOff>295835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26F61-F538-4526-AAD6-604040BB301F}">
  <sheetPr codeName="Sheet13"/>
  <dimension ref="B1:R265"/>
  <sheetViews>
    <sheetView topLeftCell="H1" zoomScale="85" zoomScaleNormal="85" workbookViewId="0">
      <selection activeCell="H23" sqref="H23"/>
    </sheetView>
  </sheetViews>
  <sheetFormatPr defaultRowHeight="14.4" x14ac:dyDescent="0.3"/>
  <cols>
    <col min="1" max="1" width="0" hidden="1" customWidth="1"/>
    <col min="2" max="2" width="12.77734375" hidden="1" customWidth="1"/>
    <col min="3" max="3" width="30.77734375" hidden="1" customWidth="1"/>
    <col min="4" max="4" width="13.33203125" hidden="1" customWidth="1"/>
    <col min="5" max="5" width="10.88671875" hidden="1" customWidth="1"/>
    <col min="6" max="7" width="0" hidden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5" x14ac:dyDescent="0.3">
      <c r="B1" t="s">
        <v>58</v>
      </c>
      <c r="C1" t="s">
        <v>59</v>
      </c>
    </row>
    <row r="2" spans="2:15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3"/>
      <c r="L2" s="111" t="s">
        <v>69</v>
      </c>
      <c r="M2" s="112" t="s">
        <v>221</v>
      </c>
      <c r="N2" s="112" t="s">
        <v>221</v>
      </c>
    </row>
    <row r="3" spans="2:15" s="1" customFormat="1" x14ac:dyDescent="0.3">
      <c r="B3" s="40" t="s">
        <v>60</v>
      </c>
      <c r="C3" s="41" t="s">
        <v>4</v>
      </c>
      <c r="D3" s="42">
        <v>0.96399999999999997</v>
      </c>
      <c r="E3" s="24">
        <f>IF(IF(B3="MDZ140R","",IFERROR((SUMIF($B$3:$B$64,"MDZ140R",$F$3:$F$64)*INDEX($Q$20:$Q$76,MATCH(B3,$N$20:$N$76,0))),""))=0,"",IF(B3="MDZ140R","",IFERROR((SUMIF($B$3:$B$64,"MDZ140R",$F$3:$F$64)*INDEX($Q$20:$Q$76,MATCH(B3,$N$20:$N$76,0))),"")))</f>
        <v>4.7781587999999996E-3</v>
      </c>
      <c r="F3" s="42">
        <f>IF(D3="","",D3+ IF(E3="",0,E3))</f>
        <v>0.96877815879999996</v>
      </c>
      <c r="H3" s="202" t="s">
        <v>71</v>
      </c>
      <c r="I3" s="214" t="str">
        <f>IFERROR(VLOOKUP(H3,$B$3:$F$62,5,FALSE),"")</f>
        <v/>
      </c>
      <c r="J3" s="203">
        <f>SUM(I3:I21)</f>
        <v>2.5377117663999993</v>
      </c>
      <c r="L3" s="80" t="s">
        <v>70</v>
      </c>
      <c r="M3" s="114">
        <f ca="1">VLOOKUP(L3,OFFSET($H$3,0,0,COUNTA($H:$H),3),3,FALSE)</f>
        <v>0.36714999999999998</v>
      </c>
      <c r="N3" s="115">
        <f ca="1">(M3/$M$14)</f>
        <v>1.8954904663315345E-2</v>
      </c>
      <c r="O3" s="82"/>
    </row>
    <row r="4" spans="2:15" s="1" customFormat="1" x14ac:dyDescent="0.3">
      <c r="B4" s="40" t="s">
        <v>61</v>
      </c>
      <c r="C4" s="41" t="s">
        <v>5</v>
      </c>
      <c r="D4" s="42">
        <v>1.55E-2</v>
      </c>
      <c r="E4" s="24">
        <f>IF(IF(B4="MDZ140R","",IFERROR((SUMIF($B$3:$B$64,"MDZ140R",$F$3:$F$64)*INDEX($Q$20:$Q$76,MATCH(B4,$N$20:$N$76,0))),""))=0,"",IF(B4="MDZ140R","",IFERROR((SUMIF($B$3:$B$64,"MDZ140R",$F$3:$F$64)*INDEX($Q$20:$Q$76,MATCH(B4,$N$20:$N$76,0))),"")))</f>
        <v>4.7781587999999996E-3</v>
      </c>
      <c r="F4" s="42">
        <f t="shared" ref="F4:F76" si="0">IF(D4="","",D4+ IF(E4="",0,E4))</f>
        <v>2.0278158800000001E-2</v>
      </c>
      <c r="H4" s="192" t="s">
        <v>46</v>
      </c>
      <c r="I4" s="214">
        <f>IFERROR(VLOOKUP(H4,$B$3:$F$62,5,FALSE),"")</f>
        <v>0.86202676639999998</v>
      </c>
      <c r="J4" s="204"/>
      <c r="L4" s="56" t="s">
        <v>71</v>
      </c>
      <c r="M4" s="114">
        <f ca="1">VLOOKUP(L4,OFFSET($H$3,0,0,COUNTA($H:$H),3),3,FALSE)</f>
        <v>2.5377117663999993</v>
      </c>
      <c r="N4" s="115">
        <f t="shared" ref="N4:N13" ca="1" si="1">(M4/$M$14)</f>
        <v>0.13101480211108696</v>
      </c>
      <c r="O4" s="12"/>
    </row>
    <row r="5" spans="2:15" s="1" customFormat="1" x14ac:dyDescent="0.3">
      <c r="B5" s="40" t="s">
        <v>62</v>
      </c>
      <c r="C5" s="41" t="s">
        <v>196</v>
      </c>
      <c r="D5" s="42">
        <v>0.4995</v>
      </c>
      <c r="E5" s="24" t="str">
        <f>IF(IF(B5="MDZ140R","",IFERROR((SUMIF($B$3:$B$64,"MDZ140R",$F$3:$F$64)*INDEX($Q$20:$Q$76,MATCH(B5,$N$20:$N$76,0))),""))=0,"",IF(B5="MDZ140R","",IFERROR((SUMIF($B$3:$B$64,"MDZ140R",$F$3:$F$64)*INDEX($Q$20:$Q$76,MATCH(B5,$N$20:$N$76,0))),"")))</f>
        <v/>
      </c>
      <c r="F5" s="42">
        <f t="shared" si="0"/>
        <v>0.4995</v>
      </c>
      <c r="H5" s="192" t="s">
        <v>86</v>
      </c>
      <c r="I5" s="214" t="str">
        <f>IFERROR(VLOOKUP(H5,$B$3:$F$62,5,FALSE),"")</f>
        <v/>
      </c>
      <c r="J5" s="204"/>
      <c r="L5" s="80" t="s">
        <v>72</v>
      </c>
      <c r="M5" s="114">
        <f ca="1">VLOOKUP(L5,OFFSET($H$3,0,0,COUNTA($H:$H),3),3,FALSE)</f>
        <v>0.41917500000000002</v>
      </c>
      <c r="N5" s="115">
        <f t="shared" ca="1" si="1"/>
        <v>2.1640806651900345E-2</v>
      </c>
      <c r="O5" s="12"/>
    </row>
    <row r="6" spans="2:15" s="1" customFormat="1" x14ac:dyDescent="0.3">
      <c r="B6" s="40" t="s">
        <v>7</v>
      </c>
      <c r="C6" s="41" t="s">
        <v>8</v>
      </c>
      <c r="D6" s="42">
        <v>9.8299999999999998E-2</v>
      </c>
      <c r="E6" s="24">
        <f>IF(IF(B6="MDZ140R","",IFERROR((SUMIF($B$3:$B$64,"MDZ140R",$F$3:$F$64)*INDEX($Q$20:$Q$76,MATCH(B6,$N$20:$N$76,0))),""))=0,"",IF(B6="MDZ140R","",IFERROR((SUMIF($B$3:$B$64,"MDZ140R",$F$3:$F$64)*INDEX($Q$20:$Q$76,MATCH(B6,$N$20:$N$76,0))),"")))</f>
        <v>2.3888607999999999E-3</v>
      </c>
      <c r="F6" s="42">
        <f t="shared" si="0"/>
        <v>0.1006888608</v>
      </c>
      <c r="H6" s="192" t="s">
        <v>36</v>
      </c>
      <c r="I6" s="211">
        <v>0.36880000000000002</v>
      </c>
      <c r="J6" s="204"/>
      <c r="L6" s="56" t="s">
        <v>73</v>
      </c>
      <c r="M6" s="114">
        <f ca="1">VLOOKUP(L6,OFFSET($H$3,0,0,COUNTA($H:$H),3),3,FALSE)</f>
        <v>2.3544381658425335</v>
      </c>
      <c r="N6" s="115">
        <f t="shared" ca="1" si="1"/>
        <v>0.12155291017081921</v>
      </c>
      <c r="O6" s="12"/>
    </row>
    <row r="7" spans="2:15" s="1" customFormat="1" x14ac:dyDescent="0.3">
      <c r="B7" s="40" t="s">
        <v>9</v>
      </c>
      <c r="C7" s="41" t="s">
        <v>10</v>
      </c>
      <c r="D7" s="42">
        <v>0.83109999999999995</v>
      </c>
      <c r="E7" s="24">
        <f>IF(IF(B7="MDZ140R","",IFERROR((SUMIF($B$3:$B$64,"MDZ140R",$F$3:$F$64)*INDEX($Q$20:$Q$76,MATCH(B7,$N$20:$N$76,0))),""))=0,"",IF(B7="MDZ140R","",IFERROR((SUMIF($B$3:$B$64,"MDZ140R",$F$3:$F$64)*INDEX($Q$20:$Q$76,MATCH(B7,$N$20:$N$76,0))),"")))</f>
        <v>0.1433443268</v>
      </c>
      <c r="F7" s="42">
        <f t="shared" si="0"/>
        <v>0.97444432679999993</v>
      </c>
      <c r="H7" s="192" t="s">
        <v>87</v>
      </c>
      <c r="I7" s="212">
        <v>0.13972499999999999</v>
      </c>
      <c r="J7" s="204"/>
      <c r="L7" s="80" t="s">
        <v>74</v>
      </c>
      <c r="M7" s="114">
        <f ca="1">VLOOKUP(L7,OFFSET($H$3,0,0,COUNTA($H:$H),3),3,FALSE)</f>
        <v>5.646875E-3</v>
      </c>
      <c r="N7" s="115">
        <f t="shared" ca="1" si="1"/>
        <v>2.9153200945297248E-4</v>
      </c>
      <c r="O7" s="12"/>
    </row>
    <row r="8" spans="2:15" s="1" customFormat="1" x14ac:dyDescent="0.3">
      <c r="B8" s="40" t="s">
        <v>11</v>
      </c>
      <c r="C8" s="41" t="s">
        <v>190</v>
      </c>
      <c r="D8" s="42">
        <v>0.99360000000000004</v>
      </c>
      <c r="E8" s="24">
        <v>1.2948110221686719</v>
      </c>
      <c r="F8" s="42">
        <v>0.69159946404253392</v>
      </c>
      <c r="H8" s="192" t="s">
        <v>88</v>
      </c>
      <c r="I8" s="214" t="str">
        <f>IFERROR(VLOOKUP(H8,$B$3:$F$62,5,FALSE),"")</f>
        <v/>
      </c>
      <c r="J8" s="204"/>
      <c r="L8" s="56" t="s">
        <v>75</v>
      </c>
      <c r="M8" s="114">
        <f ca="1">VLOOKUP(L8,OFFSET($H$3,0,0,COUNTA($H:$H),3),3,FALSE)</f>
        <v>0.69840000000000002</v>
      </c>
      <c r="N8" s="115">
        <f t="shared" ca="1" si="1"/>
        <v>3.6056394979870461E-2</v>
      </c>
      <c r="O8" s="12"/>
    </row>
    <row r="9" spans="2:15" s="1" customFormat="1" x14ac:dyDescent="0.3">
      <c r="B9" s="40" t="s">
        <v>13</v>
      </c>
      <c r="C9" s="41" t="s">
        <v>68</v>
      </c>
      <c r="D9" s="42">
        <v>0.73429999999999995</v>
      </c>
      <c r="E9" s="24" t="str">
        <f>IF(IF(B9="MDZ140R","",IFERROR((SUMIF($B$3:$B$64,"MDZ140R",$F$3:$F$64)*INDEX($Q$20:$Q$76,MATCH(B9,$N$20:$N$76,0))),""))=0,"",IF(B9="MDZ140R","",IFERROR((SUMIF($B$3:$B$64,"MDZ140R",$F$3:$F$64)*INDEX($Q$20:$Q$76,MATCH(B9,$N$20:$N$76,0))),"")))</f>
        <v/>
      </c>
      <c r="F9" s="42">
        <f t="shared" si="0"/>
        <v>0.73429999999999995</v>
      </c>
      <c r="H9" s="192" t="s">
        <v>89</v>
      </c>
      <c r="I9" s="214" t="str">
        <f>IFERROR(VLOOKUP(H9,$B$3:$F$62,5,FALSE),"")</f>
        <v/>
      </c>
      <c r="J9" s="204"/>
      <c r="L9" s="80" t="s">
        <v>76</v>
      </c>
      <c r="M9" s="114">
        <f ca="1">VLOOKUP(L9,OFFSET($H$3,0,0,COUNTA($H:$H),3),3,FALSE)</f>
        <v>0</v>
      </c>
      <c r="N9" s="115">
        <f t="shared" ca="1" si="1"/>
        <v>0</v>
      </c>
      <c r="O9" s="12"/>
    </row>
    <row r="10" spans="2:15" s="1" customFormat="1" x14ac:dyDescent="0.3">
      <c r="B10" s="40" t="s">
        <v>14</v>
      </c>
      <c r="C10" s="41" t="s">
        <v>15</v>
      </c>
      <c r="D10" s="42">
        <v>0.96950000000000003</v>
      </c>
      <c r="E10" s="24">
        <f>IF(IF(B10="MDZ140R","",IFERROR((SUMIF($B$3:$B$64,"MDZ140R",$F$3:$F$64)*INDEX($Q$20:$Q$76,MATCH(B10,$N$20:$N$76,0))),""))=0,"",IF(B10="MDZ140R","",IFERROR((SUMIF($B$3:$B$64,"MDZ140R",$F$3:$F$64)*INDEX($Q$20:$Q$76,MATCH(B10,$N$20:$N$76,0))),"")))</f>
        <v>1.1945178399999999E-2</v>
      </c>
      <c r="F10" s="42">
        <f t="shared" si="0"/>
        <v>0.98144517840000001</v>
      </c>
      <c r="H10" s="192" t="s">
        <v>13</v>
      </c>
      <c r="I10" s="211">
        <v>0.36714999999999998</v>
      </c>
      <c r="J10" s="204"/>
      <c r="L10" s="56" t="s">
        <v>77</v>
      </c>
      <c r="M10" s="114">
        <f>VLOOKUP(L10,H1:INDEX(J:J,MATCH("zzzz",H:H)),3,FALSE)</f>
        <v>9.7175460186000002</v>
      </c>
      <c r="N10" s="115">
        <f t="shared" ca="1" si="1"/>
        <v>0.50168911437816321</v>
      </c>
      <c r="O10" s="12"/>
    </row>
    <row r="11" spans="2:15" s="1" customFormat="1" x14ac:dyDescent="0.3">
      <c r="B11" s="40" t="s">
        <v>16</v>
      </c>
      <c r="C11" s="41" t="s">
        <v>17</v>
      </c>
      <c r="D11" s="42">
        <v>0.63880000000000003</v>
      </c>
      <c r="E11" s="24" t="str">
        <f>IF(IF(B11="MDZ140R","",IFERROR((SUMIF($B$3:$B$64,"MDZ140R",$F$3:$F$64)*INDEX($Q$20:$Q$76,MATCH(B11,$N$20:$N$76,0))),""))=0,"",IF(B11="MDZ140R","",IFERROR((SUMIF($B$3:$B$64,"MDZ140R",$F$3:$F$64)*INDEX($Q$20:$Q$76,MATCH(B11,$N$20:$N$76,0))),"")))</f>
        <v/>
      </c>
      <c r="F11" s="42">
        <f t="shared" si="0"/>
        <v>0.63880000000000003</v>
      </c>
      <c r="H11" s="192" t="s">
        <v>31</v>
      </c>
      <c r="I11" s="214">
        <f>IFERROR(VLOOKUP(H11,$B$3:$F$62,5,FALSE),"")</f>
        <v>0.2145</v>
      </c>
      <c r="J11" s="204"/>
      <c r="L11" s="80" t="s">
        <v>78</v>
      </c>
      <c r="M11" s="114">
        <f>VLOOKUP(L11,H2:INDEX(J:J,MATCH("zzzz",H:H)),3,FALSE)</f>
        <v>0.48438907939999998</v>
      </c>
      <c r="N11" s="115">
        <f t="shared" ca="1" si="1"/>
        <v>2.5007623096767229E-2</v>
      </c>
      <c r="O11" s="12"/>
    </row>
    <row r="12" spans="2:15" s="1" customFormat="1" x14ac:dyDescent="0.3">
      <c r="B12" s="40" t="s">
        <v>18</v>
      </c>
      <c r="C12" s="41" t="s">
        <v>19</v>
      </c>
      <c r="D12" s="42">
        <v>0.59430000000000005</v>
      </c>
      <c r="E12" s="24">
        <f>IF(IF(B12="MDZ140R","",IFERROR((SUMIF($B$3:$B$64,"MDZ140R",$F$3:$F$64)*INDEX($Q$20:$Q$76,MATCH(B12,$N$20:$N$76,0))),""))=0,"",IF(B12="MDZ140R","",IFERROR((SUMIF($B$3:$B$64,"MDZ140R",$F$3:$F$64)*INDEX($Q$20:$Q$76,MATCH(B12,$N$20:$N$76,0))),"")))</f>
        <v>9.5563175999999993E-3</v>
      </c>
      <c r="F12" s="42">
        <f t="shared" si="0"/>
        <v>0.60385631760000003</v>
      </c>
      <c r="H12" s="192" t="s">
        <v>90</v>
      </c>
      <c r="I12" s="214">
        <f>IFERROR(VLOOKUP(H12,$B$3:$F$62,5,FALSE),"")</f>
        <v>8.2500000000000004E-2</v>
      </c>
      <c r="J12" s="204"/>
      <c r="L12" s="56" t="s">
        <v>79</v>
      </c>
      <c r="M12" s="114">
        <f>VLOOKUP(L12,H3:INDEX(J:J,MATCH("zzzz",H:H)),3,FALSE)</f>
        <v>2.7852000000000001</v>
      </c>
      <c r="N12" s="115">
        <f t="shared" ca="1" si="1"/>
        <v>0.14379191193862428</v>
      </c>
      <c r="O12" s="12"/>
    </row>
    <row r="13" spans="2:15" s="1" customFormat="1" x14ac:dyDescent="0.3">
      <c r="B13" s="40" t="s">
        <v>85</v>
      </c>
      <c r="C13" s="41" t="s">
        <v>207</v>
      </c>
      <c r="D13" s="42">
        <v>0.65500000000000003</v>
      </c>
      <c r="E13" s="24" t="str">
        <f>IF(IF(B13="MDZ140R","",IFERROR((SUMIF($B$3:$B$64,"MDZ140R",$F$3:$F$64)*INDEX($Q$20:$Q$76,MATCH(B13,$N$20:$N$76,0))),""))=0,"",IF(B13="MDZ140R","",IFERROR((SUMIF($B$3:$B$64,"MDZ140R",$F$3:$F$64)*INDEX($Q$20:$Q$76,MATCH(B13,$N$20:$N$76,0))),"")))</f>
        <v/>
      </c>
      <c r="F13" s="42">
        <f t="shared" si="0"/>
        <v>0.65500000000000003</v>
      </c>
      <c r="H13" s="192" t="s">
        <v>91</v>
      </c>
      <c r="I13" s="214" t="str">
        <f>IFERROR(VLOOKUP(H13,$B$3:$F$62,5,FALSE),"")</f>
        <v/>
      </c>
      <c r="J13" s="204"/>
      <c r="L13" s="80" t="s">
        <v>80</v>
      </c>
      <c r="M13" s="114">
        <f>VLOOKUP(L13,H3:INDEX(J:J,MATCH("zzzz",H:H)),3,FALSE)</f>
        <v>0</v>
      </c>
      <c r="N13" s="115">
        <f t="shared" ca="1" si="1"/>
        <v>0</v>
      </c>
      <c r="O13" s="12"/>
    </row>
    <row r="14" spans="2:15" s="1" customFormat="1" x14ac:dyDescent="0.3">
      <c r="B14" s="40" t="s">
        <v>63</v>
      </c>
      <c r="C14" s="41" t="s">
        <v>23</v>
      </c>
      <c r="D14" s="42">
        <v>0.78739999999999999</v>
      </c>
      <c r="E14" s="24">
        <f>IF(IF(B14="MDZ140R","",IFERROR((SUMIF($B$3:$B$64,"MDZ140R",$F$3:$F$64)*INDEX($Q$20:$Q$76,MATCH(B14,$N$20:$N$76,0))),""))=0,"",IF(B14="MDZ140R","",IFERROR((SUMIF($B$3:$B$64,"MDZ140R",$F$3:$F$64)*INDEX($Q$20:$Q$76,MATCH(B14,$N$20:$N$76,0))),"")))</f>
        <v>2.3888607999999999E-3</v>
      </c>
      <c r="F14" s="42">
        <f t="shared" si="0"/>
        <v>0.78978886079999999</v>
      </c>
      <c r="H14" s="192" t="s">
        <v>92</v>
      </c>
      <c r="I14" s="214" t="str">
        <f>IFERROR(VLOOKUP(H14,$B$3:$F$62,5,FALSE),"")</f>
        <v/>
      </c>
      <c r="J14" s="204"/>
      <c r="L14" s="119" t="s">
        <v>81</v>
      </c>
      <c r="M14" s="120">
        <f ca="1">SUM(M3:M13)</f>
        <v>19.369656905242532</v>
      </c>
      <c r="N14" s="121">
        <f ca="1">SUM(N3:N13)</f>
        <v>1</v>
      </c>
    </row>
    <row r="15" spans="2:15" s="1" customFormat="1" x14ac:dyDescent="0.3">
      <c r="B15" s="40" t="s">
        <v>64</v>
      </c>
      <c r="C15" s="41" t="s">
        <v>25</v>
      </c>
      <c r="D15" s="42">
        <v>0.1052</v>
      </c>
      <c r="E15" s="24">
        <f>IF(IF(B15="MDZ140R","",IFERROR((SUMIF($B$3:$B$64,"MDZ140R",$F$3:$F$64)*INDEX($Q$20:$Q$76,MATCH(B15,$N$20:$N$76,0))),""))=0,"",IF(B15="MDZ140R","",IFERROR((SUMIF($B$3:$B$64,"MDZ140R",$F$3:$F$64)*INDEX($Q$20:$Q$76,MATCH(B15,$N$20:$N$76,0))),"")))</f>
        <v>7.1670196000000004E-3</v>
      </c>
      <c r="F15" s="42">
        <f t="shared" si="0"/>
        <v>0.11236701960000001</v>
      </c>
      <c r="H15" s="192" t="s">
        <v>93</v>
      </c>
      <c r="I15" s="214">
        <v>0.50300999999999996</v>
      </c>
      <c r="J15" s="204"/>
      <c r="L15" s="122" t="s">
        <v>82</v>
      </c>
      <c r="M15" s="120">
        <f ca="1">SUM(M3,M5,M7,M9,M11,M13)</f>
        <v>1.2763609543999999</v>
      </c>
      <c r="N15" s="123">
        <f ca="1">SUM(N13,N11,N9,N7,N5,N3)</f>
        <v>6.5894866421435896E-2</v>
      </c>
    </row>
    <row r="16" spans="2:15" s="1" customFormat="1" x14ac:dyDescent="0.3">
      <c r="B16" s="40" t="s">
        <v>24</v>
      </c>
      <c r="C16" s="41" t="s">
        <v>26</v>
      </c>
      <c r="D16" s="42">
        <v>0.85850000000000004</v>
      </c>
      <c r="E16" s="24">
        <f>IF(IF(B16="MDZ140R","",IFERROR((SUMIF($B$3:$B$64,"MDZ140R",$F$3:$F$64)*INDEX($Q$20:$Q$76,MATCH(B16,$N$20:$N$76,0))),""))=0,"",IF(B16="MDZ140R","",IFERROR((SUMIF($B$3:$B$64,"MDZ140R",$F$3:$F$64)*INDEX($Q$20:$Q$76,MATCH(B16,$N$20:$N$76,0))),"")))</f>
        <v>2.3888607999999999E-3</v>
      </c>
      <c r="F16" s="42">
        <f t="shared" si="0"/>
        <v>0.86088886080000004</v>
      </c>
      <c r="H16" s="192" t="s">
        <v>94</v>
      </c>
      <c r="I16" s="214" t="str">
        <f>IFERROR(VLOOKUP(H16,$B$3:$F$62,5,FALSE),"")</f>
        <v/>
      </c>
      <c r="J16" s="204"/>
    </row>
    <row r="17" spans="2:18" s="1" customFormat="1" x14ac:dyDescent="0.3">
      <c r="B17" s="40" t="s">
        <v>27</v>
      </c>
      <c r="C17" s="41" t="s">
        <v>28</v>
      </c>
      <c r="D17" s="42">
        <v>0.2989</v>
      </c>
      <c r="E17" s="24">
        <f>IF(IF(B17="MDZ140R","",IFERROR((SUMIF($B$3:$B$64,"MDZ140R",$F$3:$F$64)*INDEX($Q$20:$Q$76,MATCH(B17,$N$20:$N$76,0))),""))=0,"",IF(B17="MDZ140R","",IFERROR((SUMIF($B$3:$B$64,"MDZ140R",$F$3:$F$64)*INDEX($Q$20:$Q$76,MATCH(B17,$N$20:$N$76,0))),"")))</f>
        <v>2.3888607999999999E-3</v>
      </c>
      <c r="F17" s="42">
        <f t="shared" si="0"/>
        <v>0.3012888608</v>
      </c>
      <c r="H17" s="192" t="s">
        <v>95</v>
      </c>
      <c r="I17" s="214" t="str">
        <f>IFERROR(VLOOKUP(H17,$B$3:$F$62,5,FALSE),"")</f>
        <v/>
      </c>
      <c r="J17" s="204"/>
    </row>
    <row r="18" spans="2:18" s="1" customFormat="1" x14ac:dyDescent="0.3">
      <c r="B18" s="40" t="s">
        <v>84</v>
      </c>
      <c r="C18" s="41" t="s">
        <v>108</v>
      </c>
      <c r="D18" s="42">
        <v>0.31869999999999998</v>
      </c>
      <c r="E18" s="24">
        <f>IF(IF(B18="MDZ140R","",IFERROR((SUMIF($B$3:$B$64,"MDZ140R",$F$3:$F$64)*INDEX($Q$20:$Q$76,MATCH(B18,$N$20:$N$76,0))),""))=0,"",IF(B18="MDZ140R","",IFERROR((SUMIF($B$3:$B$64,"MDZ140R",$F$3:$F$64)*INDEX($Q$20:$Q$76,MATCH(B18,$N$20:$N$76,0))),"")))</f>
        <v>0.17918029919999998</v>
      </c>
      <c r="F18" s="42">
        <f t="shared" si="0"/>
        <v>0.49788029919999999</v>
      </c>
      <c r="H18" s="192" t="s">
        <v>96</v>
      </c>
      <c r="I18" s="214" t="str">
        <f>IFERROR(VLOOKUP(H18,$B$3:$F$62,5,FALSE),"")</f>
        <v/>
      </c>
      <c r="J18" s="198"/>
      <c r="K18" s="2">
        <v>6.7964829831804498E-3</v>
      </c>
    </row>
    <row r="19" spans="2:18" s="1" customFormat="1" x14ac:dyDescent="0.3">
      <c r="B19" s="40" t="s">
        <v>29</v>
      </c>
      <c r="C19" s="41" t="s">
        <v>30</v>
      </c>
      <c r="D19" s="42">
        <v>0.72870000000000001</v>
      </c>
      <c r="E19" s="24" t="str">
        <f>IF(IF(B19="MDZ140R","",IFERROR((SUMIF($B$3:$B$64,"MDZ140R",$F$3:$F$64)*INDEX($Q$20:$Q$76,MATCH(B19,$N$20:$N$76,0))),""))=0,"",IF(B19="MDZ140R","",IFERROR((SUMIF($B$3:$B$64,"MDZ140R",$F$3:$F$64)*INDEX($Q$20:$Q$76,MATCH(B19,$N$20:$N$76,0))),"")))</f>
        <v/>
      </c>
      <c r="F19" s="42">
        <f t="shared" si="0"/>
        <v>0.72870000000000001</v>
      </c>
      <c r="H19" s="192" t="s">
        <v>97</v>
      </c>
      <c r="I19" s="214" t="str">
        <f>IFERROR(VLOOKUP(H19,$B$3:$F$62,5,FALSE),"")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31</v>
      </c>
      <c r="C20" s="41" t="s">
        <v>67</v>
      </c>
      <c r="D20" s="42">
        <v>0.2145</v>
      </c>
      <c r="E20" s="24" t="str">
        <f>IF(IF(B20="MDZ140R","",IFERROR((SUMIF($B$3:$B$64,"MDZ140R",$F$3:$F$64)*INDEX($Q$20:$Q$76,MATCH(B20,$N$20:$N$76,0))),""))=0,"",IF(B20="MDZ140R","",IFERROR((SUMIF($B$3:$B$64,"MDZ140R",$F$3:$F$64)*INDEX($Q$20:$Q$76,MATCH(B20,$N$20:$N$76,0))),"")))</f>
        <v/>
      </c>
      <c r="F20" s="42">
        <f t="shared" si="0"/>
        <v>0.2145</v>
      </c>
      <c r="H20" s="192" t="s">
        <v>98</v>
      </c>
      <c r="I20" s="214" t="str">
        <f>IFERROR(VLOOKUP(H20,$B$3:$F$62,5,FALSE),"")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34</v>
      </c>
      <c r="C21" s="41" t="s">
        <v>35</v>
      </c>
      <c r="D21" s="42">
        <v>0.1724</v>
      </c>
      <c r="E21" s="24">
        <f>IF(IF(B21="MDZ140R","",IFERROR((SUMIF($B$3:$B$64,"MDZ140R",$F$3:$F$64)*INDEX($Q$20:$Q$76,MATCH(B21,$N$20:$N$76,0))),""))=0,"",IF(B21="MDZ140R","",IFERROR((SUMIF($B$3:$B$64,"MDZ140R",$F$3:$F$64)*INDEX($Q$20:$Q$76,MATCH(B21,$N$20:$N$76,0))),"")))</f>
        <v>4.7781587999999996E-3</v>
      </c>
      <c r="F21" s="42">
        <f t="shared" si="0"/>
        <v>0.17717815879999999</v>
      </c>
      <c r="H21" s="192" t="s">
        <v>99</v>
      </c>
      <c r="I21" s="214" t="str">
        <f>IFERROR(VLOOKUP(H21,$B$3:$F$62,5,FALSE),"")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36</v>
      </c>
      <c r="C22" s="41" t="s">
        <v>37</v>
      </c>
      <c r="D22" s="42">
        <v>0.36880000000000002</v>
      </c>
      <c r="E22" s="24" t="str">
        <f>IF(IF(B22="MDZ140R","",IFERROR((SUMIF($B$3:$B$64,"MDZ140R",$F$3:$F$64)*INDEX($Q$20:$Q$76,MATCH(B22,$N$20:$N$76,0))),""))=0,"",IF(B22="MDZ140R","",IFERROR((SUMIF($B$3:$B$64,"MDZ140R",$F$3:$F$64)*INDEX($Q$20:$Q$76,MATCH(B22,$N$20:$N$76,0))),"")))</f>
        <v/>
      </c>
      <c r="F22" s="42">
        <f t="shared" si="0"/>
        <v>0.36880000000000002</v>
      </c>
      <c r="H22" s="197" t="s">
        <v>70</v>
      </c>
      <c r="I22" s="214" t="str">
        <f>IFERROR(VLOOKUP(H22,$B$3:$F$62,5,FALSE),"")</f>
        <v/>
      </c>
      <c r="J22" s="198">
        <f>SUM(I22:I33)</f>
        <v>0.36714999999999998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 t="s">
        <v>336</v>
      </c>
      <c r="I23" s="217">
        <v>0.36714999999999998</v>
      </c>
      <c r="J23" s="186"/>
      <c r="L23" s="183"/>
      <c r="M23" s="183"/>
      <c r="N23" s="183"/>
      <c r="O23" s="183"/>
      <c r="P23" s="185"/>
      <c r="Q23" s="186"/>
      <c r="R23" s="183"/>
    </row>
    <row r="24" spans="2:18" s="1" customFormat="1" x14ac:dyDescent="0.3">
      <c r="B24" s="40" t="s">
        <v>38</v>
      </c>
      <c r="C24" s="41" t="s">
        <v>39</v>
      </c>
      <c r="D24" s="42">
        <v>0.46</v>
      </c>
      <c r="E24" s="24" t="str">
        <f>IF(IF(B24="MDZ140R","",IFERROR((SUMIF($B$3:$B$64,"MDZ140R",$F$3:$F$64)*INDEX($Q$20:$Q$76,MATCH(B24,$N$20:$N$76,0))),""))=0,"",IF(B24="MDZ140R","",IFERROR((SUMIF($B$3:$B$64,"MDZ140R",$F$3:$F$64)*INDEX($Q$20:$Q$76,MATCH(B24,$N$20:$N$76,0))),"")))</f>
        <v/>
      </c>
      <c r="F24" s="42">
        <f t="shared" si="0"/>
        <v>0.46</v>
      </c>
      <c r="H24" s="192"/>
      <c r="I24" s="214" t="str">
        <f>IFERROR(VLOOKUP(H24,$B$3:$F$62,5,FALSE),"")</f>
        <v/>
      </c>
      <c r="J24" s="204"/>
      <c r="L24" s="56"/>
      <c r="M24" s="56"/>
      <c r="N24" s="56" t="s">
        <v>14</v>
      </c>
      <c r="O24" s="56" t="s">
        <v>15</v>
      </c>
      <c r="P24" s="125">
        <v>5</v>
      </c>
      <c r="Q24" s="126">
        <v>2.7321999999999999E-2</v>
      </c>
      <c r="R24" s="56"/>
    </row>
    <row r="25" spans="2:18" s="1" customFormat="1" x14ac:dyDescent="0.3">
      <c r="B25" s="40" t="s">
        <v>65</v>
      </c>
      <c r="C25" s="41" t="s">
        <v>40</v>
      </c>
      <c r="D25" s="42">
        <v>0.99299999999999999</v>
      </c>
      <c r="E25" s="24" t="str">
        <f>IF(IF(B25="MDZ140R","",IFERROR((SUMIF($B$3:$B$64,"MDZ140R",$F$3:$F$64)*INDEX($Q$20:$Q$76,MATCH(B25,$N$20:$N$76,0))),""))=0,"",IF(B25="MDZ140R","",IFERROR((SUMIF($B$3:$B$64,"MDZ140R",$F$3:$F$64)*INDEX($Q$20:$Q$76,MATCH(B25,$N$20:$N$76,0))),"")))</f>
        <v/>
      </c>
      <c r="F25" s="42">
        <f t="shared" si="0"/>
        <v>0.99299999999999999</v>
      </c>
      <c r="H25" s="192"/>
      <c r="I25" s="214" t="str">
        <f>IFERROR(VLOOKUP(H25,$B$3:$F$62,5,FALSE),"")</f>
        <v/>
      </c>
      <c r="J25" s="204"/>
      <c r="L25" s="56"/>
      <c r="M25" s="56"/>
      <c r="N25" s="56" t="s">
        <v>60</v>
      </c>
      <c r="O25" s="56" t="s">
        <v>4</v>
      </c>
      <c r="P25" s="125">
        <v>2</v>
      </c>
      <c r="Q25" s="126">
        <v>1.0928999999999999E-2</v>
      </c>
      <c r="R25" s="56"/>
    </row>
    <row r="26" spans="2:18" s="1" customFormat="1" x14ac:dyDescent="0.3">
      <c r="B26" s="40" t="s">
        <v>41</v>
      </c>
      <c r="C26" s="41" t="s">
        <v>66</v>
      </c>
      <c r="D26" s="42">
        <v>0.26150000000000001</v>
      </c>
      <c r="E26" s="24" t="str">
        <f>IF(IF(B26="MDZ140R","",IFERROR((SUMIF($B$3:$B$64,"MDZ140R",$F$3:$F$64)*INDEX($Q$20:$Q$76,MATCH(B26,$N$20:$N$76,0))),""))=0,"",IF(B26="MDZ140R","",IFERROR((SUMIF($B$3:$B$64,"MDZ140R",$F$3:$F$64)*INDEX($Q$20:$Q$76,MATCH(B26,$N$20:$N$76,0))),"")))</f>
        <v/>
      </c>
      <c r="F26" s="42">
        <f t="shared" si="0"/>
        <v>0.26150000000000001</v>
      </c>
      <c r="H26" s="192"/>
      <c r="I26" s="214" t="str">
        <f>IFERROR(VLOOKUP(H26,$B$3:$F$62,5,FALSE),"")</f>
        <v/>
      </c>
      <c r="J26" s="204"/>
      <c r="L26" s="56"/>
      <c r="M26" s="56"/>
      <c r="N26" s="56" t="s">
        <v>61</v>
      </c>
      <c r="O26" s="56" t="s">
        <v>5</v>
      </c>
      <c r="P26" s="125">
        <v>2</v>
      </c>
      <c r="Q26" s="126">
        <v>1.0928999999999999E-2</v>
      </c>
      <c r="R26" s="56"/>
    </row>
    <row r="27" spans="2:18" s="1" customFormat="1" x14ac:dyDescent="0.3">
      <c r="B27" s="40" t="s">
        <v>42</v>
      </c>
      <c r="C27" s="41" t="s">
        <v>43</v>
      </c>
      <c r="D27" s="42">
        <v>0.15989999999999999</v>
      </c>
      <c r="E27" s="24" t="str">
        <f>IF(IF(B27="MDZ140R","",IFERROR((SUMIF($B$3:$B$64,"MDZ140R",$F$3:$F$64)*INDEX($Q$20:$Q$76,MATCH(B27,$N$20:$N$76,0))),""))=0,"",IF(B27="MDZ140R","",IFERROR((SUMIF($B$3:$B$64,"MDZ140R",$F$3:$F$64)*INDEX($Q$20:$Q$76,MATCH(B27,$N$20:$N$76,0))),"")))</f>
        <v/>
      </c>
      <c r="F27" s="42">
        <f t="shared" si="0"/>
        <v>0.15989999999999999</v>
      </c>
      <c r="H27" s="192"/>
      <c r="I27" s="214" t="str">
        <f>IFERROR(VLOOKUP(H27,$B$3:$F$62,5,FALSE),"")</f>
        <v/>
      </c>
      <c r="J27" s="204"/>
      <c r="L27" s="56"/>
      <c r="M27" s="56"/>
      <c r="N27" s="56" t="s">
        <v>18</v>
      </c>
      <c r="O27" s="56" t="s">
        <v>110</v>
      </c>
      <c r="P27" s="125">
        <v>4</v>
      </c>
      <c r="Q27" s="126">
        <v>2.1857999999999999E-2</v>
      </c>
      <c r="R27" s="56"/>
    </row>
    <row r="28" spans="2:18" s="1" customFormat="1" x14ac:dyDescent="0.3">
      <c r="B28" s="40" t="s">
        <v>45</v>
      </c>
      <c r="C28" s="41" t="s">
        <v>183</v>
      </c>
      <c r="D28" s="42">
        <v>0.89500000000000002</v>
      </c>
      <c r="E28" s="24" t="str">
        <f>IF(IF(B28="MDZ140R","",IFERROR((SUMIF($B$3:$B$64,"MDZ140R",$F$3:$F$64)*INDEX($Q$20:$Q$76,MATCH(B28,$N$20:$N$76,0))),""))=0,"",IF(B28="MDZ140R","",IFERROR((SUMIF($B$3:$B$64,"MDZ140R",$F$3:$F$64)*INDEX($Q$20:$Q$76,MATCH(B28,$N$20:$N$76,0))),"")))</f>
        <v/>
      </c>
      <c r="F28" s="42">
        <f t="shared" si="0"/>
        <v>0.89500000000000002</v>
      </c>
      <c r="H28" s="192"/>
      <c r="I28" s="214" t="str">
        <f>IFERROR(VLOOKUP(H28,$B$3:$F$62,5,FALSE),"")</f>
        <v/>
      </c>
      <c r="J28" s="204"/>
      <c r="L28" s="56"/>
      <c r="M28" s="56"/>
      <c r="N28" s="56" t="s">
        <v>24</v>
      </c>
      <c r="O28" s="56" t="s">
        <v>111</v>
      </c>
      <c r="P28" s="125">
        <v>1</v>
      </c>
      <c r="Q28" s="126">
        <v>5.4640000000000001E-3</v>
      </c>
      <c r="R28" s="56"/>
    </row>
    <row r="29" spans="2:18" s="1" customFormat="1" x14ac:dyDescent="0.3">
      <c r="B29" s="40" t="s">
        <v>46</v>
      </c>
      <c r="C29" s="41" t="s">
        <v>47</v>
      </c>
      <c r="D29" s="42">
        <v>0.80230000000000001</v>
      </c>
      <c r="E29" s="24">
        <f>IF(IF(B29="MDZ140R","",IFERROR((SUMIF($B$3:$B$64,"MDZ140R",$F$3:$F$64)*INDEX($Q$20:$Q$76,MATCH(B29,$N$20:$N$76,0))),""))=0,"",IF(B29="MDZ140R","",IFERROR((SUMIF($B$3:$B$64,"MDZ140R",$F$3:$F$64)*INDEX($Q$20:$Q$76,MATCH(B29,$N$20:$N$76,0))),"")))</f>
        <v>5.9726766399999999E-2</v>
      </c>
      <c r="F29" s="42">
        <f t="shared" si="0"/>
        <v>0.86202676639999998</v>
      </c>
      <c r="H29" s="192"/>
      <c r="I29" s="214" t="str">
        <f>IFERROR(VLOOKUP(H29,$B$3:$F$62,5,FALSE),"")</f>
        <v/>
      </c>
      <c r="J29" s="204"/>
      <c r="L29" s="56"/>
      <c r="M29" s="56"/>
      <c r="N29" s="56" t="s">
        <v>64</v>
      </c>
      <c r="O29" s="127">
        <v>4020</v>
      </c>
      <c r="P29" s="125">
        <v>3</v>
      </c>
      <c r="Q29" s="126">
        <v>1.6393000000000001E-2</v>
      </c>
      <c r="R29" s="56"/>
    </row>
    <row r="30" spans="2:18" s="1" customFormat="1" x14ac:dyDescent="0.3">
      <c r="B30" s="40" t="s">
        <v>107</v>
      </c>
      <c r="C30" s="41" t="s">
        <v>200</v>
      </c>
      <c r="D30" s="42">
        <v>0.43719999999999998</v>
      </c>
      <c r="E30" s="24" t="str">
        <f>IF(IF(B30="MDZ140R","",IFERROR((SUMIF($B$3:$B$64,"MDZ140R",$F$3:$F$64)*INDEX($Q$20:$Q$76,MATCH(B30,$N$20:$N$76,0))),""))=0,"",IF(B30="MDZ140R","",IFERROR((SUMIF($B$3:$B$64,"MDZ140R",$F$3:$F$64)*INDEX($Q$20:$Q$76,MATCH(B30,$N$20:$N$76,0))),"")))</f>
        <v/>
      </c>
      <c r="F30" s="42">
        <f t="shared" si="0"/>
        <v>0.43719999999999998</v>
      </c>
      <c r="H30" s="205"/>
      <c r="I30" s="214" t="str">
        <f>IFERROR(VLOOKUP(H30,$B$3:$F$62,5,FALSE),"")</f>
        <v/>
      </c>
      <c r="J30" s="204"/>
      <c r="L30" s="56"/>
      <c r="M30" s="56"/>
      <c r="N30" s="56" t="s">
        <v>34</v>
      </c>
      <c r="O30" s="56" t="s">
        <v>112</v>
      </c>
      <c r="P30" s="125">
        <v>2</v>
      </c>
      <c r="Q30" s="126">
        <v>1.0928999999999999E-2</v>
      </c>
      <c r="R30" s="56"/>
    </row>
    <row r="31" spans="2:18" s="1" customFormat="1" x14ac:dyDescent="0.3">
      <c r="B31" s="40" t="s">
        <v>48</v>
      </c>
      <c r="C31" s="41" t="s">
        <v>49</v>
      </c>
      <c r="D31" s="42">
        <v>0.79530000000000001</v>
      </c>
      <c r="E31" s="24" t="str">
        <f>IF(IF(B31="MDZ140R","",IFERROR((SUMIF($B$3:$B$64,"MDZ140R",$F$3:$F$64)*INDEX($Q$20:$Q$76,MATCH(B31,$N$20:$N$76,0))),""))=0,"",IF(B31="MDZ140R","",IFERROR((SUMIF($B$3:$B$64,"MDZ140R",$F$3:$F$64)*INDEX($Q$20:$Q$76,MATCH(B31,$N$20:$N$76,0))),"")))</f>
        <v/>
      </c>
      <c r="F31" s="42">
        <f t="shared" si="0"/>
        <v>0.79530000000000001</v>
      </c>
      <c r="H31" s="192"/>
      <c r="I31" s="214" t="str">
        <f>IFERROR(VLOOKUP(H31,$B$3:$F$62,5,FALSE),"")</f>
        <v/>
      </c>
      <c r="J31" s="198"/>
      <c r="L31" s="56"/>
      <c r="M31" s="56"/>
      <c r="N31" s="56" t="s">
        <v>63</v>
      </c>
      <c r="O31" s="56" t="s">
        <v>23</v>
      </c>
      <c r="P31" s="125">
        <v>1</v>
      </c>
      <c r="Q31" s="126">
        <v>5.4640000000000001E-3</v>
      </c>
      <c r="R31" s="56"/>
    </row>
    <row r="32" spans="2:18" s="1" customFormat="1" x14ac:dyDescent="0.3">
      <c r="B32" s="40" t="s">
        <v>44</v>
      </c>
      <c r="C32" s="41" t="s">
        <v>146</v>
      </c>
      <c r="D32" s="42">
        <v>0.59870000000000001</v>
      </c>
      <c r="E32" s="24" t="str">
        <f>IF(IF(B32="MDZ140R","",IFERROR((SUMIF($B$3:$B$64,"MDZ140R",$F$3:$F$64)*INDEX($Q$20:$Q$76,MATCH(B32,$N$20:$N$76,0))),""))=0,"",IF(B32="MDZ140R","",IFERROR((SUMIF($B$3:$B$64,"MDZ140R",$F$3:$F$64)*INDEX($Q$20:$Q$76,MATCH(B32,$N$20:$N$76,0))),"")))</f>
        <v/>
      </c>
      <c r="F32" s="42">
        <f t="shared" si="0"/>
        <v>0.59870000000000001</v>
      </c>
      <c r="H32" s="192"/>
      <c r="I32" s="214" t="str">
        <f>IFERROR(VLOOKUP(H32,$B$3:$F$62,5,FALSE),"")</f>
        <v/>
      </c>
      <c r="J32" s="198"/>
      <c r="L32" s="56"/>
      <c r="M32" s="56"/>
      <c r="N32" s="56" t="s">
        <v>7</v>
      </c>
      <c r="O32" s="56" t="s">
        <v>8</v>
      </c>
      <c r="P32" s="125">
        <v>1</v>
      </c>
      <c r="Q32" s="126">
        <v>5.4640000000000001E-3</v>
      </c>
      <c r="R32" s="56"/>
    </row>
    <row r="33" spans="2:18" s="1" customFormat="1" x14ac:dyDescent="0.3">
      <c r="B33" s="40" t="s">
        <v>50</v>
      </c>
      <c r="C33" s="41" t="s">
        <v>51</v>
      </c>
      <c r="D33" s="42">
        <v>0.30640000000000001</v>
      </c>
      <c r="E33" s="24" t="str">
        <f>IF(IF(B33="MDZ140R","",IFERROR((SUMIF($B$3:$B$64,"MDZ140R",$F$3:$F$64)*INDEX($Q$20:$Q$76,MATCH(B33,$N$20:$N$76,0))),""))=0,"",IF(B33="MDZ140R","",IFERROR((SUMIF($B$3:$B$64,"MDZ140R",$F$3:$F$64)*INDEX($Q$20:$Q$76,MATCH(B33,$N$20:$N$76,0))),"")))</f>
        <v/>
      </c>
      <c r="F33" s="42">
        <f t="shared" si="0"/>
        <v>0.30640000000000001</v>
      </c>
      <c r="H33" s="189"/>
      <c r="I33" s="214" t="str">
        <f>IFERROR(VLOOKUP(H33,$B$3:$F$62,5,FALSE),"")</f>
        <v/>
      </c>
      <c r="J33" s="198"/>
      <c r="L33" s="56"/>
      <c r="M33" s="56"/>
      <c r="N33" s="56" t="s">
        <v>27</v>
      </c>
      <c r="O33" s="56" t="s">
        <v>113</v>
      </c>
      <c r="P33" s="125">
        <v>1</v>
      </c>
      <c r="Q33" s="126">
        <v>5.4640000000000001E-3</v>
      </c>
      <c r="R33" s="56"/>
    </row>
    <row r="34" spans="2:18" s="144" customFormat="1" x14ac:dyDescent="0.3">
      <c r="B34" s="179"/>
      <c r="C34" s="180"/>
      <c r="D34" s="181"/>
      <c r="E34" s="182"/>
      <c r="F34" s="181"/>
      <c r="H34" s="189" t="s">
        <v>72</v>
      </c>
      <c r="I34" s="216"/>
      <c r="J34" s="191">
        <f>SUM(I34:I76)</f>
        <v>0.41917500000000002</v>
      </c>
      <c r="L34" s="183"/>
      <c r="M34" s="183"/>
      <c r="N34" s="183"/>
      <c r="O34" s="183"/>
      <c r="P34" s="185"/>
      <c r="Q34" s="186"/>
      <c r="R34" s="183"/>
    </row>
    <row r="35" spans="2:18" s="144" customFormat="1" x14ac:dyDescent="0.3">
      <c r="B35" s="179"/>
      <c r="C35" s="180"/>
      <c r="D35" s="181"/>
      <c r="E35" s="182"/>
      <c r="F35" s="181"/>
      <c r="H35" s="183" t="s">
        <v>427</v>
      </c>
      <c r="I35" s="218">
        <v>0.41917500000000002</v>
      </c>
      <c r="J35" s="184"/>
      <c r="L35" s="183"/>
      <c r="M35" s="183"/>
      <c r="N35" s="183"/>
      <c r="O35" s="183"/>
      <c r="P35" s="185"/>
      <c r="Q35" s="186"/>
      <c r="R35" s="183"/>
    </row>
    <row r="36" spans="2:18" s="144" customFormat="1" x14ac:dyDescent="0.3">
      <c r="B36" s="179"/>
      <c r="C36" s="180"/>
      <c r="D36" s="181"/>
      <c r="E36" s="182"/>
      <c r="F36" s="181"/>
      <c r="H36" s="189"/>
      <c r="I36" s="214"/>
      <c r="J36" s="191"/>
      <c r="L36" s="183"/>
      <c r="M36" s="183"/>
      <c r="N36" s="183"/>
      <c r="O36" s="183"/>
      <c r="P36" s="185"/>
      <c r="Q36" s="186"/>
      <c r="R36" s="183"/>
    </row>
    <row r="37" spans="2:18" s="144" customFormat="1" x14ac:dyDescent="0.3">
      <c r="B37" s="179"/>
      <c r="C37" s="180"/>
      <c r="D37" s="181"/>
      <c r="E37" s="182"/>
      <c r="F37" s="181"/>
      <c r="H37" s="192"/>
      <c r="I37" s="214"/>
      <c r="J37" s="206"/>
      <c r="L37" s="183"/>
      <c r="M37" s="183"/>
      <c r="N37" s="183"/>
      <c r="O37" s="183"/>
      <c r="P37" s="185"/>
      <c r="Q37" s="186"/>
      <c r="R37" s="183"/>
    </row>
    <row r="38" spans="2:18" s="1" customFormat="1" x14ac:dyDescent="0.3">
      <c r="B38" s="179"/>
      <c r="C38" s="180"/>
      <c r="D38" s="181"/>
      <c r="E38" s="188"/>
      <c r="F38" s="181"/>
      <c r="H38" s="192"/>
      <c r="I38" s="214"/>
      <c r="J38" s="206"/>
      <c r="L38" s="192"/>
      <c r="M38" s="192"/>
      <c r="N38" s="192"/>
      <c r="O38" s="192"/>
      <c r="P38" s="193"/>
      <c r="Q38" s="194"/>
      <c r="R38" s="192"/>
    </row>
    <row r="39" spans="2:18" s="144" customFormat="1" x14ac:dyDescent="0.3">
      <c r="B39" s="40" t="s">
        <v>53</v>
      </c>
      <c r="C39" s="41" t="s">
        <v>54</v>
      </c>
      <c r="D39" s="42">
        <v>0.24959999999999999</v>
      </c>
      <c r="E39" s="24" t="str">
        <f>IF(IF(B39="MDZ140R","",IFERROR((SUMIF($B$3:$B$64,"MDZ140R",$F$3:$F$64)*INDEX($Q$20:$Q$76,MATCH(B39,$N$20:$N$76,0))),""))=0,"",IF(B39="MDZ140R","",IFERROR((SUMIF($B$3:$B$64,"MDZ140R",$F$3:$F$64)*INDEX($Q$20:$Q$76,MATCH(B39,$N$20:$N$76,0))),"")))</f>
        <v/>
      </c>
      <c r="F39" s="42">
        <f t="shared" ref="F39:F60" si="2">IF(D39="","",D39+ IF(E39="",0,E39))</f>
        <v>0.24959999999999999</v>
      </c>
      <c r="H39" s="192"/>
      <c r="I39" s="214" t="str">
        <f>IFERROR(VLOOKUP(H39,$B$3:$F$62,5,FALSE),"")</f>
        <v/>
      </c>
      <c r="J39" s="206"/>
      <c r="L39" s="145"/>
      <c r="M39" s="145"/>
      <c r="N39" s="145"/>
      <c r="O39" s="145"/>
      <c r="P39" s="147"/>
      <c r="Q39" s="148"/>
      <c r="R39" s="145"/>
    </row>
    <row r="40" spans="2:18" s="1" customFormat="1" x14ac:dyDescent="0.3">
      <c r="B40" s="89" t="s">
        <v>55</v>
      </c>
      <c r="C40" s="89" t="s">
        <v>56</v>
      </c>
      <c r="D40" s="42">
        <v>7.6899999999999996E-2</v>
      </c>
      <c r="E40" s="24" t="str">
        <f>IF(IF(B40="MDZ140R","",IFERROR((SUMIF($B$3:$B$64,"MDZ140R",$F$3:$F$64)*INDEX($Q$20:$Q$76,MATCH(B40,$N$20:$N$76,0))),""))=0,"",IF(B40="MDZ140R","",IFERROR((SUMIF($B$3:$B$64,"MDZ140R",$F$3:$F$64)*INDEX($Q$20:$Q$76,MATCH(B40,$N$20:$N$76,0))),"")))</f>
        <v/>
      </c>
      <c r="F40" s="42">
        <f t="shared" si="2"/>
        <v>7.6899999999999996E-2</v>
      </c>
      <c r="H40" s="192"/>
      <c r="I40" s="214" t="str">
        <f>IFERROR(VLOOKUP(H40,$B$3:$F$62,5,FALSE),"")</f>
        <v/>
      </c>
      <c r="J40" s="206"/>
      <c r="L40" s="56"/>
      <c r="M40" s="56"/>
      <c r="N40" s="56"/>
      <c r="O40" s="56"/>
      <c r="P40" s="125"/>
      <c r="Q40" s="126"/>
      <c r="R40" s="56"/>
    </row>
    <row r="41" spans="2:18" s="1" customFormat="1" x14ac:dyDescent="0.3">
      <c r="B41" s="89" t="s">
        <v>114</v>
      </c>
      <c r="C41" s="89" t="s">
        <v>115</v>
      </c>
      <c r="D41" s="42">
        <v>0.6825</v>
      </c>
      <c r="E41" s="24" t="str">
        <f>IF(IF(B41="MDZ140R","",IFERROR((SUMIF($B$3:$B$64,"MDZ140R",$F$3:$F$64)*INDEX($Q$20:$Q$76,MATCH(B41,$N$20:$N$76,0))),""))=0,"",IF(B41="MDZ140R","",IFERROR((SUMIF($B$3:$B$64,"MDZ140R",$F$3:$F$64)*INDEX($Q$20:$Q$76,MATCH(B41,$N$20:$N$76,0))),"")))</f>
        <v/>
      </c>
      <c r="F41" s="42">
        <f t="shared" si="2"/>
        <v>0.6825</v>
      </c>
      <c r="H41" s="192"/>
      <c r="I41" s="214" t="str">
        <f>IFERROR(VLOOKUP(H41,$B$3:$F$62,5,FALSE),"")</f>
        <v/>
      </c>
      <c r="J41" s="206"/>
      <c r="L41" s="56"/>
      <c r="M41" s="56"/>
      <c r="N41" s="56"/>
      <c r="O41" s="56"/>
      <c r="P41" s="125"/>
      <c r="Q41" s="126"/>
      <c r="R41" s="56"/>
    </row>
    <row r="42" spans="2:18" s="1" customFormat="1" x14ac:dyDescent="0.3">
      <c r="B42" s="89" t="s">
        <v>119</v>
      </c>
      <c r="C42" s="89" t="s">
        <v>120</v>
      </c>
      <c r="D42" s="42">
        <v>0.24640000000000001</v>
      </c>
      <c r="E42" s="24" t="str">
        <f>IF(IF(B42="MDZ140R","",IFERROR((SUMIF($B$3:$B$64,"MDZ140R",$F$3:$F$64)*INDEX($Q$20:$Q$76,MATCH(B42,$N$20:$N$76,0))),""))=0,"",IF(B42="MDZ140R","",IFERROR((SUMIF($B$3:$B$64,"MDZ140R",$F$3:$F$64)*INDEX($Q$20:$Q$76,MATCH(B42,$N$20:$N$76,0))),"")))</f>
        <v/>
      </c>
      <c r="F42" s="42">
        <f t="shared" si="2"/>
        <v>0.24640000000000001</v>
      </c>
      <c r="H42" s="192"/>
      <c r="I42" s="214" t="str">
        <f>IFERROR(VLOOKUP(H42,$B$3:$F$62,5,FALSE),"")</f>
        <v/>
      </c>
      <c r="J42" s="206"/>
      <c r="L42" s="56"/>
      <c r="M42" s="56"/>
      <c r="N42" s="56"/>
      <c r="O42" s="56"/>
      <c r="P42" s="125"/>
      <c r="Q42" s="126"/>
      <c r="R42" s="56"/>
    </row>
    <row r="43" spans="2:18" s="1" customFormat="1" x14ac:dyDescent="0.3">
      <c r="B43" s="89" t="s">
        <v>90</v>
      </c>
      <c r="C43" s="89" t="s">
        <v>195</v>
      </c>
      <c r="D43" s="42">
        <v>8.2500000000000004E-2</v>
      </c>
      <c r="E43" s="24" t="str">
        <f>IF(IF(B43="MDZ140R","",IFERROR((SUMIF($B$3:$B$64,"MDZ140R",$F$3:$F$64)*INDEX($Q$20:$Q$76,MATCH(B43,$N$20:$N$76,0))),""))=0,"",IF(B43="MDZ140R","",IFERROR((SUMIF($B$3:$B$64,"MDZ140R",$F$3:$F$64)*INDEX($Q$20:$Q$76,MATCH(B43,$N$20:$N$76,0))),"")))</f>
        <v/>
      </c>
      <c r="F43" s="42">
        <f t="shared" si="2"/>
        <v>8.2500000000000004E-2</v>
      </c>
      <c r="H43" s="192"/>
      <c r="I43" s="214" t="str">
        <f>IFERROR(VLOOKUP(H43,$B$3:$F$62,5,FALSE),"")</f>
        <v/>
      </c>
      <c r="J43" s="206"/>
      <c r="L43" s="56"/>
      <c r="M43" s="56"/>
      <c r="N43" s="56"/>
      <c r="O43" s="56"/>
      <c r="P43" s="125"/>
      <c r="Q43" s="126"/>
      <c r="R43" s="56"/>
    </row>
    <row r="44" spans="2:18" s="1" customFormat="1" x14ac:dyDescent="0.3">
      <c r="B44" s="89" t="s">
        <v>22</v>
      </c>
      <c r="C44" s="89" t="s">
        <v>117</v>
      </c>
      <c r="D44" s="42">
        <v>6.3100000000000003E-2</v>
      </c>
      <c r="E44" s="24" t="str">
        <f>IF(IF(B44="MDZ140R","",IFERROR((SUMIF($B$3:$B$64,"MDZ140R",$F$3:$F$64)*INDEX($Q$20:$Q$76,MATCH(B44,$N$20:$N$76,0))),""))=0,"",IF(B44="MDZ140R","",IFERROR((SUMIF($B$3:$B$64,"MDZ140R",$F$3:$F$64)*INDEX($Q$20:$Q$76,MATCH(B44,$N$20:$N$76,0))),"")))</f>
        <v/>
      </c>
      <c r="F44" s="42">
        <f t="shared" si="2"/>
        <v>6.3100000000000003E-2</v>
      </c>
      <c r="H44" s="192"/>
      <c r="I44" s="214" t="str">
        <f>IFERROR(VLOOKUP(H44,$B$3:$F$62,5,FALSE),"")</f>
        <v/>
      </c>
      <c r="J44" s="206"/>
      <c r="L44" s="56"/>
      <c r="M44" s="56"/>
      <c r="N44" s="56"/>
      <c r="O44" s="56"/>
      <c r="P44" s="125"/>
      <c r="Q44" s="126"/>
      <c r="R44" s="56"/>
    </row>
    <row r="45" spans="2:18" s="1" customFormat="1" x14ac:dyDescent="0.3">
      <c r="B45" s="89" t="s">
        <v>185</v>
      </c>
      <c r="C45" s="89" t="s">
        <v>205</v>
      </c>
      <c r="D45" s="11">
        <v>0.80010000000000003</v>
      </c>
      <c r="E45" s="24" t="str">
        <f>IF(IF(B45="MDZ140R","",IFERROR((SUMIF($B$3:$B$64,"MDZ140R",$F$3:$F$64)*INDEX($Q$20:$Q$76,MATCH(B45,$N$20:$N$76,0))),""))=0,"",IF(B45="MDZ140R","",IFERROR((SUMIF($B$3:$B$64,"MDZ140R",$F$3:$F$64)*INDEX($Q$20:$Q$76,MATCH(B45,$N$20:$N$76,0))),"")))</f>
        <v/>
      </c>
      <c r="F45" s="42">
        <f t="shared" si="2"/>
        <v>0.80010000000000003</v>
      </c>
      <c r="H45" s="192"/>
      <c r="I45" s="214" t="str">
        <f>IFERROR(VLOOKUP(H45,$B$3:$F$62,5,FALSE),"")</f>
        <v/>
      </c>
      <c r="J45" s="206"/>
      <c r="L45" s="56"/>
      <c r="M45" s="56"/>
      <c r="N45" s="56"/>
      <c r="O45" s="56"/>
      <c r="P45" s="125"/>
      <c r="Q45" s="126"/>
      <c r="R45" s="56"/>
    </row>
    <row r="46" spans="2:18" s="1" customFormat="1" x14ac:dyDescent="0.3">
      <c r="B46" s="89" t="s">
        <v>139</v>
      </c>
      <c r="C46" s="89" t="s">
        <v>188</v>
      </c>
      <c r="D46" s="42">
        <v>0.1305</v>
      </c>
      <c r="E46" s="24" t="str">
        <f>IF(IF(B46="MDZ140R","",IFERROR((SUMIF($B$3:$B$64,"MDZ140R",$F$3:$F$64)*INDEX($Q$20:$Q$76,MATCH(B46,$N$20:$N$76,0))),""))=0,"",IF(B46="MDZ140R","",IFERROR((SUMIF($B$3:$B$64,"MDZ140R",$F$3:$F$64)*INDEX($Q$20:$Q$76,MATCH(B46,$N$20:$N$76,0))),"")))</f>
        <v/>
      </c>
      <c r="F46" s="42">
        <f t="shared" si="2"/>
        <v>0.1305</v>
      </c>
      <c r="H46" s="192"/>
      <c r="I46" s="214" t="str">
        <f>IFERROR(VLOOKUP(H46,$B$3:$F$62,5,FALSE),"")</f>
        <v/>
      </c>
      <c r="J46" s="206"/>
      <c r="L46" s="56"/>
      <c r="M46" s="56"/>
      <c r="N46" s="56"/>
      <c r="O46" s="56"/>
      <c r="P46" s="125"/>
      <c r="Q46" s="126"/>
      <c r="R46" s="56"/>
    </row>
    <row r="47" spans="2:18" s="1" customFormat="1" x14ac:dyDescent="0.3">
      <c r="B47" s="89" t="s">
        <v>172</v>
      </c>
      <c r="C47" s="89" t="s">
        <v>206</v>
      </c>
      <c r="D47" s="42">
        <v>0.92669999999999997</v>
      </c>
      <c r="E47" s="24" t="str">
        <f>IF(IF(B47="MDZ140R","",IFERROR((SUMIF($B$3:$B$64,"MDZ140R",$F$3:$F$64)*INDEX($Q$20:$Q$76,MATCH(B47,$N$20:$N$76,0))),""))=0,"",IF(B47="MDZ140R","",IFERROR((SUMIF($B$3:$B$64,"MDZ140R",$F$3:$F$64)*INDEX($Q$20:$Q$76,MATCH(B47,$N$20:$N$76,0))),"")))</f>
        <v/>
      </c>
      <c r="F47" s="42">
        <f t="shared" si="2"/>
        <v>0.92669999999999997</v>
      </c>
      <c r="H47" s="192"/>
      <c r="I47" s="214" t="str">
        <f>IFERROR(VLOOKUP(H47,$B$3:$F$62,5,FALSE),"")</f>
        <v/>
      </c>
      <c r="J47" s="206"/>
      <c r="L47" s="56"/>
      <c r="M47" s="56"/>
      <c r="N47" s="56"/>
      <c r="O47" s="56"/>
      <c r="P47" s="125"/>
      <c r="Q47" s="126"/>
      <c r="R47" s="56"/>
    </row>
    <row r="48" spans="2:18" s="1" customFormat="1" x14ac:dyDescent="0.3">
      <c r="B48" s="89" t="s">
        <v>143</v>
      </c>
      <c r="C48" s="89" t="s">
        <v>144</v>
      </c>
      <c r="D48" s="42">
        <v>0.92789999999999995</v>
      </c>
      <c r="E48" s="24" t="str">
        <f>IF(IF(B48="MDZ140R","",IFERROR((SUMIF($B$3:$B$64,"MDZ140R",$F$3:$F$64)*INDEX($Q$20:$Q$76,MATCH(B48,$N$20:$N$76,0))),""))=0,"",IF(B48="MDZ140R","",IFERROR((SUMIF($B$3:$B$64,"MDZ140R",$F$3:$F$64)*INDEX($Q$20:$Q$76,MATCH(B48,$N$20:$N$76,0))),"")))</f>
        <v/>
      </c>
      <c r="F48" s="42">
        <f t="shared" si="2"/>
        <v>0.92789999999999995</v>
      </c>
      <c r="H48" s="192"/>
      <c r="I48" s="214" t="str">
        <f>IFERROR(VLOOKUP(H48,$B$3:$F$62,5,FALSE),"")</f>
        <v/>
      </c>
      <c r="J48" s="206"/>
      <c r="L48" s="56"/>
      <c r="M48" s="56"/>
      <c r="N48" s="56"/>
      <c r="O48" s="56"/>
      <c r="P48" s="125"/>
      <c r="Q48" s="126"/>
      <c r="R48" s="56"/>
    </row>
    <row r="49" spans="2:18" s="1" customFormat="1" x14ac:dyDescent="0.3">
      <c r="B49" s="43"/>
      <c r="C49" s="43"/>
      <c r="D49" s="43"/>
      <c r="E49" s="24" t="str">
        <f>IF(IF(B49="MDZ140R","",IFERROR((SUMIF($B$3:$B$64,"MDZ140R",$F$3:$F$64)*INDEX($Q$20:$Q$76,MATCH(B49,$N$20:$N$76,0))),""))=0,"",IF(B49="MDZ140R","",IFERROR((SUMIF($B$3:$B$64,"MDZ140R",$F$3:$F$64)*INDEX($Q$20:$Q$76,MATCH(B49,$N$20:$N$76,0))),"")))</f>
        <v/>
      </c>
      <c r="F49" s="42" t="str">
        <f t="shared" si="2"/>
        <v/>
      </c>
      <c r="H49" s="192"/>
      <c r="I49" s="214" t="str">
        <f>IFERROR(VLOOKUP(H49,$B$3:$F$62,5,FALSE),"")</f>
        <v/>
      </c>
      <c r="J49" s="206"/>
      <c r="L49" s="56"/>
      <c r="M49" s="56"/>
      <c r="N49" s="56"/>
      <c r="O49" s="56"/>
      <c r="P49" s="125"/>
      <c r="Q49" s="126"/>
      <c r="R49" s="56"/>
    </row>
    <row r="50" spans="2:18" s="1" customFormat="1" x14ac:dyDescent="0.3">
      <c r="B50" s="43"/>
      <c r="C50" s="43"/>
      <c r="D50" s="43"/>
      <c r="E50" s="24" t="str">
        <f>IF(IF(B50="MDZ140R","",IFERROR((SUMIF($B$3:$B$64,"MDZ140R",$F$3:$F$64)*INDEX($Q$20:$Q$76,MATCH(B50,$N$20:$N$76,0))),""))=0,"",IF(B50="MDZ140R","",IFERROR((SUMIF($B$3:$B$64,"MDZ140R",$F$3:$F$64)*INDEX($Q$20:$Q$76,MATCH(B50,$N$20:$N$76,0))),"")))</f>
        <v/>
      </c>
      <c r="F50" s="42" t="str">
        <f t="shared" si="2"/>
        <v/>
      </c>
      <c r="H50" s="192"/>
      <c r="I50" s="214" t="str">
        <f>IFERROR(VLOOKUP(H50,$B$3:$F$62,5,FALSE),"")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43"/>
      <c r="C51" s="43"/>
      <c r="D51" s="43"/>
      <c r="E51" s="24" t="str">
        <f>IF(IF(B51="MDZ140R","",IFERROR((SUMIF($B$3:$B$64,"MDZ140R",$F$3:$F$64)*INDEX($Q$20:$Q$76,MATCH(B51,$N$20:$N$76,0))),""))=0,"",IF(B51="MDZ140R","",IFERROR((SUMIF($B$3:$B$64,"MDZ140R",$F$3:$F$64)*INDEX($Q$20:$Q$76,MATCH(B51,$N$20:$N$76,0))),"")))</f>
        <v/>
      </c>
      <c r="F51" s="42" t="str">
        <f t="shared" si="2"/>
        <v/>
      </c>
      <c r="H51" s="192"/>
      <c r="I51" s="214" t="str">
        <f>IFERROR(VLOOKUP(H51,$B$3:$F$62,5,FALSE),"")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/>
      <c r="C52" s="89"/>
      <c r="D52" s="42"/>
      <c r="E52" s="24" t="str">
        <f>IF(IF(B52="MDZ140R","",IFERROR((SUMIF($B$3:$B$64,"MDZ140R",$F$3:$F$64)*INDEX($Q$20:$Q$76,MATCH(B52,$N$20:$N$76,0))),""))=0,"",IF(B52="MDZ140R","",IFERROR((SUMIF($B$3:$B$64,"MDZ140R",$F$3:$F$64)*INDEX($Q$20:$Q$76,MATCH(B52,$N$20:$N$76,0))),"")))</f>
        <v/>
      </c>
      <c r="F52" s="42" t="str">
        <f t="shared" si="2"/>
        <v/>
      </c>
      <c r="H52" s="192"/>
      <c r="I52" s="214" t="str">
        <f>IFERROR(VLOOKUP(H52,$B$3:$F$62,5,FALSE),"")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/>
      <c r="C53" s="89"/>
      <c r="D53" s="42"/>
      <c r="E53" s="24" t="str">
        <f>IF(IF(B53="MDZ140R","",IFERROR((SUMIF($B$3:$B$64,"MDZ140R",$F$3:$F$64)*INDEX($Q$20:$Q$76,MATCH(B53,$N$20:$N$76,0))),""))=0,"",IF(B53="MDZ140R","",IFERROR((SUMIF($B$3:$B$64,"MDZ140R",$F$3:$F$64)*INDEX($Q$20:$Q$76,MATCH(B53,$N$20:$N$76,0))),"")))</f>
        <v/>
      </c>
      <c r="F53" s="42" t="str">
        <f t="shared" si="2"/>
        <v/>
      </c>
      <c r="H53" s="192"/>
      <c r="I53" s="214" t="str">
        <f>IFERROR(VLOOKUP(H53,$B$3:$F$62,5,FALSE),"")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/>
      <c r="C54" s="89"/>
      <c r="D54" s="42"/>
      <c r="E54" s="24" t="str">
        <f>IF(IF(B54="MDZ140R","",IFERROR((SUMIF($B$3:$B$64,"MDZ140R",$F$3:$F$64)*INDEX($Q$20:$Q$76,MATCH(B54,$N$20:$N$76,0))),""))=0,"",IF(B54="MDZ140R","",IFERROR((SUMIF($B$3:$B$64,"MDZ140R",$F$3:$F$64)*INDEX($Q$20:$Q$76,MATCH(B54,$N$20:$N$76,0))),"")))</f>
        <v/>
      </c>
      <c r="F54" s="42" t="str">
        <f t="shared" si="2"/>
        <v/>
      </c>
      <c r="H54" s="192"/>
      <c r="I54" s="214" t="str">
        <f>IFERROR(VLOOKUP(H54,$B$3:$F$62,5,FALSE),"")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/>
      <c r="C55" s="89"/>
      <c r="D55" s="42"/>
      <c r="E55" s="24" t="str">
        <f>IF(IF(B55="MDZ140R","",IFERROR((SUMIF($B$3:$B$64,"MDZ140R",$F$3:$F$64)*INDEX($Q$20:$Q$76,MATCH(B55,$N$20:$N$76,0))),""))=0,"",IF(B55="MDZ140R","",IFERROR((SUMIF($B$3:$B$64,"MDZ140R",$F$3:$F$64)*INDEX($Q$20:$Q$76,MATCH(B55,$N$20:$N$76,0))),"")))</f>
        <v/>
      </c>
      <c r="F55" s="42" t="str">
        <f t="shared" si="2"/>
        <v/>
      </c>
      <c r="H55" s="192"/>
      <c r="I55" s="214" t="str">
        <f>IFERROR(VLOOKUP(H55,$B$3:$F$62,5,FALSE),"")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/>
      <c r="C56" s="89"/>
      <c r="D56" s="42"/>
      <c r="E56" s="24" t="str">
        <f>IF(IF(B56="MDZ140R","",IFERROR((SUMIF($B$3:$B$64,"MDZ140R",$F$3:$F$64)*INDEX($Q$20:$Q$76,MATCH(B56,$N$20:$N$76,0))),""))=0,"",IF(B56="MDZ140R","",IFERROR((SUMIF($B$3:$B$64,"MDZ140R",$F$3:$F$64)*INDEX($Q$20:$Q$76,MATCH(B56,$N$20:$N$76,0))),"")))</f>
        <v/>
      </c>
      <c r="F56" s="42" t="str">
        <f t="shared" si="2"/>
        <v/>
      </c>
      <c r="H56" s="192"/>
      <c r="I56" s="214" t="str">
        <f>IFERROR(VLOOKUP(H56,$B$3:$F$62,5,FALSE),"")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/>
      <c r="C57" s="89"/>
      <c r="D57" s="42"/>
      <c r="E57" s="24" t="str">
        <f>IF(IF(B57="MDZ140R","",IFERROR((SUMIF($B$3:$B$64,"MDZ140R",$F$3:$F$64)*INDEX($Q$20:$Q$76,MATCH(B57,$N$20:$N$76,0))),""))=0,"",IF(B57="MDZ140R","",IFERROR((SUMIF($B$3:$B$64,"MDZ140R",$F$3:$F$64)*INDEX($Q$20:$Q$76,MATCH(B57,$N$20:$N$76,0))),"")))</f>
        <v/>
      </c>
      <c r="F57" s="42" t="str">
        <f t="shared" si="2"/>
        <v/>
      </c>
      <c r="H57" s="192"/>
      <c r="I57" s="214" t="str">
        <f>IFERROR(VLOOKUP(H57,$B$3:$F$62,5,FALSE),"")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/>
      <c r="C58" s="89"/>
      <c r="D58" s="42"/>
      <c r="E58" s="24" t="str">
        <f>IF(IF(B58="MDZ140R","",IFERROR((SUMIF($B$3:$B$64,"MDZ140R",$F$3:$F$64)*INDEX($Q$20:$Q$76,MATCH(B58,$N$20:$N$76,0))),""))=0,"",IF(B58="MDZ140R","",IFERROR((SUMIF($B$3:$B$64,"MDZ140R",$F$3:$F$64)*INDEX($Q$20:$Q$76,MATCH(B58,$N$20:$N$76,0))),"")))</f>
        <v/>
      </c>
      <c r="F58" s="42" t="str">
        <f t="shared" si="2"/>
        <v/>
      </c>
      <c r="H58" s="192"/>
      <c r="I58" s="214" t="str">
        <f>IFERROR(VLOOKUP(H58,$B$3:$F$62,5,FALSE),"")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/>
      <c r="C59" s="89"/>
      <c r="D59" s="42"/>
      <c r="E59" s="24" t="str">
        <f>IF(IF(B59="MDZ140R","",IFERROR((SUMIF($B$3:$B$64,"MDZ140R",$F$3:$F$64)*INDEX($Q$20:$Q$76,MATCH(B59,$N$20:$N$76,0))),""))=0,"",IF(B59="MDZ140R","",IFERROR((SUMIF($B$3:$B$64,"MDZ140R",$F$3:$F$64)*INDEX($Q$20:$Q$76,MATCH(B59,$N$20:$N$76,0))),"")))</f>
        <v/>
      </c>
      <c r="F59" s="42" t="str">
        <f t="shared" si="2"/>
        <v/>
      </c>
      <c r="H59" s="192"/>
      <c r="I59" s="214" t="str">
        <f>IFERROR(VLOOKUP(H59,$B$3:$F$62,5,FALSE),"")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/>
      <c r="C60" s="89"/>
      <c r="D60" s="42"/>
      <c r="E60" s="24" t="str">
        <f>IF(IF(B60="MDZ140R","",IFERROR((SUMIF($B$3:$B$64,"MDZ140R",$F$3:$F$64)*INDEX($Q$20:$Q$76,MATCH(B60,$N$20:$N$76,0))),""))=0,"",IF(B60="MDZ140R","",IFERROR((SUMIF($B$3:$B$64,"MDZ140R",$F$3:$F$64)*INDEX($Q$20:$Q$76,MATCH(B60,$N$20:$N$76,0))),"")))</f>
        <v/>
      </c>
      <c r="F60" s="42" t="str">
        <f t="shared" si="2"/>
        <v/>
      </c>
      <c r="H60" s="192"/>
      <c r="I60" s="214" t="str">
        <f>IFERROR(VLOOKUP(H60,$B$3:$F$62,5,FALSE),"")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/>
      <c r="C61" s="89"/>
      <c r="D61" s="42"/>
      <c r="E61" s="24"/>
      <c r="F61" s="42"/>
      <c r="H61" s="192"/>
      <c r="I61" s="214" t="str">
        <f>IFERROR(VLOOKUP(H61,$B$3:$F$62,5,FALSE),"")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/>
      <c r="C62" s="89"/>
      <c r="D62" s="42"/>
      <c r="E62" s="24" t="str">
        <f>IF(IF(B62="MDZ140R","",IFERROR((SUMIF($B$3:$B$64,"MDZ140R",$F$3:$F$64)*INDEX($Q$20:$Q$76,MATCH(B62,$N$20:$N$76,0))),""))=0,"",IF(B62="MDZ140R","",IFERROR((SUMIF($B$3:$B$64,"MDZ140R",$F$3:$F$64)*INDEX($Q$20:$Q$76,MATCH(B62,$N$20:$N$76,0))),"")))</f>
        <v/>
      </c>
      <c r="F62" s="42" t="str">
        <f>IF(D62="","",D62+ IF(E62="",0,E62))</f>
        <v/>
      </c>
      <c r="H62" s="192"/>
      <c r="I62" s="214" t="str">
        <f>IFERROR(VLOOKUP(H62,$B$3:$F$62,5,FALSE),"")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/>
      <c r="C63" s="89"/>
      <c r="D63" s="42"/>
      <c r="E63" s="24" t="str">
        <f>IF(IF(B63="MDZ140R","",IFERROR((SUMIF($B$3:$B$64,"MDZ140R",$F$3:$F$64)*INDEX($Q$20:$Q$76,MATCH(B63,$N$20:$N$76,0))),""))=0,"",IF(B63="MDZ140R","",IFERROR((SUMIF($B$3:$B$64,"MDZ140R",$F$3:$F$64)*INDEX($Q$20:$Q$76,MATCH(B63,$N$20:$N$76,0))),"")))</f>
        <v/>
      </c>
      <c r="F63" s="42" t="str">
        <f>IF(D63="","",D63+ IF(E63="",0,E63))</f>
        <v/>
      </c>
      <c r="H63" s="192"/>
      <c r="I63" s="214" t="str">
        <f>IFERROR(VLOOKUP(H63,$B$3:$F$62,5,FALSE),"")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127"/>
      <c r="C64" s="60" t="s">
        <v>145</v>
      </c>
      <c r="D64" s="133">
        <f>SUM(D3:D63)</f>
        <v>20.742500000000003</v>
      </c>
      <c r="E64" s="134"/>
      <c r="F64" s="135">
        <f>D64+E64</f>
        <v>20.742500000000003</v>
      </c>
      <c r="H64" s="192"/>
      <c r="I64" s="214" t="str">
        <f>IFERROR(VLOOKUP(H64,$B$3:$F$62,5,FALSE),"")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127"/>
      <c r="C65" s="60"/>
      <c r="D65" s="133"/>
      <c r="E65" s="134"/>
      <c r="F65" s="135"/>
      <c r="H65" s="192"/>
      <c r="I65" s="214" t="str">
        <f>IFERROR(VLOOKUP(H65,$B$3:$F$62,5,FALSE),"")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136"/>
      <c r="C66" s="136"/>
      <c r="D66" s="133">
        <v>0</v>
      </c>
      <c r="E66" s="134"/>
      <c r="F66" s="135">
        <f>D66+E66</f>
        <v>0</v>
      </c>
      <c r="H66" s="192"/>
      <c r="I66" s="214" t="str">
        <f>IFERROR(VLOOKUP(H66,$B$3:$F$62,5,FALSE),"")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136"/>
      <c r="C67" s="136"/>
      <c r="D67" s="133">
        <v>0</v>
      </c>
      <c r="E67" s="134"/>
      <c r="F67" s="135">
        <f>D67+E67</f>
        <v>0</v>
      </c>
      <c r="H67" s="192"/>
      <c r="I67" s="214" t="str">
        <f>IFERROR(VLOOKUP(H67,$B$3:$F$62,5,FALSE),"")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40"/>
      <c r="C68" s="41"/>
      <c r="D68" s="42"/>
      <c r="E68" s="24"/>
      <c r="F68" s="42"/>
      <c r="H68" s="192"/>
      <c r="I68" s="214" t="str">
        <f>IFERROR(VLOOKUP(H68,$B$3:$F$62,5,FALSE),"")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40"/>
      <c r="C69" s="41"/>
      <c r="D69" s="42"/>
      <c r="E69" s="24"/>
      <c r="F69" s="42"/>
      <c r="H69" s="192"/>
      <c r="I69" s="214" t="str">
        <f>IFERROR(VLOOKUP(H69,$B$3:$F$62,5,FALSE),"")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40"/>
      <c r="C70" s="41"/>
      <c r="D70" s="42"/>
      <c r="E70" s="24" t="str">
        <f>IF(IF(B70="MDZ140R","",IFERROR((SUMIF($B$3:$B$64,"MDZ140R",$F$3:$F$64)*INDEX($Q$20:$Q$76,MATCH(B70,$N$20:$N$76,0))),""))=0,"",IF(B70="MDZ140R","",IFERROR((SUMIF($B$3:$B$64,"MDZ140R",$F$3:$F$64)*INDEX($Q$20:$Q$76,MATCH(B70,$N$20:$N$76,0))),"")))</f>
        <v/>
      </c>
      <c r="F70" s="42" t="str">
        <f t="shared" si="0"/>
        <v/>
      </c>
      <c r="H70" s="192"/>
      <c r="I70" s="214" t="str">
        <f>IFERROR(VLOOKUP(H70,$B$3:$F$62,5,FALSE),"")</f>
        <v/>
      </c>
      <c r="J70" s="191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40"/>
      <c r="C71" s="41"/>
      <c r="D71" s="42"/>
      <c r="E71" s="24" t="str">
        <f>IF(IF(B71="MDZ140R","",IFERROR((SUMIF($B$3:$B$64,"MDZ140R",$F$3:$F$64)*INDEX($Q$20:$Q$76,MATCH(B71,$N$20:$N$76,0))),""))=0,"",IF(B71="MDZ140R","",IFERROR((SUMIF($B$3:$B$64,"MDZ140R",$F$3:$F$64)*INDEX($Q$20:$Q$76,MATCH(B71,$N$20:$N$76,0))),"")))</f>
        <v/>
      </c>
      <c r="F71" s="42" t="str">
        <f t="shared" si="0"/>
        <v/>
      </c>
      <c r="H71" s="192"/>
      <c r="I71" s="214" t="str">
        <f>IFERROR(VLOOKUP(H71,$B$3:$F$62,5,FALSE),"")</f>
        <v/>
      </c>
      <c r="J71" s="191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40"/>
      <c r="C72" s="41"/>
      <c r="D72" s="42"/>
      <c r="E72" s="24" t="str">
        <f>IF(IF(B72="MDZ140R","",IFERROR((SUMIF($B$3:$B$64,"MDZ140R",$F$3:$F$64)*INDEX($Q$20:$Q$76,MATCH(B72,$N$20:$N$76,0))),""))=0,"",IF(B72="MDZ140R","",IFERROR((SUMIF($B$3:$B$64,"MDZ140R",$F$3:$F$64)*INDEX($Q$20:$Q$76,MATCH(B72,$N$20:$N$76,0))),"")))</f>
        <v/>
      </c>
      <c r="F72" s="42" t="str">
        <f t="shared" si="0"/>
        <v/>
      </c>
      <c r="H72" s="192"/>
      <c r="I72" s="214" t="str">
        <f>IFERROR(VLOOKUP(H72,$B$3:$F$62,5,FALSE),"")</f>
        <v/>
      </c>
      <c r="J72" s="191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40"/>
      <c r="C73" s="41"/>
      <c r="D73" s="42"/>
      <c r="E73" s="24" t="str">
        <f>IF(IF(B73="MDZ140R","",IFERROR((SUMIF($B$3:$B$64,"MDZ140R",$F$3:$F$64)*INDEX($Q$20:$Q$76,MATCH(B73,$N$20:$N$76,0))),""))=0,"",IF(B73="MDZ140R","",IFERROR((SUMIF($B$3:$B$64,"MDZ140R",$F$3:$F$64)*INDEX($Q$20:$Q$76,MATCH(B73,$N$20:$N$76,0))),"")))</f>
        <v/>
      </c>
      <c r="F73" s="42" t="str">
        <f t="shared" si="0"/>
        <v/>
      </c>
      <c r="H73" s="192"/>
      <c r="I73" s="214" t="str">
        <f>IFERROR(VLOOKUP(H73,$B$3:$F$62,5,FALSE),"")</f>
        <v/>
      </c>
      <c r="J73" s="191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40"/>
      <c r="C74" s="41"/>
      <c r="D74" s="42"/>
      <c r="E74" s="24" t="str">
        <f>IF(IF(B74="MDZ140R","",IFERROR((SUMIF($B$3:$B$64,"MDZ140R",$F$3:$F$64)*INDEX($Q$20:$Q$76,MATCH(B74,$N$20:$N$76,0))),""))=0,"",IF(B74="MDZ140R","",IFERROR((SUMIF($B$3:$B$64,"MDZ140R",$F$3:$F$64)*INDEX($Q$20:$Q$76,MATCH(B74,$N$20:$N$76,0))),"")))</f>
        <v/>
      </c>
      <c r="F74" s="42" t="str">
        <f t="shared" si="0"/>
        <v/>
      </c>
      <c r="H74" s="192"/>
      <c r="I74" s="214" t="str">
        <f>IFERROR(VLOOKUP(H74,$B$3:$F$62,5,FALSE),"")</f>
        <v/>
      </c>
      <c r="J74" s="191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40"/>
      <c r="C75" s="41"/>
      <c r="D75" s="42"/>
      <c r="E75" s="24" t="str">
        <f>IF(IF(B75="MDZ140R","",IFERROR((SUMIF($B$3:$B$64,"MDZ140R",$F$3:$F$64)*INDEX($Q$20:$Q$76,MATCH(B75,$N$20:$N$76,0))),""))=0,"",IF(B75="MDZ140R","",IFERROR((SUMIF($B$3:$B$64,"MDZ140R",$F$3:$F$64)*INDEX($Q$20:$Q$76,MATCH(B75,$N$20:$N$76,0))),"")))</f>
        <v/>
      </c>
      <c r="F75" s="42" t="str">
        <f t="shared" si="0"/>
        <v/>
      </c>
      <c r="H75" s="192"/>
      <c r="I75" s="214" t="str">
        <f>IFERROR(VLOOKUP(H75,$B$3:$F$62,5,FALSE),"")</f>
        <v/>
      </c>
      <c r="J75" s="191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40"/>
      <c r="C76" s="41"/>
      <c r="D76" s="42"/>
      <c r="E76" s="24" t="str">
        <f>IF(IF(B76="MDZ140R","",IFERROR((SUMIF($B$3:$B$64,"MDZ140R",$F$3:$F$64)*INDEX($Q$20:$Q$76,MATCH(B76,$N$20:$N$76,0))),""))=0,"",IF(B76="MDZ140R","",IFERROR((SUMIF($B$3:$B$64,"MDZ140R",$F$3:$F$64)*INDEX($Q$20:$Q$76,MATCH(B76,$N$20:$N$76,0))),"")))</f>
        <v/>
      </c>
      <c r="F76" s="42" t="str">
        <f t="shared" si="0"/>
        <v/>
      </c>
      <c r="H76" s="192"/>
      <c r="I76" s="214" t="str">
        <f>IFERROR(VLOOKUP(H76,$B$3:$F$62,5,FALSE),"")</f>
        <v/>
      </c>
      <c r="J76" s="207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H77" s="189" t="s">
        <v>73</v>
      </c>
      <c r="I77" s="214"/>
      <c r="J77" s="191">
        <f>SUM(I77:I91)</f>
        <v>2.3544381658425335</v>
      </c>
      <c r="L77" s="56"/>
      <c r="M77" s="56"/>
      <c r="N77" s="56"/>
      <c r="O77" s="59" t="s">
        <v>3</v>
      </c>
      <c r="P77" s="131">
        <f>SUM(P20:P33)</f>
        <v>182</v>
      </c>
      <c r="Q77" s="131">
        <f>SUM(Q20:Q33)</f>
        <v>0.994533</v>
      </c>
      <c r="R77" s="59">
        <v>0</v>
      </c>
    </row>
    <row r="78" spans="2:18" x14ac:dyDescent="0.3">
      <c r="H78" s="196" t="s">
        <v>44</v>
      </c>
      <c r="I78" s="215">
        <v>2.25875E-2</v>
      </c>
      <c r="J78" s="201"/>
    </row>
    <row r="79" spans="2:18" x14ac:dyDescent="0.3">
      <c r="H79" s="196" t="s">
        <v>38</v>
      </c>
      <c r="I79" s="211">
        <v>5.646875E-3</v>
      </c>
      <c r="J79" s="201"/>
    </row>
    <row r="80" spans="2:18" x14ac:dyDescent="0.3">
      <c r="H80" s="196" t="s">
        <v>9</v>
      </c>
      <c r="I80" s="214">
        <f>IFERROR(VLOOKUP(H80,$B$3:$F$62,5,FALSE),"")</f>
        <v>0.97444432679999993</v>
      </c>
      <c r="J80" s="201"/>
    </row>
    <row r="81" spans="8:11" x14ac:dyDescent="0.3">
      <c r="H81" s="196" t="s">
        <v>119</v>
      </c>
      <c r="I81" s="214">
        <f>IFERROR(VLOOKUP(H81,$B$3:$F$62,5,FALSE),"")</f>
        <v>0.24640000000000001</v>
      </c>
      <c r="J81" s="201"/>
    </row>
    <row r="82" spans="8:11" x14ac:dyDescent="0.3">
      <c r="H82" s="196" t="s">
        <v>133</v>
      </c>
      <c r="I82" s="214" t="str">
        <f>IFERROR(VLOOKUP(H82,$B$3:$F$62,5,FALSE),"")</f>
        <v/>
      </c>
      <c r="J82" s="201"/>
    </row>
    <row r="83" spans="8:11" x14ac:dyDescent="0.3">
      <c r="H83" s="196" t="s">
        <v>147</v>
      </c>
      <c r="I83" s="214">
        <v>0.41376000000000002</v>
      </c>
      <c r="J83" s="201"/>
    </row>
    <row r="84" spans="8:11" x14ac:dyDescent="0.3">
      <c r="H84" s="196" t="s">
        <v>148</v>
      </c>
      <c r="I84" s="214" t="str">
        <f>IFERROR(VLOOKUP(H84,$B$3:$F$62,5,FALSE),"")</f>
        <v/>
      </c>
      <c r="J84" s="201"/>
      <c r="K84" t="s">
        <v>216</v>
      </c>
    </row>
    <row r="85" spans="8:11" x14ac:dyDescent="0.3">
      <c r="H85" s="196" t="s">
        <v>11</v>
      </c>
      <c r="I85" s="214">
        <f>IFERROR(VLOOKUP(H85,$B$3:$F$62,5,FALSE),"")</f>
        <v>0.69159946404253392</v>
      </c>
      <c r="J85" s="201"/>
    </row>
    <row r="86" spans="8:11" x14ac:dyDescent="0.3">
      <c r="H86" s="196" t="s">
        <v>149</v>
      </c>
      <c r="I86" s="214" t="str">
        <f>IFERROR(VLOOKUP(H86,$B$3:$F$62,5,FALSE),"")</f>
        <v/>
      </c>
      <c r="J86" s="201"/>
    </row>
    <row r="87" spans="8:11" x14ac:dyDescent="0.3">
      <c r="H87" s="196" t="s">
        <v>121</v>
      </c>
      <c r="I87" s="214" t="str">
        <f>IFERROR(VLOOKUP(H87,$B$3:$F$62,5,FALSE),"")</f>
        <v/>
      </c>
      <c r="J87" s="201"/>
    </row>
    <row r="88" spans="8:11" x14ac:dyDescent="0.3">
      <c r="H88" s="196" t="s">
        <v>150</v>
      </c>
      <c r="I88" s="214" t="str">
        <f>IFERROR(VLOOKUP(H88,$B$3:$F$62,5,FALSE),"")</f>
        <v/>
      </c>
      <c r="J88" s="191"/>
    </row>
    <row r="89" spans="8:11" x14ac:dyDescent="0.3">
      <c r="H89" s="196"/>
      <c r="I89" s="214" t="str">
        <f>IFERROR(VLOOKUP(H89,$B$3:$F$62,5,FALSE),"")</f>
        <v/>
      </c>
      <c r="J89" s="201"/>
    </row>
    <row r="90" spans="8:11" x14ac:dyDescent="0.3">
      <c r="H90" s="196"/>
      <c r="I90" s="214" t="str">
        <f>IFERROR(VLOOKUP(H90,$B$3:$F$62,5,FALSE),"")</f>
        <v/>
      </c>
      <c r="J90" s="201"/>
    </row>
    <row r="91" spans="8:11" x14ac:dyDescent="0.3">
      <c r="H91" s="196"/>
      <c r="I91" s="214" t="str">
        <f>IFERROR(VLOOKUP(H91,$B$3:$F$62,5,FALSE),"")</f>
        <v/>
      </c>
      <c r="J91" s="201"/>
    </row>
    <row r="92" spans="8:11" x14ac:dyDescent="0.3">
      <c r="H92" s="200" t="s">
        <v>74</v>
      </c>
      <c r="I92" s="214" t="str">
        <f>IFERROR(VLOOKUP(H92,$B$3:$F$62,5,FALSE),"")</f>
        <v/>
      </c>
      <c r="J92" s="201">
        <f>SUM(I92:I96)</f>
        <v>5.646875E-3</v>
      </c>
    </row>
    <row r="93" spans="8:11" s="175" customFormat="1" x14ac:dyDescent="0.3">
      <c r="H93" s="176" t="s">
        <v>438</v>
      </c>
      <c r="I93" s="217">
        <v>5.646875E-3</v>
      </c>
      <c r="J93" s="177"/>
    </row>
    <row r="94" spans="8:11" x14ac:dyDescent="0.3">
      <c r="H94" s="196"/>
      <c r="I94" s="214"/>
      <c r="J94" s="208"/>
    </row>
    <row r="95" spans="8:11" x14ac:dyDescent="0.3">
      <c r="H95" s="196"/>
      <c r="I95" s="214"/>
      <c r="J95" s="201"/>
    </row>
    <row r="96" spans="8:11" s="175" customFormat="1" x14ac:dyDescent="0.3">
      <c r="H96" s="196"/>
      <c r="I96" s="214" t="str">
        <f>IFERROR(VLOOKUP(H96,$B$3:$F$62,5,FALSE),"")</f>
        <v/>
      </c>
      <c r="J96" s="201"/>
    </row>
    <row r="97" spans="8:10" x14ac:dyDescent="0.3">
      <c r="H97" s="200" t="s">
        <v>75</v>
      </c>
      <c r="I97" s="214" t="str">
        <f>IFERROR(VLOOKUP(H97,$B$3:$F$62,5,FALSE),"")</f>
        <v/>
      </c>
      <c r="J97" s="201">
        <f>SUM(I97:I103)</f>
        <v>0.69840000000000002</v>
      </c>
    </row>
    <row r="98" spans="8:10" x14ac:dyDescent="0.3">
      <c r="H98" s="196" t="s">
        <v>215</v>
      </c>
      <c r="I98" s="214" t="str">
        <f>IFERROR(VLOOKUP(H98,$B$3:$F$62,5,FALSE),"")</f>
        <v/>
      </c>
      <c r="J98" s="201"/>
    </row>
    <row r="99" spans="8:10" x14ac:dyDescent="0.3">
      <c r="H99" s="196" t="s">
        <v>151</v>
      </c>
      <c r="I99" s="211">
        <v>0.46560000000000001</v>
      </c>
      <c r="J99" s="201"/>
    </row>
    <row r="100" spans="8:10" x14ac:dyDescent="0.3">
      <c r="H100" s="196" t="s">
        <v>14</v>
      </c>
      <c r="I100" s="214">
        <v>0.23280000000000001</v>
      </c>
      <c r="J100" s="201"/>
    </row>
    <row r="101" spans="8:10" x14ac:dyDescent="0.3">
      <c r="H101" s="196" t="s">
        <v>152</v>
      </c>
      <c r="I101" s="214" t="str">
        <f>IFERROR(VLOOKUP(H101,$B$3:$F$62,5,FALSE),"")</f>
        <v/>
      </c>
      <c r="J101" s="201"/>
    </row>
    <row r="102" spans="8:10" x14ac:dyDescent="0.3">
      <c r="H102" s="196" t="s">
        <v>211</v>
      </c>
      <c r="I102" s="214" t="str">
        <f>IFERROR(VLOOKUP(H102,$B$3:$F$62,5,FALSE),"")</f>
        <v/>
      </c>
      <c r="J102" s="201"/>
    </row>
    <row r="103" spans="8:10" x14ac:dyDescent="0.3">
      <c r="H103" s="196" t="s">
        <v>212</v>
      </c>
      <c r="I103" s="214" t="str">
        <f>IFERROR(VLOOKUP(H103,$B$3:$F$62,5,FALSE),"")</f>
        <v/>
      </c>
      <c r="J103" s="201"/>
    </row>
    <row r="104" spans="8:10" x14ac:dyDescent="0.3">
      <c r="H104" s="200" t="s">
        <v>76</v>
      </c>
      <c r="I104" s="214" t="str">
        <f>IFERROR(VLOOKUP(H104,$B$3:$F$62,5,FALSE),"")</f>
        <v/>
      </c>
      <c r="J104" s="201">
        <f>SUM(I104:I108)</f>
        <v>0</v>
      </c>
    </row>
    <row r="105" spans="8:10" x14ac:dyDescent="0.3">
      <c r="H105" s="196"/>
      <c r="I105" s="214"/>
      <c r="J105" s="208"/>
    </row>
    <row r="106" spans="8:10" x14ac:dyDescent="0.3">
      <c r="H106" s="196"/>
      <c r="I106" s="214"/>
      <c r="J106" s="201"/>
    </row>
    <row r="107" spans="8:10" s="175" customFormat="1" x14ac:dyDescent="0.3">
      <c r="H107" s="196"/>
      <c r="I107" s="214"/>
      <c r="J107" s="201"/>
    </row>
    <row r="108" spans="8:10" x14ac:dyDescent="0.3">
      <c r="H108" s="196"/>
      <c r="I108" s="214" t="str">
        <f>IFERROR(VLOOKUP(H108,$B$3:$F$62,5,FALSE),"")</f>
        <v/>
      </c>
      <c r="J108" s="201"/>
    </row>
    <row r="109" spans="8:10" x14ac:dyDescent="0.3">
      <c r="H109" s="200" t="s">
        <v>78</v>
      </c>
      <c r="I109" s="214" t="str">
        <f>IFERROR(VLOOKUP(H109,$B$3:$F$62,5,FALSE),"")</f>
        <v/>
      </c>
      <c r="J109" s="201">
        <f>SUM(I109:I115)</f>
        <v>0.48438907939999998</v>
      </c>
    </row>
    <row r="110" spans="8:10" s="175" customFormat="1" x14ac:dyDescent="0.3">
      <c r="H110" s="176" t="s">
        <v>337</v>
      </c>
      <c r="I110" s="218">
        <v>0.48438907939999998</v>
      </c>
      <c r="J110" s="177"/>
    </row>
    <row r="111" spans="8:10" x14ac:dyDescent="0.3">
      <c r="H111" s="196"/>
      <c r="I111" s="214" t="str">
        <f>IFERROR(VLOOKUP(H111,$B$3:$F$62,5,FALSE),"")</f>
        <v/>
      </c>
      <c r="J111" s="208"/>
    </row>
    <row r="112" spans="8:10" x14ac:dyDescent="0.3">
      <c r="H112" s="196"/>
      <c r="I112" s="214"/>
      <c r="J112" s="208"/>
    </row>
    <row r="113" spans="8:10" x14ac:dyDescent="0.3">
      <c r="H113" s="196"/>
      <c r="I113" s="214" t="str">
        <f>IFERROR(VLOOKUP(H113,$B$3:$F$62,5,FALSE),"")</f>
        <v/>
      </c>
      <c r="J113" s="208"/>
    </row>
    <row r="114" spans="8:10" x14ac:dyDescent="0.3">
      <c r="H114" s="196"/>
      <c r="I114" s="214" t="str">
        <f>IFERROR(VLOOKUP(H114,$B$3:$F$62,5,FALSE),"")</f>
        <v/>
      </c>
      <c r="J114" s="201"/>
    </row>
    <row r="115" spans="8:10" x14ac:dyDescent="0.3">
      <c r="H115" s="196"/>
      <c r="I115" s="214" t="str">
        <f>IFERROR(VLOOKUP(H115,$B$3:$F$62,5,FALSE),"")</f>
        <v/>
      </c>
      <c r="J115" s="201"/>
    </row>
    <row r="116" spans="8:10" x14ac:dyDescent="0.3">
      <c r="H116" s="200" t="s">
        <v>77</v>
      </c>
      <c r="I116" s="214" t="str">
        <f>IFERROR(VLOOKUP(H116,$B$3:$F$62,5,FALSE),"")</f>
        <v/>
      </c>
      <c r="J116" s="201">
        <f>SUM(I116:I164)</f>
        <v>9.7175460186000002</v>
      </c>
    </row>
    <row r="117" spans="8:10" x14ac:dyDescent="0.3">
      <c r="H117" s="196" t="s">
        <v>60</v>
      </c>
      <c r="I117" s="211">
        <v>0.48438907939999998</v>
      </c>
      <c r="J117" s="201"/>
    </row>
    <row r="118" spans="8:10" x14ac:dyDescent="0.3">
      <c r="H118" s="196" t="s">
        <v>153</v>
      </c>
      <c r="I118" s="214" t="str">
        <f>IFERROR(VLOOKUP(H118,$B$3:$F$62,5,FALSE),"")</f>
        <v/>
      </c>
      <c r="J118" s="201"/>
    </row>
    <row r="119" spans="8:10" x14ac:dyDescent="0.3">
      <c r="H119" s="196" t="s">
        <v>154</v>
      </c>
      <c r="I119" s="214" t="str">
        <f>IFERROR(VLOOKUP(H119,$B$3:$F$62,5,FALSE),"")</f>
        <v/>
      </c>
      <c r="J119" s="201"/>
    </row>
    <row r="120" spans="8:10" x14ac:dyDescent="0.3">
      <c r="H120" s="196" t="s">
        <v>114</v>
      </c>
      <c r="I120" s="214">
        <f>IFERROR(VLOOKUP(H120,$B$3:$F$62,5,FALSE),"")</f>
        <v>0.6825</v>
      </c>
      <c r="J120" s="201"/>
    </row>
    <row r="121" spans="8:10" x14ac:dyDescent="0.3">
      <c r="H121" s="196" t="s">
        <v>116</v>
      </c>
      <c r="I121" s="214" t="str">
        <f>IFERROR(VLOOKUP(H121,$B$3:$F$62,5,FALSE),"")</f>
        <v/>
      </c>
      <c r="J121" s="200"/>
    </row>
    <row r="122" spans="8:10" x14ac:dyDescent="0.3">
      <c r="H122" s="196" t="s">
        <v>62</v>
      </c>
      <c r="I122" s="214">
        <f>IFERROR(VLOOKUP(H122,$B$3:$F$62,5,FALSE),"")</f>
        <v>0.4995</v>
      </c>
      <c r="J122" s="200"/>
    </row>
    <row r="123" spans="8:10" x14ac:dyDescent="0.3">
      <c r="H123" s="196" t="s">
        <v>48</v>
      </c>
      <c r="I123" s="214">
        <f>IFERROR(VLOOKUP(H123,$B$3:$F$62,5,FALSE),"")</f>
        <v>0.79530000000000001</v>
      </c>
      <c r="J123" s="200"/>
    </row>
    <row r="124" spans="8:10" x14ac:dyDescent="0.3">
      <c r="H124" s="196" t="s">
        <v>63</v>
      </c>
      <c r="I124" s="214">
        <f>IFERROR(VLOOKUP(H124,$B$3:$F$62,5,FALSE),"")</f>
        <v>0.78978886079999999</v>
      </c>
      <c r="J124" s="200"/>
    </row>
    <row r="125" spans="8:10" x14ac:dyDescent="0.3">
      <c r="H125" s="196" t="s">
        <v>131</v>
      </c>
      <c r="I125" s="214" t="str">
        <f>IFERROR(VLOOKUP(H125,$B$3:$F$62,5,FALSE),"")</f>
        <v/>
      </c>
      <c r="J125" s="200"/>
    </row>
    <row r="126" spans="8:10" x14ac:dyDescent="0.3">
      <c r="H126" s="196" t="s">
        <v>155</v>
      </c>
      <c r="I126" s="214" t="str">
        <f>IFERROR(VLOOKUP(H126,$B$3:$F$62,5,FALSE),"")</f>
        <v/>
      </c>
      <c r="J126" s="200"/>
    </row>
    <row r="127" spans="8:10" x14ac:dyDescent="0.3">
      <c r="H127" s="196" t="s">
        <v>156</v>
      </c>
      <c r="I127" s="214" t="str">
        <f>IFERROR(VLOOKUP(H127,$B$3:$F$62,5,FALSE),"")</f>
        <v/>
      </c>
      <c r="J127" s="200"/>
    </row>
    <row r="128" spans="8:10" x14ac:dyDescent="0.3">
      <c r="H128" s="196" t="s">
        <v>64</v>
      </c>
      <c r="I128" s="214">
        <f>IFERROR(VLOOKUP(H128,$B$3:$F$62,5,FALSE),"")</f>
        <v>0.11236701960000001</v>
      </c>
      <c r="J128" s="200"/>
    </row>
    <row r="129" spans="8:10" x14ac:dyDescent="0.3">
      <c r="H129" s="196" t="s">
        <v>24</v>
      </c>
      <c r="I129" s="214">
        <f>IFERROR(VLOOKUP(H129,$B$3:$F$62,5,FALSE),"")</f>
        <v>0.86088886080000004</v>
      </c>
      <c r="J129" s="200"/>
    </row>
    <row r="130" spans="8:10" x14ac:dyDescent="0.3">
      <c r="H130" s="196" t="s">
        <v>34</v>
      </c>
      <c r="I130" s="214">
        <f>IFERROR(VLOOKUP(H130,$B$3:$F$62,5,FALSE),"")</f>
        <v>0.17717815879999999</v>
      </c>
      <c r="J130" s="200"/>
    </row>
    <row r="131" spans="8:10" x14ac:dyDescent="0.3">
      <c r="H131" s="196" t="s">
        <v>157</v>
      </c>
      <c r="I131" s="214" t="str">
        <f>IFERROR(VLOOKUP(H131,$B$3:$F$62,5,FALSE),"")</f>
        <v/>
      </c>
      <c r="J131" s="200"/>
    </row>
    <row r="132" spans="8:10" x14ac:dyDescent="0.3">
      <c r="H132" s="196" t="s">
        <v>158</v>
      </c>
      <c r="I132" s="214" t="str">
        <f>IFERROR(VLOOKUP(H132,$B$3:$F$62,5,FALSE),"")</f>
        <v/>
      </c>
      <c r="J132" s="200"/>
    </row>
    <row r="133" spans="8:10" x14ac:dyDescent="0.3">
      <c r="H133" s="196" t="s">
        <v>159</v>
      </c>
      <c r="I133" s="214" t="str">
        <f>IFERROR(VLOOKUP(H133,$B$3:$F$62,5,FALSE),"")</f>
        <v/>
      </c>
      <c r="J133" s="200"/>
    </row>
    <row r="134" spans="8:10" x14ac:dyDescent="0.3">
      <c r="H134" s="196" t="s">
        <v>160</v>
      </c>
      <c r="I134" s="214" t="str">
        <f>IFERROR(VLOOKUP(H134,$B$3:$F$62,5,FALSE),"")</f>
        <v/>
      </c>
      <c r="J134" s="200"/>
    </row>
    <row r="135" spans="8:10" x14ac:dyDescent="0.3">
      <c r="H135" s="196" t="s">
        <v>50</v>
      </c>
      <c r="I135" s="214">
        <f>IFERROR(VLOOKUP(H135,$B$3:$F$62,5,FALSE),"")</f>
        <v>0.30640000000000001</v>
      </c>
      <c r="J135" s="200"/>
    </row>
    <row r="136" spans="8:10" x14ac:dyDescent="0.3">
      <c r="H136" s="196" t="s">
        <v>161</v>
      </c>
      <c r="I136" s="214" t="str">
        <f>IFERROR(VLOOKUP(H136,$B$3:$F$62,5,FALSE),"")</f>
        <v/>
      </c>
      <c r="J136" s="200"/>
    </row>
    <row r="137" spans="8:10" x14ac:dyDescent="0.3">
      <c r="H137" s="196" t="s">
        <v>162</v>
      </c>
      <c r="I137" s="214" t="str">
        <f>IFERROR(VLOOKUP(H137,$B$3:$F$62,5,FALSE),"")</f>
        <v/>
      </c>
      <c r="J137" s="200"/>
    </row>
    <row r="138" spans="8:10" x14ac:dyDescent="0.3">
      <c r="H138" s="196" t="s">
        <v>7</v>
      </c>
      <c r="I138" s="214">
        <f>IFERROR(VLOOKUP(H138,$B$3:$F$62,5,FALSE),"")</f>
        <v>0.1006888608</v>
      </c>
      <c r="J138" s="200"/>
    </row>
    <row r="139" spans="8:10" x14ac:dyDescent="0.3">
      <c r="H139" s="196" t="s">
        <v>27</v>
      </c>
      <c r="I139" s="214">
        <f>IFERROR(VLOOKUP(H139,$B$3:$F$62,5,FALSE),"")</f>
        <v>0.3012888608</v>
      </c>
      <c r="J139" s="200"/>
    </row>
    <row r="140" spans="8:10" x14ac:dyDescent="0.3">
      <c r="H140" s="196" t="s">
        <v>163</v>
      </c>
      <c r="I140" s="214" t="str">
        <f>IFERROR(VLOOKUP(H140,$B$3:$F$62,5,FALSE),"")</f>
        <v/>
      </c>
      <c r="J140" s="200"/>
    </row>
    <row r="141" spans="8:10" x14ac:dyDescent="0.3">
      <c r="H141" s="196" t="s">
        <v>164</v>
      </c>
      <c r="I141" s="214" t="str">
        <f>IFERROR(VLOOKUP(H141,$B$3:$F$62,5,FALSE),"")</f>
        <v/>
      </c>
      <c r="J141" s="200"/>
    </row>
    <row r="142" spans="8:10" x14ac:dyDescent="0.3">
      <c r="H142" s="196" t="s">
        <v>165</v>
      </c>
      <c r="I142" s="214" t="str">
        <f>IFERROR(VLOOKUP(H142,$B$3:$F$62,5,FALSE),"")</f>
        <v/>
      </c>
      <c r="J142" s="200"/>
    </row>
    <row r="143" spans="8:10" x14ac:dyDescent="0.3">
      <c r="H143" s="196" t="s">
        <v>166</v>
      </c>
      <c r="I143" s="214" t="str">
        <f>IFERROR(VLOOKUP(H143,$B$3:$F$62,5,FALSE),"")</f>
        <v/>
      </c>
      <c r="J143" s="200"/>
    </row>
    <row r="144" spans="8:10" x14ac:dyDescent="0.3">
      <c r="H144" s="196" t="s">
        <v>135</v>
      </c>
      <c r="I144" s="214" t="str">
        <f>IFERROR(VLOOKUP(H144,$B$3:$F$62,5,FALSE),"")</f>
        <v/>
      </c>
      <c r="J144" s="200"/>
    </row>
    <row r="145" spans="8:10" x14ac:dyDescent="0.3">
      <c r="H145" s="196" t="s">
        <v>123</v>
      </c>
      <c r="I145" s="214" t="str">
        <f>IFERROR(VLOOKUP(H145,$B$3:$F$62,5,FALSE),"")</f>
        <v/>
      </c>
      <c r="J145" s="200"/>
    </row>
    <row r="146" spans="8:10" x14ac:dyDescent="0.3">
      <c r="H146" s="196" t="s">
        <v>125</v>
      </c>
      <c r="I146" s="214" t="str">
        <f>IFERROR(VLOOKUP(H146,$B$3:$F$62,5,FALSE),"")</f>
        <v/>
      </c>
      <c r="J146" s="200"/>
    </row>
    <row r="147" spans="8:10" x14ac:dyDescent="0.3">
      <c r="H147" s="196" t="s">
        <v>167</v>
      </c>
      <c r="I147" s="214" t="str">
        <f>IFERROR(VLOOKUP(H147,$B$3:$F$62,5,FALSE),"")</f>
        <v/>
      </c>
      <c r="J147" s="200"/>
    </row>
    <row r="148" spans="8:10" x14ac:dyDescent="0.3">
      <c r="H148" s="196" t="s">
        <v>65</v>
      </c>
      <c r="I148" s="214">
        <f>IFERROR(VLOOKUP(H148,$B$3:$F$62,5,FALSE),"")</f>
        <v>0.99299999999999999</v>
      </c>
      <c r="J148" s="200"/>
    </row>
    <row r="149" spans="8:10" x14ac:dyDescent="0.3">
      <c r="H149" s="196" t="s">
        <v>41</v>
      </c>
      <c r="I149" s="214">
        <f>IFERROR(VLOOKUP(H149,$B$3:$F$62,5,FALSE),"")</f>
        <v>0.26150000000000001</v>
      </c>
      <c r="J149" s="200"/>
    </row>
    <row r="150" spans="8:10" x14ac:dyDescent="0.3">
      <c r="H150" s="196" t="s">
        <v>42</v>
      </c>
      <c r="I150" s="214">
        <f>IFERROR(VLOOKUP(H150,$B$3:$F$62,5,FALSE),"")</f>
        <v>0.15989999999999999</v>
      </c>
      <c r="J150" s="200"/>
    </row>
    <row r="151" spans="8:10" x14ac:dyDescent="0.3">
      <c r="H151" s="196" t="s">
        <v>29</v>
      </c>
      <c r="I151" s="214">
        <f>IFERROR(VLOOKUP(H151,$B$3:$F$62,5,FALSE),"")</f>
        <v>0.72870000000000001</v>
      </c>
      <c r="J151" s="200"/>
    </row>
    <row r="152" spans="8:10" x14ac:dyDescent="0.3">
      <c r="H152" s="196" t="s">
        <v>16</v>
      </c>
      <c r="I152" s="214">
        <f>IFERROR(VLOOKUP(H152,$B$3:$F$62,5,FALSE),"")</f>
        <v>0.63880000000000003</v>
      </c>
      <c r="J152" s="200"/>
    </row>
    <row r="153" spans="8:10" x14ac:dyDescent="0.3">
      <c r="H153" s="196" t="s">
        <v>168</v>
      </c>
      <c r="I153" s="214" t="str">
        <f>IFERROR(VLOOKUP(H153,$B$3:$F$62,5,FALSE),"")</f>
        <v/>
      </c>
      <c r="J153" s="200"/>
    </row>
    <row r="154" spans="8:10" x14ac:dyDescent="0.3">
      <c r="H154" s="196" t="s">
        <v>18</v>
      </c>
      <c r="I154" s="214">
        <f>IFERROR(VLOOKUP(H154,$B$3:$F$62,5,FALSE),"")</f>
        <v>0.60385631760000003</v>
      </c>
      <c r="J154" s="200"/>
    </row>
    <row r="155" spans="8:10" x14ac:dyDescent="0.3">
      <c r="H155" s="196" t="s">
        <v>45</v>
      </c>
      <c r="I155" s="214">
        <f>IFERROR(VLOOKUP(H155,$B$3:$F$62,5,FALSE),"")</f>
        <v>0.89500000000000002</v>
      </c>
      <c r="J155" s="200"/>
    </row>
    <row r="156" spans="8:10" x14ac:dyDescent="0.3">
      <c r="H156" s="196" t="s">
        <v>53</v>
      </c>
      <c r="I156" s="214">
        <f>IFERROR(VLOOKUP(H156,$B$3:$F$62,5,FALSE),"")</f>
        <v>0.24959999999999999</v>
      </c>
      <c r="J156" s="200"/>
    </row>
    <row r="157" spans="8:10" x14ac:dyDescent="0.3">
      <c r="H157" s="196" t="s">
        <v>187</v>
      </c>
      <c r="I157" s="214" t="str">
        <f>IFERROR(VLOOKUP(H157,$B$3:$F$62,5,FALSE),"")</f>
        <v/>
      </c>
      <c r="J157" s="200"/>
    </row>
    <row r="158" spans="8:10" x14ac:dyDescent="0.3">
      <c r="H158" s="196" t="s">
        <v>52</v>
      </c>
      <c r="I158" s="214" t="str">
        <f>IFERROR(VLOOKUP(H158,$B$3:$F$62,5,FALSE),"")</f>
        <v/>
      </c>
      <c r="J158" s="200"/>
    </row>
    <row r="159" spans="8:10" x14ac:dyDescent="0.3">
      <c r="H159" s="196" t="s">
        <v>55</v>
      </c>
      <c r="I159" s="214">
        <f>IFERROR(VLOOKUP(H159,$B$3:$F$62,5,FALSE),"")</f>
        <v>7.6899999999999996E-2</v>
      </c>
      <c r="J159" s="200"/>
    </row>
    <row r="160" spans="8:10" x14ac:dyDescent="0.3">
      <c r="H160" s="196" t="s">
        <v>169</v>
      </c>
      <c r="I160" s="214" t="str">
        <f>IFERROR(VLOOKUP(H160,$B$3:$F$62,5,FALSE),"")</f>
        <v/>
      </c>
      <c r="J160" s="200"/>
    </row>
    <row r="161" spans="8:12" x14ac:dyDescent="0.3">
      <c r="H161" s="196" t="s">
        <v>213</v>
      </c>
      <c r="I161" s="214" t="str">
        <f>IFERROR(VLOOKUP(H161,$B$3:$F$62,5,FALSE),"")</f>
        <v/>
      </c>
      <c r="J161" s="200"/>
    </row>
    <row r="162" spans="8:12" x14ac:dyDescent="0.3">
      <c r="H162" s="196" t="s">
        <v>214</v>
      </c>
      <c r="I162" s="214" t="str">
        <f>IFERROR(VLOOKUP(H162,$B$3:$F$62,5,FALSE),"")</f>
        <v/>
      </c>
      <c r="J162" s="200"/>
    </row>
    <row r="163" spans="8:12" x14ac:dyDescent="0.3">
      <c r="H163" s="196"/>
      <c r="I163" s="214" t="str">
        <f>IFERROR(VLOOKUP(H163,$B$3:$F$62,5,FALSE),"")</f>
        <v/>
      </c>
      <c r="J163" s="200"/>
    </row>
    <row r="164" spans="8:12" x14ac:dyDescent="0.3">
      <c r="H164" s="196"/>
      <c r="I164" s="214" t="str">
        <f>IFERROR(VLOOKUP(H164,$B$3:$F$62,5,FALSE),"")</f>
        <v/>
      </c>
      <c r="J164" s="200"/>
    </row>
    <row r="165" spans="8:12" x14ac:dyDescent="0.3">
      <c r="H165" s="200" t="s">
        <v>79</v>
      </c>
      <c r="I165" s="214" t="str">
        <f>IFERROR(VLOOKUP(H165,$B$3:$F$62,5,FALSE),"")</f>
        <v/>
      </c>
      <c r="J165" s="209">
        <f>SUM(I165:I194)</f>
        <v>2.7852000000000001</v>
      </c>
    </row>
    <row r="166" spans="8:12" x14ac:dyDescent="0.3">
      <c r="H166" s="196" t="s">
        <v>170</v>
      </c>
      <c r="I166" s="214" t="str">
        <f>IFERROR(VLOOKUP(H166,$B$3:$F$62,5,FALSE),"")</f>
        <v/>
      </c>
      <c r="J166" s="200"/>
    </row>
    <row r="167" spans="8:12" x14ac:dyDescent="0.3">
      <c r="H167" s="196" t="s">
        <v>143</v>
      </c>
      <c r="I167" s="214">
        <f>IFERROR(VLOOKUP(H167,$B$3:$F$62,5,FALSE),"")</f>
        <v>0.92789999999999995</v>
      </c>
      <c r="J167" s="200"/>
    </row>
    <row r="168" spans="8:12" x14ac:dyDescent="0.3">
      <c r="H168" s="196" t="s">
        <v>171</v>
      </c>
      <c r="I168" s="214" t="str">
        <f>IFERROR(VLOOKUP(H168,$B$3:$F$62,5,FALSE),"")</f>
        <v/>
      </c>
      <c r="J168" s="200"/>
    </row>
    <row r="169" spans="8:12" x14ac:dyDescent="0.3">
      <c r="H169" s="196" t="s">
        <v>141</v>
      </c>
      <c r="I169" s="214" t="str">
        <f>IFERROR(VLOOKUP(H169,$B$3:$F$62,5,FALSE),"")</f>
        <v/>
      </c>
      <c r="J169" s="200"/>
    </row>
    <row r="170" spans="8:12" x14ac:dyDescent="0.3">
      <c r="H170" s="196" t="s">
        <v>172</v>
      </c>
      <c r="I170" s="214">
        <f>IFERROR(VLOOKUP(H170,$B$3:$F$62,5,FALSE),"")</f>
        <v>0.92669999999999997</v>
      </c>
      <c r="J170" s="200"/>
      <c r="L170" s="9"/>
    </row>
    <row r="171" spans="8:12" x14ac:dyDescent="0.3">
      <c r="H171" s="196" t="s">
        <v>173</v>
      </c>
      <c r="I171" s="214" t="str">
        <f>IFERROR(VLOOKUP(H171,$B$3:$F$62,5,FALSE),"")</f>
        <v/>
      </c>
      <c r="J171" s="200"/>
    </row>
    <row r="172" spans="8:12" x14ac:dyDescent="0.3">
      <c r="H172" s="196" t="s">
        <v>174</v>
      </c>
      <c r="I172" s="214" t="str">
        <f>IFERROR(VLOOKUP(H172,$B$3:$F$62,5,FALSE),"")</f>
        <v/>
      </c>
      <c r="J172" s="200"/>
    </row>
    <row r="173" spans="8:12" x14ac:dyDescent="0.3">
      <c r="H173" s="196" t="s">
        <v>175</v>
      </c>
      <c r="I173" s="214" t="str">
        <f>IFERROR(VLOOKUP(H173,$B$3:$F$62,5,FALSE),"")</f>
        <v/>
      </c>
      <c r="J173" s="200"/>
    </row>
    <row r="174" spans="8:12" x14ac:dyDescent="0.3">
      <c r="H174" s="196" t="s">
        <v>176</v>
      </c>
      <c r="I174" s="214" t="str">
        <f>IFERROR(VLOOKUP(H174,$B$3:$F$62,5,FALSE),"")</f>
        <v/>
      </c>
      <c r="J174" s="200"/>
    </row>
    <row r="175" spans="8:12" x14ac:dyDescent="0.3">
      <c r="H175" s="196" t="s">
        <v>186</v>
      </c>
      <c r="I175" s="214" t="str">
        <f>IFERROR(VLOOKUP(H175,$B$3:$F$62,5,FALSE),"")</f>
        <v/>
      </c>
      <c r="J175" s="200"/>
    </row>
    <row r="176" spans="8:12" x14ac:dyDescent="0.3">
      <c r="H176" s="196" t="s">
        <v>185</v>
      </c>
      <c r="I176" s="214">
        <f>IFERROR(VLOOKUP(H176,$B$3:$F$62,5,FALSE),"")</f>
        <v>0.80010000000000003</v>
      </c>
      <c r="J176" s="200"/>
    </row>
    <row r="177" spans="8:10" x14ac:dyDescent="0.3">
      <c r="H177" s="196" t="s">
        <v>137</v>
      </c>
      <c r="I177" s="214" t="str">
        <f>IFERROR(VLOOKUP(H177,$B$3:$F$62,5,FALSE),"")</f>
        <v/>
      </c>
      <c r="J177" s="200"/>
    </row>
    <row r="178" spans="8:10" x14ac:dyDescent="0.3">
      <c r="H178" s="196" t="s">
        <v>177</v>
      </c>
      <c r="I178" s="214" t="str">
        <f>IFERROR(VLOOKUP(H178,$B$3:$F$62,5,FALSE),"")</f>
        <v/>
      </c>
      <c r="J178" s="200"/>
    </row>
    <row r="179" spans="8:10" x14ac:dyDescent="0.3">
      <c r="H179" s="196" t="s">
        <v>178</v>
      </c>
      <c r="I179" s="214" t="str">
        <f>IFERROR(VLOOKUP(H179,$B$3:$F$62,5,FALSE),"")</f>
        <v/>
      </c>
      <c r="J179" s="200"/>
    </row>
    <row r="180" spans="8:10" x14ac:dyDescent="0.3">
      <c r="H180" s="196" t="s">
        <v>179</v>
      </c>
      <c r="I180" s="214" t="str">
        <f>IFERROR(VLOOKUP(H180,$B$3:$F$62,5,FALSE),"")</f>
        <v/>
      </c>
      <c r="J180" s="200"/>
    </row>
    <row r="181" spans="8:10" x14ac:dyDescent="0.3">
      <c r="H181" s="196" t="s">
        <v>180</v>
      </c>
      <c r="I181" s="214" t="str">
        <f>IFERROR(VLOOKUP(H181,$B$3:$F$62,5,FALSE),"")</f>
        <v/>
      </c>
      <c r="J181" s="200"/>
    </row>
    <row r="182" spans="8:10" x14ac:dyDescent="0.3">
      <c r="H182" s="196" t="s">
        <v>139</v>
      </c>
      <c r="I182" s="214">
        <f>IFERROR(VLOOKUP(H182,$B$3:$F$62,5,FALSE),"")</f>
        <v>0.1305</v>
      </c>
      <c r="J182" s="200"/>
    </row>
    <row r="183" spans="8:10" x14ac:dyDescent="0.3">
      <c r="H183" s="196" t="s">
        <v>181</v>
      </c>
      <c r="I183" s="214" t="str">
        <f>IFERROR(VLOOKUP(H183,$B$3:$F$62,5,FALSE),"")</f>
        <v/>
      </c>
      <c r="J183" s="200"/>
    </row>
    <row r="184" spans="8:10" x14ac:dyDescent="0.3">
      <c r="H184" s="196" t="s">
        <v>182</v>
      </c>
      <c r="I184" s="214" t="str">
        <f>IFERROR(VLOOKUP(H184,$B$3:$F$62,5,FALSE),"")</f>
        <v/>
      </c>
      <c r="J184" s="200"/>
    </row>
    <row r="185" spans="8:10" x14ac:dyDescent="0.3">
      <c r="H185" s="196"/>
      <c r="I185" s="214" t="str">
        <f>IFERROR(VLOOKUP(H185,$B$3:$F$62,5,FALSE),"")</f>
        <v/>
      </c>
      <c r="J185" s="200"/>
    </row>
    <row r="186" spans="8:10" x14ac:dyDescent="0.3">
      <c r="H186" s="196"/>
      <c r="I186" s="214" t="str">
        <f>IFERROR(VLOOKUP(H186,$B$3:$F$62,5,FALSE),"")</f>
        <v/>
      </c>
      <c r="J186" s="200"/>
    </row>
    <row r="187" spans="8:10" x14ac:dyDescent="0.3">
      <c r="H187" s="196"/>
      <c r="I187" s="214" t="str">
        <f>IFERROR(VLOOKUP(H187,$B$3:$F$62,5,FALSE),"")</f>
        <v/>
      </c>
      <c r="J187" s="200"/>
    </row>
    <row r="188" spans="8:10" x14ac:dyDescent="0.3">
      <c r="H188" s="196"/>
      <c r="I188" s="214" t="str">
        <f>IFERROR(VLOOKUP(H188,$B$3:$F$62,5,FALSE),"")</f>
        <v/>
      </c>
      <c r="J188" s="200"/>
    </row>
    <row r="189" spans="8:10" x14ac:dyDescent="0.3">
      <c r="H189" s="196"/>
      <c r="I189" s="214" t="str">
        <f>IFERROR(VLOOKUP(H189,$B$3:$F$62,5,FALSE),"")</f>
        <v/>
      </c>
      <c r="J189" s="200"/>
    </row>
    <row r="190" spans="8:10" x14ac:dyDescent="0.3">
      <c r="H190" s="196"/>
      <c r="I190" s="214" t="str">
        <f>IFERROR(VLOOKUP(H190,$B$3:$F$62,5,FALSE),"")</f>
        <v/>
      </c>
      <c r="J190" s="200"/>
    </row>
    <row r="191" spans="8:10" x14ac:dyDescent="0.3">
      <c r="H191" s="196"/>
      <c r="I191" s="214" t="str">
        <f>IFERROR(VLOOKUP(H191,$B$3:$F$62,5,FALSE),"")</f>
        <v/>
      </c>
      <c r="J191" s="200"/>
    </row>
    <row r="192" spans="8:10" x14ac:dyDescent="0.3">
      <c r="H192" s="196"/>
      <c r="I192" s="214" t="str">
        <f>IFERROR(VLOOKUP(H192,$B$3:$F$62,5,FALSE),"")</f>
        <v/>
      </c>
      <c r="J192" s="200"/>
    </row>
    <row r="193" spans="8:10" x14ac:dyDescent="0.3">
      <c r="H193" s="196"/>
      <c r="I193" s="214" t="str">
        <f>IFERROR(VLOOKUP(H193,$B$3:$F$62,5,FALSE),"")</f>
        <v/>
      </c>
      <c r="J193" s="200"/>
    </row>
    <row r="194" spans="8:10" x14ac:dyDescent="0.3">
      <c r="H194" s="196"/>
      <c r="I194" s="214" t="str">
        <f>IFERROR(VLOOKUP(H194,$B$3:$F$62,5,FALSE),"")</f>
        <v/>
      </c>
      <c r="J194" s="200"/>
    </row>
    <row r="195" spans="8:10" x14ac:dyDescent="0.3">
      <c r="H195" s="200" t="s">
        <v>80</v>
      </c>
      <c r="I195" s="214" t="str">
        <f>IFERROR(VLOOKUP(H195,$B$3:$F$62,5,FALSE),"")</f>
        <v/>
      </c>
      <c r="J195" s="209">
        <f>SUM(I195:I205)</f>
        <v>0</v>
      </c>
    </row>
    <row r="196" spans="8:10" x14ac:dyDescent="0.3">
      <c r="H196" s="196"/>
      <c r="I196" s="214" t="str">
        <f>IFERROR(VLOOKUP(H196,$B$3:$F$62,5,FALSE),"")</f>
        <v/>
      </c>
      <c r="J196" s="196"/>
    </row>
    <row r="197" spans="8:10" x14ac:dyDescent="0.3">
      <c r="H197" s="196"/>
      <c r="I197" s="214" t="str">
        <f>IFERROR(VLOOKUP(H197,$B$3:$F$62,5,FALSE),"")</f>
        <v/>
      </c>
      <c r="J197" s="196"/>
    </row>
    <row r="198" spans="8:10" x14ac:dyDescent="0.3">
      <c r="H198" s="196"/>
      <c r="I198" s="214" t="str">
        <f>IFERROR(VLOOKUP(H198,$B$3:$F$62,5,FALSE),"")</f>
        <v/>
      </c>
      <c r="J198" s="196"/>
    </row>
    <row r="199" spans="8:10" x14ac:dyDescent="0.3">
      <c r="H199" s="196"/>
      <c r="I199" s="214" t="str">
        <f>IFERROR(VLOOKUP(H199,$B$3:$F$62,5,FALSE),"")</f>
        <v/>
      </c>
      <c r="J199" s="196"/>
    </row>
    <row r="200" spans="8:10" x14ac:dyDescent="0.3">
      <c r="H200" s="196"/>
      <c r="I200" s="214" t="str">
        <f>IFERROR(VLOOKUP(H200,$B$3:$F$62,5,FALSE),"")</f>
        <v/>
      </c>
      <c r="J200" s="196"/>
    </row>
    <row r="201" spans="8:10" x14ac:dyDescent="0.3">
      <c r="H201" s="196"/>
      <c r="I201" s="214" t="str">
        <f>IFERROR(VLOOKUP(H201,$B$3:$F$62,5,FALSE),"")</f>
        <v/>
      </c>
      <c r="J201" s="196"/>
    </row>
    <row r="202" spans="8:10" x14ac:dyDescent="0.3">
      <c r="H202" s="196"/>
      <c r="I202" s="214" t="str">
        <f>IFERROR(VLOOKUP(H202,$B$3:$F$62,5,FALSE),"")</f>
        <v/>
      </c>
      <c r="J202" s="196"/>
    </row>
    <row r="203" spans="8:10" x14ac:dyDescent="0.3">
      <c r="H203" s="196"/>
      <c r="I203" s="214" t="str">
        <f>IFERROR(VLOOKUP(H203,$B$3:$F$62,5,FALSE),"")</f>
        <v/>
      </c>
      <c r="J203" s="196"/>
    </row>
    <row r="204" spans="8:10" x14ac:dyDescent="0.3">
      <c r="H204" s="196"/>
      <c r="I204" s="214" t="str">
        <f>IFERROR(VLOOKUP(H204,$B$3:$F$62,5,FALSE),"")</f>
        <v/>
      </c>
      <c r="J204" s="196"/>
    </row>
    <row r="205" spans="8:10" x14ac:dyDescent="0.3">
      <c r="H205" s="196"/>
      <c r="I205" s="214" t="str">
        <f>IFERROR(VLOOKUP(H205,$B$3:$F$62,5,FALSE),"")</f>
        <v/>
      </c>
      <c r="J205" s="196"/>
    </row>
    <row r="206" spans="8:10" x14ac:dyDescent="0.3">
      <c r="I206" s="214" t="str">
        <f>IFERROR(VLOOKUP(H206,$B$3:$F$62,5,FALSE),"")</f>
        <v/>
      </c>
    </row>
    <row r="207" spans="8:10" x14ac:dyDescent="0.3">
      <c r="I207" s="214" t="str">
        <f>IFERROR(VLOOKUP(H207,$B$3:$F$62,5,FALSE),"")</f>
        <v/>
      </c>
    </row>
    <row r="208" spans="8:10" x14ac:dyDescent="0.3">
      <c r="I208" s="214" t="str">
        <f>IFERROR(VLOOKUP(H208,$B$3:$F$62,5,FALSE),"")</f>
        <v/>
      </c>
    </row>
    <row r="209" spans="9:9" x14ac:dyDescent="0.3">
      <c r="I209" s="214" t="str">
        <f>IFERROR(VLOOKUP(H209,$B$3:$F$62,5,FALSE),"")</f>
        <v/>
      </c>
    </row>
    <row r="210" spans="9:9" x14ac:dyDescent="0.3">
      <c r="I210" s="214" t="str">
        <f>IFERROR(VLOOKUP(H210,$B$3:$F$62,5,FALSE),"")</f>
        <v/>
      </c>
    </row>
    <row r="211" spans="9:9" x14ac:dyDescent="0.3">
      <c r="I211" s="214" t="str">
        <f>IFERROR(VLOOKUP(H211,$B$3:$F$62,5,FALSE),"")</f>
        <v/>
      </c>
    </row>
    <row r="212" spans="9:9" x14ac:dyDescent="0.3">
      <c r="I212" s="214" t="str">
        <f>IFERROR(VLOOKUP(H212,$B$3:$F$62,5,FALSE),"")</f>
        <v/>
      </c>
    </row>
    <row r="213" spans="9:9" x14ac:dyDescent="0.3">
      <c r="I213" s="214" t="str">
        <f>IFERROR(VLOOKUP(H213,$B$3:$F$62,5,FALSE),"")</f>
        <v/>
      </c>
    </row>
    <row r="214" spans="9:9" x14ac:dyDescent="0.3">
      <c r="I214" s="214" t="str">
        <f>IFERROR(VLOOKUP(H214,$B$3:$F$62,5,FALSE),"")</f>
        <v/>
      </c>
    </row>
    <row r="215" spans="9:9" x14ac:dyDescent="0.3">
      <c r="I215" s="214" t="str">
        <f>IFERROR(VLOOKUP(H215,$B$3:$F$62,5,FALSE),"")</f>
        <v/>
      </c>
    </row>
    <row r="216" spans="9:9" x14ac:dyDescent="0.3">
      <c r="I216" s="214" t="str">
        <f>IFERROR(VLOOKUP(H216,$B$3:$F$62,5,FALSE),"")</f>
        <v/>
      </c>
    </row>
    <row r="217" spans="9:9" x14ac:dyDescent="0.3">
      <c r="I217" s="214" t="str">
        <f>IFERROR(VLOOKUP(H217,$B$3:$F$62,5,FALSE),"")</f>
        <v/>
      </c>
    </row>
    <row r="218" spans="9:9" x14ac:dyDescent="0.3">
      <c r="I218" s="214" t="str">
        <f>IFERROR(VLOOKUP(H218,$B$3:$F$62,5,FALSE),"")</f>
        <v/>
      </c>
    </row>
    <row r="219" spans="9:9" x14ac:dyDescent="0.3">
      <c r="I219" s="214" t="str">
        <f>IFERROR(VLOOKUP(H219,$B$3:$F$62,5,FALSE),"")</f>
        <v/>
      </c>
    </row>
    <row r="220" spans="9:9" x14ac:dyDescent="0.3">
      <c r="I220" s="214" t="str">
        <f>IFERROR(VLOOKUP(H220,$B$3:$F$62,5,FALSE),"")</f>
        <v/>
      </c>
    </row>
    <row r="221" spans="9:9" x14ac:dyDescent="0.3">
      <c r="I221" s="214" t="str">
        <f>IFERROR(VLOOKUP(H221,$B$3:$F$62,5,FALSE),"")</f>
        <v/>
      </c>
    </row>
    <row r="222" spans="9:9" x14ac:dyDescent="0.3">
      <c r="I222" s="214" t="str">
        <f>IFERROR(VLOOKUP(H222,$B$3:$F$62,5,FALSE),"")</f>
        <v/>
      </c>
    </row>
    <row r="223" spans="9:9" x14ac:dyDescent="0.3">
      <c r="I223" s="214" t="str">
        <f>IFERROR(VLOOKUP(H223,$B$3:$F$62,5,FALSE),"")</f>
        <v/>
      </c>
    </row>
    <row r="224" spans="9:9" x14ac:dyDescent="0.3">
      <c r="I224" s="214" t="str">
        <f>IFERROR(VLOOKUP(H224,$B$3:$F$62,5,FALSE),"")</f>
        <v/>
      </c>
    </row>
    <row r="225" spans="9:9" x14ac:dyDescent="0.3">
      <c r="I225" s="214" t="str">
        <f>IFERROR(VLOOKUP(H225,$B$3:$F$62,5,FALSE),"")</f>
        <v/>
      </c>
    </row>
    <row r="226" spans="9:9" x14ac:dyDescent="0.3">
      <c r="I226" s="214" t="str">
        <f>IFERROR(VLOOKUP(H226,$B$3:$F$62,5,FALSE),"")</f>
        <v/>
      </c>
    </row>
    <row r="227" spans="9:9" x14ac:dyDescent="0.3">
      <c r="I227" s="214" t="str">
        <f>IFERROR(VLOOKUP(H227,$B$3:$F$62,5,FALSE),"")</f>
        <v/>
      </c>
    </row>
    <row r="228" spans="9:9" x14ac:dyDescent="0.3">
      <c r="I228" s="214" t="str">
        <f>IFERROR(VLOOKUP(H228,$B$3:$F$62,5,FALSE),"")</f>
        <v/>
      </c>
    </row>
    <row r="229" spans="9:9" x14ac:dyDescent="0.3">
      <c r="I229" s="214" t="str">
        <f>IFERROR(VLOOKUP(H229,$B$3:$F$62,5,FALSE),"")</f>
        <v/>
      </c>
    </row>
    <row r="230" spans="9:9" x14ac:dyDescent="0.3">
      <c r="I230" s="214" t="str">
        <f>IFERROR(VLOOKUP(H230,$B$3:$F$62,5,FALSE),"")</f>
        <v/>
      </c>
    </row>
    <row r="231" spans="9:9" x14ac:dyDescent="0.3">
      <c r="I231" s="214" t="str">
        <f>IFERROR(VLOOKUP(H231,$B$3:$F$62,5,FALSE),"")</f>
        <v/>
      </c>
    </row>
    <row r="232" spans="9:9" x14ac:dyDescent="0.3">
      <c r="I232" s="214" t="str">
        <f>IFERROR(VLOOKUP(H232,$B$3:$F$62,5,FALSE),"")</f>
        <v/>
      </c>
    </row>
    <row r="233" spans="9:9" x14ac:dyDescent="0.3">
      <c r="I233" s="214" t="str">
        <f>IFERROR(VLOOKUP(H233,$B$3:$F$62,5,FALSE),"")</f>
        <v/>
      </c>
    </row>
    <row r="234" spans="9:9" x14ac:dyDescent="0.3">
      <c r="I234" s="214" t="str">
        <f>IFERROR(VLOOKUP(H234,$B$3:$F$62,5,FALSE),"")</f>
        <v/>
      </c>
    </row>
    <row r="235" spans="9:9" x14ac:dyDescent="0.3">
      <c r="I235" s="214" t="str">
        <f>IFERROR(VLOOKUP(H235,$B$3:$F$62,5,FALSE),"")</f>
        <v/>
      </c>
    </row>
    <row r="236" spans="9:9" x14ac:dyDescent="0.3">
      <c r="I236" s="214" t="str">
        <f>IFERROR(VLOOKUP(H236,$B$3:$F$62,5,FALSE),"")</f>
        <v/>
      </c>
    </row>
    <row r="237" spans="9:9" x14ac:dyDescent="0.3">
      <c r="I237" s="214" t="str">
        <f>IFERROR(VLOOKUP(H237,$B$3:$F$62,5,FALSE),"")</f>
        <v/>
      </c>
    </row>
    <row r="238" spans="9:9" x14ac:dyDescent="0.3">
      <c r="I238" s="214" t="str">
        <f>IFERROR(VLOOKUP(H238,$B$3:$F$62,5,FALSE),"")</f>
        <v/>
      </c>
    </row>
    <row r="239" spans="9:9" x14ac:dyDescent="0.3">
      <c r="I239" s="214" t="str">
        <f>IFERROR(VLOOKUP(H239,$B$3:$F$62,5,FALSE),"")</f>
        <v/>
      </c>
    </row>
    <row r="240" spans="9:9" x14ac:dyDescent="0.3">
      <c r="I240" s="214" t="str">
        <f>IFERROR(VLOOKUP(H240,$B$3:$F$62,5,FALSE),"")</f>
        <v/>
      </c>
    </row>
    <row r="241" spans="9:9" x14ac:dyDescent="0.3">
      <c r="I241" s="214" t="str">
        <f>IFERROR(VLOOKUP(H241,$B$3:$F$62,5,FALSE),"")</f>
        <v/>
      </c>
    </row>
    <row r="242" spans="9:9" x14ac:dyDescent="0.3">
      <c r="I242" s="214" t="str">
        <f>IFERROR(VLOOKUP(H242,$B$3:$F$62,5,FALSE),"")</f>
        <v/>
      </c>
    </row>
    <row r="243" spans="9:9" x14ac:dyDescent="0.3">
      <c r="I243" s="214" t="str">
        <f>IFERROR(VLOOKUP(H243,$B$3:$F$62,5,FALSE),"")</f>
        <v/>
      </c>
    </row>
    <row r="244" spans="9:9" x14ac:dyDescent="0.3">
      <c r="I244" s="214" t="str">
        <f>IFERROR(VLOOKUP(H244,$B$3:$F$62,5,FALSE),"")</f>
        <v/>
      </c>
    </row>
    <row r="245" spans="9:9" x14ac:dyDescent="0.3">
      <c r="I245" s="214" t="str">
        <f>IFERROR(VLOOKUP(H245,$B$3:$F$62,5,FALSE),"")</f>
        <v/>
      </c>
    </row>
    <row r="246" spans="9:9" x14ac:dyDescent="0.3">
      <c r="I246" s="214" t="str">
        <f>IFERROR(VLOOKUP(H246,$B$3:$F$62,5,FALSE),"")</f>
        <v/>
      </c>
    </row>
    <row r="247" spans="9:9" x14ac:dyDescent="0.3">
      <c r="I247" s="214" t="str">
        <f>IFERROR(VLOOKUP(H247,$B$3:$F$62,5,FALSE),"")</f>
        <v/>
      </c>
    </row>
    <row r="248" spans="9:9" x14ac:dyDescent="0.3">
      <c r="I248" s="214" t="str">
        <f>IFERROR(VLOOKUP(H248,$B$3:$F$62,5,FALSE),"")</f>
        <v/>
      </c>
    </row>
    <row r="249" spans="9:9" x14ac:dyDescent="0.3">
      <c r="I249" s="214" t="str">
        <f>IFERROR(VLOOKUP(H249,$B$3:$F$62,5,FALSE),"")</f>
        <v/>
      </c>
    </row>
    <row r="250" spans="9:9" x14ac:dyDescent="0.3">
      <c r="I250" s="214" t="str">
        <f>IFERROR(VLOOKUP(H250,$B$3:$F$62,5,FALSE),"")</f>
        <v/>
      </c>
    </row>
    <row r="251" spans="9:9" x14ac:dyDescent="0.3">
      <c r="I251" s="214" t="str">
        <f>IFERROR(VLOOKUP(H251,$B$3:$F$62,5,FALSE),"")</f>
        <v/>
      </c>
    </row>
    <row r="252" spans="9:9" x14ac:dyDescent="0.3">
      <c r="I252" s="214" t="str">
        <f>IFERROR(VLOOKUP(H252,$B$3:$F$62,5,FALSE),"")</f>
        <v/>
      </c>
    </row>
    <row r="253" spans="9:9" x14ac:dyDescent="0.3">
      <c r="I253" s="214" t="str">
        <f>IFERROR(VLOOKUP(H253,$B$3:$F$62,5,FALSE),"")</f>
        <v/>
      </c>
    </row>
    <row r="254" spans="9:9" x14ac:dyDescent="0.3">
      <c r="I254" s="214" t="str">
        <f>IFERROR(VLOOKUP(H254,$B$3:$F$62,5,FALSE),"")</f>
        <v/>
      </c>
    </row>
    <row r="255" spans="9:9" x14ac:dyDescent="0.3">
      <c r="I255" s="214" t="str">
        <f>IFERROR(VLOOKUP(H255,$B$3:$F$62,5,FALSE),"")</f>
        <v/>
      </c>
    </row>
    <row r="256" spans="9:9" x14ac:dyDescent="0.3">
      <c r="I256" s="214" t="str">
        <f>IFERROR(VLOOKUP(H256,$B$3:$F$62,5,FALSE),"")</f>
        <v/>
      </c>
    </row>
    <row r="257" spans="9:9" x14ac:dyDescent="0.3">
      <c r="I257" s="214" t="str">
        <f>IFERROR(VLOOKUP(H257,$B$3:$F$62,5,FALSE),"")</f>
        <v/>
      </c>
    </row>
    <row r="258" spans="9:9" x14ac:dyDescent="0.3">
      <c r="I258" s="214" t="str">
        <f>IFERROR(VLOOKUP(H258,$B$3:$F$62,5,FALSE),"")</f>
        <v/>
      </c>
    </row>
    <row r="259" spans="9:9" x14ac:dyDescent="0.3">
      <c r="I259" s="214" t="str">
        <f>IFERROR(VLOOKUP(H259,$B$3:$F$62,5,FALSE),"")</f>
        <v/>
      </c>
    </row>
    <row r="260" spans="9:9" x14ac:dyDescent="0.3">
      <c r="I260" s="214" t="str">
        <f>IFERROR(VLOOKUP(H260,$B$3:$F$62,5,FALSE),"")</f>
        <v/>
      </c>
    </row>
    <row r="261" spans="9:9" x14ac:dyDescent="0.3">
      <c r="I261" s="214" t="str">
        <f>IFERROR(VLOOKUP(H261,$B$3:$F$62,5,FALSE),"")</f>
        <v/>
      </c>
    </row>
    <row r="262" spans="9:9" x14ac:dyDescent="0.3">
      <c r="I262" s="214" t="str">
        <f>IFERROR(VLOOKUP(H262,$B$3:$F$62,5,FALSE),"")</f>
        <v/>
      </c>
    </row>
    <row r="263" spans="9:9" x14ac:dyDescent="0.3">
      <c r="I263" s="214" t="str">
        <f>IFERROR(VLOOKUP(H263,$B$3:$F$62,5,FALSE),"")</f>
        <v/>
      </c>
    </row>
    <row r="264" spans="9:9" x14ac:dyDescent="0.3">
      <c r="I264" s="214" t="str">
        <f>IFERROR(VLOOKUP(H264,$B$3:$F$62,5,FALSE),"")</f>
        <v/>
      </c>
    </row>
    <row r="265" spans="9:9" x14ac:dyDescent="0.3">
      <c r="I265" s="214" t="str">
        <f>IFERROR(VLOOKUP(H265,$B$3:$F$62,5,FALSE),"")</f>
        <v/>
      </c>
    </row>
  </sheetData>
  <customSheetViews>
    <customSheetView guid="{5C7B38D6-29D9-4C20-A92E-817BB499D35F}">
      <selection activeCell="F14" sqref="F14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65"/>
  <sheetViews>
    <sheetView zoomScale="70" zoomScaleNormal="70" workbookViewId="0">
      <selection activeCell="I74" sqref="I1:I1048576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1" max="11" width="9.332031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5" x14ac:dyDescent="0.3">
      <c r="B1" t="s">
        <v>58</v>
      </c>
      <c r="C1" t="s">
        <v>59</v>
      </c>
    </row>
    <row r="2" spans="2:15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3"/>
      <c r="L2" s="111" t="s">
        <v>69</v>
      </c>
      <c r="M2" s="112" t="s">
        <v>100</v>
      </c>
      <c r="N2" s="112" t="s">
        <v>100</v>
      </c>
    </row>
    <row r="3" spans="2:15" s="1" customFormat="1" x14ac:dyDescent="0.3">
      <c r="B3" s="40" t="s">
        <v>60</v>
      </c>
      <c r="C3" s="41" t="s">
        <v>4</v>
      </c>
      <c r="D3" s="42">
        <v>0.55420000000000003</v>
      </c>
      <c r="E3" s="24" t="str">
        <f>IF(IF(B3="MDZ140R","",IFERROR((SUMIF($B$3:$B$65,"MDZ140R",$F$3:$F$65)*INDEX($Q$20:$Q$75,MATCH(B3,$N$20:$N$75,0))),""))=0,"",IF(B3="MDZ140R","",IFERROR((SUMIF($B$3:$B$65,"MDZ140R",$F$3:$F$65)*INDEX($Q$20:$Q$75,MATCH(B3,$N$20:$N$75,0))),"")))</f>
        <v/>
      </c>
      <c r="F3" s="42">
        <f>IF(D3="","",D3+ IF(E3="",0,E3))</f>
        <v>0.55420000000000003</v>
      </c>
      <c r="H3" s="202" t="s">
        <v>71</v>
      </c>
      <c r="I3" s="214" t="str">
        <f>IFERROR(VLOOKUP(H3,$B$3:$F$62,5,FALSE),"")</f>
        <v/>
      </c>
      <c r="J3" s="203">
        <f>SUM(I3:I21)</f>
        <v>3.605035</v>
      </c>
      <c r="K3" s="171">
        <f>J3+XYZTU!J3+SPEC002!J3+SPEC003!J3+SPEC004!J3+SPEC005!J22</f>
        <v>17.041643010399998</v>
      </c>
      <c r="L3" s="80" t="s">
        <v>70</v>
      </c>
      <c r="M3" s="114">
        <f>VLOOKUP(L3,$H$3:$J$206,3,FALSE)</f>
        <v>0.13539999999999999</v>
      </c>
      <c r="N3" s="115">
        <f>(M3/$M$14)</f>
        <v>6.1513715565281353E-3</v>
      </c>
      <c r="O3" s="83"/>
    </row>
    <row r="4" spans="2:15" s="1" customFormat="1" x14ac:dyDescent="0.3">
      <c r="B4" s="40" t="s">
        <v>61</v>
      </c>
      <c r="C4" s="41" t="s">
        <v>5</v>
      </c>
      <c r="D4" s="42">
        <v>0.17810000000000001</v>
      </c>
      <c r="E4" s="24" t="str">
        <f>IF(IF(B4="MDZ140R","",IFERROR((SUMIF($B$3:$B$65,"MDZ140R",$F$3:$F$65)*INDEX($Q$20:$Q$75,MATCH(B4,$N$20:$N$75,0))),""))=0,"",IF(B4="MDZ140R","",IFERROR((SUMIF($B$3:$B$65,"MDZ140R",$F$3:$F$65)*INDEX($Q$20:$Q$75,MATCH(B4,$N$20:$N$75,0))),"")))</f>
        <v/>
      </c>
      <c r="F4" s="42">
        <f t="shared" ref="F4:F75" si="0">IF(D4="","",D4+ IF(E4="",0,E4))</f>
        <v>0.17810000000000001</v>
      </c>
      <c r="H4" s="192" t="s">
        <v>46</v>
      </c>
      <c r="I4" s="214">
        <f>IFERROR(VLOOKUP(H4,$B$3:$F$62,5,FALSE),"")</f>
        <v>0.38500000000000001</v>
      </c>
      <c r="J4" s="204"/>
      <c r="L4" s="56" t="s">
        <v>71</v>
      </c>
      <c r="M4" s="114">
        <f>VLOOKUP(L4,$H$3:$J$206,3,FALSE)</f>
        <v>3.605035</v>
      </c>
      <c r="N4" s="115">
        <f t="shared" ref="N4:N13" si="1">(M4/$M$14)</f>
        <v>0.16378072200360713</v>
      </c>
      <c r="O4" s="84"/>
    </row>
    <row r="5" spans="2:15" s="1" customFormat="1" x14ac:dyDescent="0.3">
      <c r="B5" s="40" t="s">
        <v>62</v>
      </c>
      <c r="C5" s="41" t="s">
        <v>6</v>
      </c>
      <c r="D5" s="42">
        <v>0.36549999999999999</v>
      </c>
      <c r="E5" s="24" t="str">
        <f>IF(IF(B5="MDZ140R","",IFERROR((SUMIF($B$3:$B$65,"MDZ140R",$F$3:$F$65)*INDEX($Q$20:$Q$75,MATCH(B5,$N$20:$N$75,0))),""))=0,"",IF(B5="MDZ140R","",IFERROR((SUMIF($B$3:$B$65,"MDZ140R",$F$3:$F$65)*INDEX($Q$20:$Q$75,MATCH(B5,$N$20:$N$75,0))),"")))</f>
        <v/>
      </c>
      <c r="F5" s="42">
        <f t="shared" si="0"/>
        <v>0.36549999999999999</v>
      </c>
      <c r="H5" s="192" t="s">
        <v>86</v>
      </c>
      <c r="I5" s="214" t="str">
        <f>IFERROR(VLOOKUP(H5,$B$3:$F$62,5,FALSE),"")</f>
        <v/>
      </c>
      <c r="J5" s="204"/>
      <c r="L5" s="80" t="s">
        <v>72</v>
      </c>
      <c r="M5" s="114">
        <f>VLOOKUP(L5,$H$3:$J$206,3,FALSE)</f>
        <v>0.41917500000000002</v>
      </c>
      <c r="N5" s="115">
        <f t="shared" si="1"/>
        <v>1.9043583251164557E-2</v>
      </c>
    </row>
    <row r="6" spans="2:15" s="1" customFormat="1" x14ac:dyDescent="0.3">
      <c r="B6" s="40" t="s">
        <v>7</v>
      </c>
      <c r="C6" s="41" t="s">
        <v>8</v>
      </c>
      <c r="D6" s="42">
        <v>0.13550000000000001</v>
      </c>
      <c r="E6" s="24" t="str">
        <f>IF(IF(B6="MDZ140R","",IFERROR((SUMIF($B$3:$B$65,"MDZ140R",$F$3:$F$65)*INDEX($Q$20:$Q$75,MATCH(B6,$N$20:$N$75,0))),""))=0,"",IF(B6="MDZ140R","",IFERROR((SUMIF($B$3:$B$65,"MDZ140R",$F$3:$F$65)*INDEX($Q$20:$Q$75,MATCH(B6,$N$20:$N$75,0))),"")))</f>
        <v/>
      </c>
      <c r="F6" s="42">
        <f t="shared" si="0"/>
        <v>0.13550000000000001</v>
      </c>
      <c r="H6" s="192" t="s">
        <v>36</v>
      </c>
      <c r="I6" s="211">
        <v>0.36880000000000002</v>
      </c>
      <c r="J6" s="204"/>
      <c r="L6" s="56" t="s">
        <v>73</v>
      </c>
      <c r="M6" s="114">
        <f>VLOOKUP(L6,$H$3:$J$206,3,FALSE)</f>
        <v>3.4625943749999997</v>
      </c>
      <c r="N6" s="115">
        <f t="shared" si="1"/>
        <v>0.15730948707658282</v>
      </c>
    </row>
    <row r="7" spans="2:15" s="1" customFormat="1" x14ac:dyDescent="0.3">
      <c r="B7" s="40" t="s">
        <v>9</v>
      </c>
      <c r="C7" s="41" t="s">
        <v>10</v>
      </c>
      <c r="D7" s="42">
        <v>0.19020000000000001</v>
      </c>
      <c r="E7" s="24" t="str">
        <f>IF(IF(B7="MDZ140R","",IFERROR((SUMIF($B$3:$B$65,"MDZ140R",$F$3:$F$65)*INDEX($Q$20:$Q$75,MATCH(B7,$N$20:$N$75,0))),""))=0,"",IF(B7="MDZ140R","",IFERROR((SUMIF($B$3:$B$65,"MDZ140R",$F$3:$F$65)*INDEX($Q$20:$Q$75,MATCH(B7,$N$20:$N$75,0))),"")))</f>
        <v/>
      </c>
      <c r="F7" s="42">
        <f t="shared" si="0"/>
        <v>0.19020000000000001</v>
      </c>
      <c r="H7" s="192" t="s">
        <v>87</v>
      </c>
      <c r="I7" s="212">
        <v>0.13972499999999999</v>
      </c>
      <c r="J7" s="204"/>
      <c r="L7" s="80" t="s">
        <v>74</v>
      </c>
      <c r="M7" s="114">
        <f>VLOOKUP(L7,$H$3:$J$206,3,FALSE)</f>
        <v>5.646875E-3</v>
      </c>
      <c r="N7" s="115">
        <f t="shared" si="1"/>
        <v>2.5654376852488785E-4</v>
      </c>
    </row>
    <row r="8" spans="2:15" s="1" customFormat="1" x14ac:dyDescent="0.3">
      <c r="B8" s="40" t="s">
        <v>11</v>
      </c>
      <c r="C8" s="41" t="s">
        <v>12</v>
      </c>
      <c r="D8" s="42">
        <v>0.71589999999999998</v>
      </c>
      <c r="E8" s="24" t="str">
        <f>IF(IF(B8="MDZ140R","",IFERROR((SUMIF($B$3:$B$65,"MDZ140R",$F$3:$F$65)*INDEX($Q$20:$Q$75,MATCH(B8,$N$20:$N$75,0))),""))=0,"",IF(B8="MDZ140R","",IFERROR((SUMIF($B$3:$B$65,"MDZ140R",$F$3:$F$65)*INDEX($Q$20:$Q$75,MATCH(B8,$N$20:$N$75,0))),"")))</f>
        <v/>
      </c>
      <c r="F8" s="42">
        <f t="shared" si="0"/>
        <v>0.71589999999999998</v>
      </c>
      <c r="H8" s="192" t="s">
        <v>88</v>
      </c>
      <c r="I8" s="214" t="str">
        <f>IFERROR(VLOOKUP(H8,$B$3:$F$62,5,FALSE),"")</f>
        <v/>
      </c>
      <c r="J8" s="204"/>
      <c r="L8" s="56" t="s">
        <v>75</v>
      </c>
      <c r="M8" s="114">
        <f>VLOOKUP(L8,$H$3:$J$206,3,FALSE)</f>
        <v>0.69840000000000002</v>
      </c>
      <c r="N8" s="115">
        <f t="shared" si="1"/>
        <v>3.1729083420083085E-2</v>
      </c>
    </row>
    <row r="9" spans="2:15" s="1" customFormat="1" x14ac:dyDescent="0.3">
      <c r="B9" s="40" t="s">
        <v>13</v>
      </c>
      <c r="C9" s="41" t="s">
        <v>68</v>
      </c>
      <c r="D9" s="42">
        <v>0.27079999999999999</v>
      </c>
      <c r="E9" s="24" t="str">
        <f>IF(IF(B9="MDZ140R","",IFERROR((SUMIF($B$3:$B$65,"MDZ140R",$F$3:$F$65)*INDEX($Q$20:$Q$75,MATCH(B9,$N$20:$N$75,0))),""))=0,"",IF(B9="MDZ140R","",IFERROR((SUMIF($B$3:$B$65,"MDZ140R",$F$3:$F$65)*INDEX($Q$20:$Q$75,MATCH(B9,$N$20:$N$75,0))),"")))</f>
        <v/>
      </c>
      <c r="F9" s="42">
        <f t="shared" si="0"/>
        <v>0.27079999999999999</v>
      </c>
      <c r="H9" s="192" t="s">
        <v>89</v>
      </c>
      <c r="I9" s="214" t="str">
        <f>IFERROR(VLOOKUP(H9,$B$3:$F$62,5,FALSE),"")</f>
        <v/>
      </c>
      <c r="J9" s="204"/>
      <c r="L9" s="80" t="s">
        <v>76</v>
      </c>
      <c r="M9" s="114">
        <f>VLOOKUP(L9,$H$3:$J$206,3,FALSE)</f>
        <v>0</v>
      </c>
      <c r="N9" s="115">
        <f t="shared" si="1"/>
        <v>0</v>
      </c>
    </row>
    <row r="10" spans="2:15" s="1" customFormat="1" x14ac:dyDescent="0.3">
      <c r="B10" s="40" t="s">
        <v>14</v>
      </c>
      <c r="C10" s="41" t="s">
        <v>15</v>
      </c>
      <c r="D10" s="42">
        <v>0.3362</v>
      </c>
      <c r="E10" s="24" t="str">
        <f>IF(IF(B10="MDZ140R","",IFERROR((SUMIF($B$3:$B$65,"MDZ140R",$F$3:$F$65)*INDEX($Q$20:$Q$75,MATCH(B10,$N$20:$N$75,0))),""))=0,"",IF(B10="MDZ140R","",IFERROR((SUMIF($B$3:$B$65,"MDZ140R",$F$3:$F$65)*INDEX($Q$20:$Q$75,MATCH(B10,$N$20:$N$75,0))),"")))</f>
        <v/>
      </c>
      <c r="F10" s="42">
        <f t="shared" si="0"/>
        <v>0.3362</v>
      </c>
      <c r="H10" s="192" t="s">
        <v>13</v>
      </c>
      <c r="I10" s="211">
        <v>0.13539999999999999</v>
      </c>
      <c r="J10" s="204"/>
      <c r="L10" s="56" t="s">
        <v>77</v>
      </c>
      <c r="M10" s="114">
        <f>VLOOKUP(L10,$H$3:$J$206,3,FALSE)</f>
        <v>12.564399999999999</v>
      </c>
      <c r="N10" s="115">
        <f t="shared" si="1"/>
        <v>0.57081457005053249</v>
      </c>
    </row>
    <row r="11" spans="2:15" s="1" customFormat="1" x14ac:dyDescent="0.3">
      <c r="B11" s="40" t="s">
        <v>16</v>
      </c>
      <c r="C11" s="41" t="s">
        <v>17</v>
      </c>
      <c r="D11" s="42">
        <v>0.51700000000000002</v>
      </c>
      <c r="E11" s="24" t="str">
        <f>IF(IF(B11="MDZ140R","",IFERROR((SUMIF($B$3:$B$65,"MDZ140R",$F$3:$F$65)*INDEX($Q$20:$Q$75,MATCH(B11,$N$20:$N$75,0))),""))=0,"",IF(B11="MDZ140R","",IFERROR((SUMIF($B$3:$B$65,"MDZ140R",$F$3:$F$65)*INDEX($Q$20:$Q$75,MATCH(B11,$N$20:$N$75,0))),"")))</f>
        <v/>
      </c>
      <c r="F11" s="42">
        <f t="shared" si="0"/>
        <v>0.51700000000000002</v>
      </c>
      <c r="H11" s="192" t="s">
        <v>31</v>
      </c>
      <c r="I11" s="214">
        <f>IFERROR(VLOOKUP(H11,$B$3:$F$62,5,FALSE),"")</f>
        <v>0.15759999999999999</v>
      </c>
      <c r="J11" s="204"/>
      <c r="L11" s="80" t="s">
        <v>78</v>
      </c>
      <c r="M11" s="114">
        <f>VLOOKUP(L11,$H$3:$J$206,3,FALSE)</f>
        <v>0.27710000000000001</v>
      </c>
      <c r="N11" s="115">
        <f t="shared" si="1"/>
        <v>1.2588959071742588E-2</v>
      </c>
    </row>
    <row r="12" spans="2:15" s="1" customFormat="1" x14ac:dyDescent="0.3">
      <c r="B12" s="40" t="s">
        <v>18</v>
      </c>
      <c r="C12" s="41" t="s">
        <v>19</v>
      </c>
      <c r="D12" s="42">
        <v>0.36170000000000002</v>
      </c>
      <c r="E12" s="24" t="str">
        <f>IF(IF(B12="MDZ140R","",IFERROR((SUMIF($B$3:$B$65,"MDZ140R",$F$3:$F$65)*INDEX($Q$20:$Q$75,MATCH(B12,$N$20:$N$75,0))),""))=0,"",IF(B12="MDZ140R","",IFERROR((SUMIF($B$3:$B$65,"MDZ140R",$F$3:$F$65)*INDEX($Q$20:$Q$75,MATCH(B12,$N$20:$N$75,0))),"")))</f>
        <v/>
      </c>
      <c r="F12" s="42">
        <f t="shared" si="0"/>
        <v>0.36170000000000002</v>
      </c>
      <c r="H12" s="192" t="s">
        <v>90</v>
      </c>
      <c r="I12" s="214" t="str">
        <f>IFERROR(VLOOKUP(H12,$B$3:$F$62,5,FALSE),"")</f>
        <v/>
      </c>
      <c r="J12" s="204"/>
      <c r="L12" s="56" t="s">
        <v>79</v>
      </c>
      <c r="M12" s="114">
        <f>VLOOKUP(L12,$H$3:$J$206,3,FALSE)</f>
        <v>0.84360000000000002</v>
      </c>
      <c r="N12" s="115">
        <f t="shared" si="1"/>
        <v>3.8325679801234379E-2</v>
      </c>
    </row>
    <row r="13" spans="2:15" s="1" customFormat="1" x14ac:dyDescent="0.3">
      <c r="B13" s="40" t="s">
        <v>20</v>
      </c>
      <c r="C13" s="41" t="s">
        <v>21</v>
      </c>
      <c r="D13" s="42">
        <v>0.21260000000000001</v>
      </c>
      <c r="E13" s="24" t="str">
        <f>IF(IF(B13="MDZ140R","",IFERROR((SUMIF($B$3:$B$65,"MDZ140R",$F$3:$F$65)*INDEX($Q$20:$Q$75,MATCH(B13,$N$20:$N$75,0))),""))=0,"",IF(B13="MDZ140R","",IFERROR((SUMIF($B$3:$B$65,"MDZ140R",$F$3:$F$65)*INDEX($Q$20:$Q$75,MATCH(B13,$N$20:$N$75,0))),"")))</f>
        <v/>
      </c>
      <c r="F13" s="42">
        <f t="shared" si="0"/>
        <v>0.21260000000000001</v>
      </c>
      <c r="H13" s="192" t="s">
        <v>91</v>
      </c>
      <c r="I13" s="214" t="str">
        <f>IFERROR(VLOOKUP(H13,$B$3:$F$62,5,FALSE),"")</f>
        <v/>
      </c>
      <c r="J13" s="204"/>
      <c r="L13" s="80" t="s">
        <v>80</v>
      </c>
      <c r="M13" s="114">
        <f>VLOOKUP(L13,$H$3:$J$206,3,FALSE)</f>
        <v>0</v>
      </c>
      <c r="N13" s="115">
        <f t="shared" si="1"/>
        <v>0</v>
      </c>
    </row>
    <row r="14" spans="2:15" s="1" customFormat="1" x14ac:dyDescent="0.3">
      <c r="B14" s="40" t="s">
        <v>63</v>
      </c>
      <c r="C14" s="41" t="s">
        <v>23</v>
      </c>
      <c r="D14" s="42">
        <v>0.95189999999999997</v>
      </c>
      <c r="E14" s="24" t="str">
        <f>IF(IF(B14="MDZ140R","",IFERROR((SUMIF($B$3:$B$65,"MDZ140R",$F$3:$F$65)*INDEX($Q$20:$Q$75,MATCH(B14,$N$20:$N$75,0))),""))=0,"",IF(B14="MDZ140R","",IFERROR((SUMIF($B$3:$B$65,"MDZ140R",$F$3:$F$65)*INDEX($Q$20:$Q$75,MATCH(B14,$N$20:$N$75,0))),"")))</f>
        <v/>
      </c>
      <c r="F14" s="42">
        <f t="shared" si="0"/>
        <v>0.95189999999999997</v>
      </c>
      <c r="H14" s="192" t="s">
        <v>92</v>
      </c>
      <c r="I14" s="214" t="str">
        <f>IFERROR(VLOOKUP(H14,$B$3:$F$62,5,FALSE),"")</f>
        <v/>
      </c>
      <c r="J14" s="204"/>
      <c r="L14" s="119" t="s">
        <v>81</v>
      </c>
      <c r="M14" s="120">
        <f>SUM(M3:M13)</f>
        <v>22.011351249999997</v>
      </c>
      <c r="N14" s="121">
        <f>SUM(N3:N13)</f>
        <v>1.0000000000000002</v>
      </c>
      <c r="O14" s="83"/>
    </row>
    <row r="15" spans="2:15" s="1" customFormat="1" x14ac:dyDescent="0.3">
      <c r="B15" s="40" t="s">
        <v>64</v>
      </c>
      <c r="C15" s="41" t="s">
        <v>25</v>
      </c>
      <c r="D15" s="42">
        <v>0.99639999999999995</v>
      </c>
      <c r="E15" s="24" t="str">
        <f>IF(IF(B15="MDZ140R","",IFERROR((SUMIF($B$3:$B$65,"MDZ140R",$F$3:$F$65)*INDEX($Q$20:$Q$75,MATCH(B15,$N$20:$N$75,0))),""))=0,"",IF(B15="MDZ140R","",IFERROR((SUMIF($B$3:$B$65,"MDZ140R",$F$3:$F$65)*INDEX($Q$20:$Q$75,MATCH(B15,$N$20:$N$75,0))),"")))</f>
        <v/>
      </c>
      <c r="F15" s="42">
        <f t="shared" si="0"/>
        <v>0.99639999999999995</v>
      </c>
      <c r="H15" s="192" t="s">
        <v>93</v>
      </c>
      <c r="I15" s="214">
        <v>0.50300999999999996</v>
      </c>
      <c r="J15" s="204"/>
      <c r="L15" s="122" t="s">
        <v>82</v>
      </c>
      <c r="M15" s="120">
        <f>SUM(M3,M5,M7,M9,M11,M13)</f>
        <v>0.8373218750000001</v>
      </c>
      <c r="N15" s="123">
        <f>SUM(N13,N11,N9,N7,N5,N3)</f>
        <v>3.8040457647960171E-2</v>
      </c>
    </row>
    <row r="16" spans="2:15" s="1" customFormat="1" x14ac:dyDescent="0.3">
      <c r="B16" s="40" t="s">
        <v>24</v>
      </c>
      <c r="C16" s="41" t="s">
        <v>26</v>
      </c>
      <c r="D16" s="42">
        <v>0.35520000000000002</v>
      </c>
      <c r="E16" s="24" t="str">
        <f>IF(IF(B16="MDZ140R","",IFERROR((SUMIF($B$3:$B$65,"MDZ140R",$F$3:$F$65)*INDEX($Q$20:$Q$75,MATCH(B16,$N$20:$N$75,0))),""))=0,"",IF(B16="MDZ140R","",IFERROR((SUMIF($B$3:$B$65,"MDZ140R",$F$3:$F$65)*INDEX($Q$20:$Q$75,MATCH(B16,$N$20:$N$75,0))),"")))</f>
        <v/>
      </c>
      <c r="F16" s="42">
        <f t="shared" si="0"/>
        <v>0.35520000000000002</v>
      </c>
      <c r="H16" s="192" t="s">
        <v>94</v>
      </c>
      <c r="I16" s="211">
        <v>0.92269999999999996</v>
      </c>
      <c r="J16" s="204"/>
    </row>
    <row r="17" spans="2:18" s="1" customFormat="1" x14ac:dyDescent="0.3">
      <c r="B17" s="40" t="s">
        <v>27</v>
      </c>
      <c r="C17" s="41" t="s">
        <v>28</v>
      </c>
      <c r="D17" s="42">
        <v>0.7792</v>
      </c>
      <c r="E17" s="24" t="str">
        <f>IF(IF(B17="MDZ140R","",IFERROR((SUMIF($B$3:$B$65,"MDZ140R",$F$3:$F$65)*INDEX($Q$20:$Q$75,MATCH(B17,$N$20:$N$75,0))),""))=0,"",IF(B17="MDZ140R","",IFERROR((SUMIF($B$3:$B$65,"MDZ140R",$F$3:$F$65)*INDEX($Q$20:$Q$75,MATCH(B17,$N$20:$N$75,0))),"")))</f>
        <v/>
      </c>
      <c r="F17" s="42">
        <f t="shared" si="0"/>
        <v>0.7792</v>
      </c>
      <c r="H17" s="192" t="s">
        <v>95</v>
      </c>
      <c r="I17" s="214">
        <f>IFERROR(VLOOKUP(H17,$B$3:$F$62,5,FALSE),"")</f>
        <v>0.99280000000000002</v>
      </c>
      <c r="J17" s="204"/>
    </row>
    <row r="18" spans="2:18" s="1" customFormat="1" x14ac:dyDescent="0.3">
      <c r="B18" s="40" t="s">
        <v>29</v>
      </c>
      <c r="C18" s="41" t="s">
        <v>30</v>
      </c>
      <c r="D18" s="42">
        <v>0.1804</v>
      </c>
      <c r="E18" s="24" t="str">
        <f>IF(IF(B18="MDZ140R","",IFERROR((SUMIF($B$3:$B$65,"MDZ140R",$F$3:$F$65)*INDEX($Q$20:$Q$75,MATCH(B18,$N$20:$N$75,0))),""))=0,"",IF(B18="MDZ140R","",IFERROR((SUMIF($B$3:$B$65,"MDZ140R",$F$3:$F$65)*INDEX($Q$20:$Q$75,MATCH(B18,$N$20:$N$75,0))),"")))</f>
        <v/>
      </c>
      <c r="F18" s="42">
        <f t="shared" si="0"/>
        <v>0.1804</v>
      </c>
      <c r="H18" s="192" t="s">
        <v>96</v>
      </c>
      <c r="I18" s="214" t="str">
        <f>IFERROR(VLOOKUP(H18,$B$3:$F$62,5,FALSE),"")</f>
        <v/>
      </c>
      <c r="J18" s="198"/>
    </row>
    <row r="19" spans="2:18" s="1" customFormat="1" x14ac:dyDescent="0.3">
      <c r="B19" s="40" t="s">
        <v>31</v>
      </c>
      <c r="C19" s="41" t="s">
        <v>67</v>
      </c>
      <c r="D19" s="42">
        <v>0.15759999999999999</v>
      </c>
      <c r="E19" s="24" t="str">
        <f>IF(IF(B19="MDZ140R","",IFERROR((SUMIF($B$3:$B$65,"MDZ140R",$F$3:$F$65)*INDEX($Q$20:$Q$75,MATCH(B19,$N$20:$N$75,0))),""))=0,"",IF(B19="MDZ140R","",IFERROR((SUMIF($B$3:$B$65,"MDZ140R",$F$3:$F$65)*INDEX($Q$20:$Q$75,MATCH(B19,$N$20:$N$75,0))),"")))</f>
        <v/>
      </c>
      <c r="F19" s="42">
        <f t="shared" si="0"/>
        <v>0.15759999999999999</v>
      </c>
      <c r="H19" s="192" t="s">
        <v>97</v>
      </c>
      <c r="I19" s="214" t="str">
        <f>IFERROR(VLOOKUP(H19,$B$3:$F$62,5,FALSE),"")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32</v>
      </c>
      <c r="C20" s="41" t="s">
        <v>33</v>
      </c>
      <c r="D20" s="42">
        <v>0.40310000000000001</v>
      </c>
      <c r="E20" s="24" t="str">
        <f>IF(IF(B20="MDZ140R","",IFERROR((SUMIF($B$3:$B$65,"MDZ140R",$F$3:$F$65)*INDEX($Q$20:$Q$75,MATCH(B20,$N$20:$N$75,0))),""))=0,"",IF(B20="MDZ140R","",IFERROR((SUMIF($B$3:$B$65,"MDZ140R",$F$3:$F$65)*INDEX($Q$20:$Q$75,MATCH(B20,$N$20:$N$75,0))),"")))</f>
        <v/>
      </c>
      <c r="F20" s="42">
        <f t="shared" si="0"/>
        <v>0.40310000000000001</v>
      </c>
      <c r="H20" s="192" t="s">
        <v>98</v>
      </c>
      <c r="I20" s="214" t="str">
        <f>IFERROR(VLOOKUP(H20,$B$3:$F$62,5,FALSE),"")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34</v>
      </c>
      <c r="C21" s="41" t="s">
        <v>35</v>
      </c>
      <c r="D21" s="42">
        <v>0.95269999999999999</v>
      </c>
      <c r="E21" s="24" t="str">
        <f>IF(IF(B21="MDZ140R","",IFERROR((SUMIF($B$3:$B$65,"MDZ140R",$F$3:$F$65)*INDEX($Q$20:$Q$75,MATCH(B21,$N$20:$N$75,0))),""))=0,"",IF(B21="MDZ140R","",IFERROR((SUMIF($B$3:$B$65,"MDZ140R",$F$3:$F$65)*INDEX($Q$20:$Q$75,MATCH(B21,$N$20:$N$75,0))),"")))</f>
        <v/>
      </c>
      <c r="F21" s="42">
        <f t="shared" si="0"/>
        <v>0.95269999999999999</v>
      </c>
      <c r="H21" s="192" t="s">
        <v>99</v>
      </c>
      <c r="I21" s="214" t="str">
        <f>IFERROR(VLOOKUP(H21,$B$3:$F$62,5,FALSE),"")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36</v>
      </c>
      <c r="C22" s="41" t="s">
        <v>37</v>
      </c>
      <c r="D22" s="42">
        <v>0.84699999999999998</v>
      </c>
      <c r="E22" s="24" t="str">
        <f>IF(IF(B22="MDZ140R","",IFERROR((SUMIF($B$3:$B$65,"MDZ140R",$F$3:$F$65)*INDEX($Q$20:$Q$75,MATCH(B22,$N$20:$N$75,0))),""))=0,"",IF(B22="MDZ140R","",IFERROR((SUMIF($B$3:$B$65,"MDZ140R",$F$3:$F$65)*INDEX($Q$20:$Q$75,MATCH(B22,$N$20:$N$75,0))),"")))</f>
        <v/>
      </c>
      <c r="F22" s="42">
        <f t="shared" si="0"/>
        <v>0.84699999999999998</v>
      </c>
      <c r="H22" s="197" t="s">
        <v>70</v>
      </c>
      <c r="I22" s="214" t="str">
        <f>IFERROR(VLOOKUP(H22,$B$3:$F$62,5,FALSE),"")</f>
        <v/>
      </c>
      <c r="J22" s="198">
        <f>SUM(I22:I33)</f>
        <v>0.13539999999999999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 t="s">
        <v>336</v>
      </c>
      <c r="I23" s="217">
        <v>0.13539999999999999</v>
      </c>
      <c r="J23" s="186"/>
      <c r="L23" s="183"/>
      <c r="M23" s="183"/>
      <c r="N23" s="183"/>
      <c r="O23" s="183"/>
      <c r="P23" s="185"/>
      <c r="Q23" s="186"/>
      <c r="R23" s="183"/>
    </row>
    <row r="24" spans="2:18" s="1" customFormat="1" x14ac:dyDescent="0.3">
      <c r="B24" s="40" t="s">
        <v>38</v>
      </c>
      <c r="C24" s="41" t="s">
        <v>39</v>
      </c>
      <c r="D24" s="42">
        <v>0.83320000000000005</v>
      </c>
      <c r="E24" s="24" t="str">
        <f>IF(IF(B24="MDZ140R","",IFERROR((SUMIF($B$3:$B$65,"MDZ140R",$F$3:$F$65)*INDEX($Q$20:$Q$75,MATCH(B24,$N$20:$N$75,0))),""))=0,"",IF(B24="MDZ140R","",IFERROR((SUMIF($B$3:$B$65,"MDZ140R",$F$3:$F$65)*INDEX($Q$20:$Q$75,MATCH(B24,$N$20:$N$75,0))),"")))</f>
        <v/>
      </c>
      <c r="F24" s="42">
        <f t="shared" si="0"/>
        <v>0.83320000000000005</v>
      </c>
      <c r="H24" s="192"/>
      <c r="I24" s="214" t="str">
        <f>IFERROR(VLOOKUP(H24,$B$3:$F$62,5,FALSE),"")</f>
        <v/>
      </c>
      <c r="J24" s="204"/>
      <c r="L24" s="56"/>
      <c r="M24" s="56"/>
      <c r="N24" s="56" t="s">
        <v>14</v>
      </c>
      <c r="O24" s="56" t="s">
        <v>15</v>
      </c>
      <c r="P24" s="125">
        <v>5</v>
      </c>
      <c r="Q24" s="126">
        <v>2.7321999999999999E-2</v>
      </c>
      <c r="R24" s="56"/>
    </row>
    <row r="25" spans="2:18" s="1" customFormat="1" x14ac:dyDescent="0.3">
      <c r="B25" s="40" t="s">
        <v>65</v>
      </c>
      <c r="C25" s="41" t="s">
        <v>40</v>
      </c>
      <c r="D25" s="42">
        <v>0.26929999999999998</v>
      </c>
      <c r="E25" s="24" t="str">
        <f>IF(IF(B25="MDZ140R","",IFERROR((SUMIF($B$3:$B$65,"MDZ140R",$F$3:$F$65)*INDEX($Q$20:$Q$75,MATCH(B25,$N$20:$N$75,0))),""))=0,"",IF(B25="MDZ140R","",IFERROR((SUMIF($B$3:$B$65,"MDZ140R",$F$3:$F$65)*INDEX($Q$20:$Q$75,MATCH(B25,$N$20:$N$75,0))),"")))</f>
        <v/>
      </c>
      <c r="F25" s="42">
        <f t="shared" si="0"/>
        <v>0.26929999999999998</v>
      </c>
      <c r="H25" s="192"/>
      <c r="I25" s="214" t="str">
        <f>IFERROR(VLOOKUP(H25,$B$3:$F$62,5,FALSE),"")</f>
        <v/>
      </c>
      <c r="J25" s="204"/>
      <c r="L25" s="56"/>
      <c r="M25" s="56"/>
      <c r="N25" s="56" t="s">
        <v>60</v>
      </c>
      <c r="O25" s="56" t="s">
        <v>4</v>
      </c>
      <c r="P25" s="125">
        <v>2</v>
      </c>
      <c r="Q25" s="126">
        <v>1.0928999999999999E-2</v>
      </c>
      <c r="R25" s="56"/>
    </row>
    <row r="26" spans="2:18" s="1" customFormat="1" x14ac:dyDescent="0.3">
      <c r="B26" s="40" t="s">
        <v>41</v>
      </c>
      <c r="C26" s="41" t="s">
        <v>66</v>
      </c>
      <c r="D26" s="42">
        <v>0.1653</v>
      </c>
      <c r="E26" s="24" t="str">
        <f>IF(IF(B26="MDZ140R","",IFERROR((SUMIF($B$3:$B$65,"MDZ140R",$F$3:$F$65)*INDEX($Q$20:$Q$75,MATCH(B26,$N$20:$N$75,0))),""))=0,"",IF(B26="MDZ140R","",IFERROR((SUMIF($B$3:$B$65,"MDZ140R",$F$3:$F$65)*INDEX($Q$20:$Q$75,MATCH(B26,$N$20:$N$75,0))),"")))</f>
        <v/>
      </c>
      <c r="F26" s="42">
        <f t="shared" si="0"/>
        <v>0.1653</v>
      </c>
      <c r="H26" s="192"/>
      <c r="I26" s="214" t="str">
        <f>IFERROR(VLOOKUP(H26,$B$3:$F$62,5,FALSE),"")</f>
        <v/>
      </c>
      <c r="J26" s="204"/>
      <c r="L26" s="56"/>
      <c r="M26" s="56"/>
      <c r="N26" s="56" t="s">
        <v>61</v>
      </c>
      <c r="O26" s="56" t="s">
        <v>5</v>
      </c>
      <c r="P26" s="125">
        <v>2</v>
      </c>
      <c r="Q26" s="126">
        <v>1.0928999999999999E-2</v>
      </c>
      <c r="R26" s="56"/>
    </row>
    <row r="27" spans="2:18" s="1" customFormat="1" x14ac:dyDescent="0.3">
      <c r="B27" s="40" t="s">
        <v>42</v>
      </c>
      <c r="C27" s="41" t="s">
        <v>43</v>
      </c>
      <c r="D27" s="42">
        <v>0.91800000000000004</v>
      </c>
      <c r="E27" s="24" t="str">
        <f>IF(IF(B27="MDZ140R","",IFERROR((SUMIF($B$3:$B$65,"MDZ140R",$F$3:$F$65)*INDEX($Q$20:$Q$75,MATCH(B27,$N$20:$N$75,0))),""))=0,"",IF(B27="MDZ140R","",IFERROR((SUMIF($B$3:$B$65,"MDZ140R",$F$3:$F$65)*INDEX($Q$20:$Q$75,MATCH(B27,$N$20:$N$75,0))),"")))</f>
        <v/>
      </c>
      <c r="F27" s="42">
        <f t="shared" si="0"/>
        <v>0.91800000000000004</v>
      </c>
      <c r="H27" s="192"/>
      <c r="I27" s="214" t="str">
        <f>IFERROR(VLOOKUP(H27,$B$3:$F$62,5,FALSE),"")</f>
        <v/>
      </c>
      <c r="J27" s="204"/>
      <c r="L27" s="56"/>
      <c r="M27" s="56"/>
      <c r="N27" s="56" t="s">
        <v>18</v>
      </c>
      <c r="O27" s="56" t="s">
        <v>110</v>
      </c>
      <c r="P27" s="125">
        <v>4</v>
      </c>
      <c r="Q27" s="126">
        <v>2.1857999999999999E-2</v>
      </c>
      <c r="R27" s="56"/>
    </row>
    <row r="28" spans="2:18" s="1" customFormat="1" x14ac:dyDescent="0.3">
      <c r="B28" s="40" t="s">
        <v>44</v>
      </c>
      <c r="C28" s="41" t="s">
        <v>146</v>
      </c>
      <c r="D28" s="42">
        <v>0.66400000000000003</v>
      </c>
      <c r="E28" s="24" t="str">
        <f>IF(IF(B28="MDZ140R","",IFERROR((SUMIF($B$3:$B$65,"MDZ140R",$F$3:$F$65)*INDEX($Q$20:$Q$75,MATCH(B28,$N$20:$N$75,0))),""))=0,"",IF(B28="MDZ140R","",IFERROR((SUMIF($B$3:$B$65,"MDZ140R",$F$3:$F$65)*INDEX($Q$20:$Q$75,MATCH(B28,$N$20:$N$75,0))),"")))</f>
        <v/>
      </c>
      <c r="F28" s="42">
        <f t="shared" si="0"/>
        <v>0.66400000000000003</v>
      </c>
      <c r="H28" s="192"/>
      <c r="I28" s="214" t="str">
        <f>IFERROR(VLOOKUP(H28,$B$3:$F$62,5,FALSE),"")</f>
        <v/>
      </c>
      <c r="J28" s="204"/>
      <c r="L28" s="56"/>
      <c r="M28" s="56"/>
      <c r="N28" s="56" t="s">
        <v>24</v>
      </c>
      <c r="O28" s="56" t="s">
        <v>111</v>
      </c>
      <c r="P28" s="125">
        <v>1</v>
      </c>
      <c r="Q28" s="126">
        <v>5.4640000000000001E-3</v>
      </c>
      <c r="R28" s="56"/>
    </row>
    <row r="29" spans="2:18" s="1" customFormat="1" x14ac:dyDescent="0.3">
      <c r="B29" s="40" t="s">
        <v>45</v>
      </c>
      <c r="C29" s="41" t="s">
        <v>183</v>
      </c>
      <c r="D29" s="42">
        <v>0.86070000000000002</v>
      </c>
      <c r="E29" s="24" t="str">
        <f>IF(IF(B29="MDZ140R","",IFERROR((SUMIF($B$3:$B$65,"MDZ140R",$F$3:$F$65)*INDEX($Q$20:$Q$75,MATCH(B29,$N$20:$N$75,0))),""))=0,"",IF(B29="MDZ140R","",IFERROR((SUMIF($B$3:$B$65,"MDZ140R",$F$3:$F$65)*INDEX($Q$20:$Q$75,MATCH(B29,$N$20:$N$75,0))),"")))</f>
        <v/>
      </c>
      <c r="F29" s="42">
        <f t="shared" si="0"/>
        <v>0.86070000000000002</v>
      </c>
      <c r="H29" s="192"/>
      <c r="I29" s="214" t="str">
        <f>IFERROR(VLOOKUP(H29,$B$3:$F$62,5,FALSE),"")</f>
        <v/>
      </c>
      <c r="J29" s="204"/>
      <c r="L29" s="56"/>
      <c r="M29" s="56"/>
      <c r="N29" s="56" t="s">
        <v>64</v>
      </c>
      <c r="O29" s="127">
        <v>4020</v>
      </c>
      <c r="P29" s="125">
        <v>3</v>
      </c>
      <c r="Q29" s="126">
        <v>1.6393000000000001E-2</v>
      </c>
      <c r="R29" s="56"/>
    </row>
    <row r="30" spans="2:18" s="1" customFormat="1" x14ac:dyDescent="0.3">
      <c r="B30" s="40" t="s">
        <v>46</v>
      </c>
      <c r="C30" s="41" t="s">
        <v>47</v>
      </c>
      <c r="D30" s="42">
        <v>0.38500000000000001</v>
      </c>
      <c r="E30" s="24" t="str">
        <f>IF(IF(B30="MDZ140R","",IFERROR((SUMIF($B$3:$B$65,"MDZ140R",$F$3:$F$65)*INDEX($Q$20:$Q$75,MATCH(B30,$N$20:$N$75,0))),""))=0,"",IF(B30="MDZ140R","",IFERROR((SUMIF($B$3:$B$65,"MDZ140R",$F$3:$F$65)*INDEX($Q$20:$Q$75,MATCH(B30,$N$20:$N$75,0))),"")))</f>
        <v/>
      </c>
      <c r="F30" s="42">
        <f t="shared" si="0"/>
        <v>0.38500000000000001</v>
      </c>
      <c r="H30" s="205"/>
      <c r="I30" s="214" t="str">
        <f>IFERROR(VLOOKUP(H30,$B$3:$F$62,5,FALSE),"")</f>
        <v/>
      </c>
      <c r="J30" s="204"/>
      <c r="L30" s="56"/>
      <c r="M30" s="56"/>
      <c r="N30" s="56" t="s">
        <v>34</v>
      </c>
      <c r="O30" s="56" t="s">
        <v>112</v>
      </c>
      <c r="P30" s="125">
        <v>2</v>
      </c>
      <c r="Q30" s="126">
        <v>1.0928999999999999E-2</v>
      </c>
      <c r="R30" s="56"/>
    </row>
    <row r="31" spans="2:18" s="1" customFormat="1" x14ac:dyDescent="0.3">
      <c r="B31" s="40" t="s">
        <v>48</v>
      </c>
      <c r="C31" s="41" t="s">
        <v>49</v>
      </c>
      <c r="D31" s="42">
        <v>0.38450000000000001</v>
      </c>
      <c r="E31" s="24" t="str">
        <f>IF(IF(B31="MDZ140R","",IFERROR((SUMIF($B$3:$B$65,"MDZ140R",$F$3:$F$65)*INDEX($Q$20:$Q$75,MATCH(B31,$N$20:$N$75,0))),""))=0,"",IF(B31="MDZ140R","",IFERROR((SUMIF($B$3:$B$65,"MDZ140R",$F$3:$F$65)*INDEX($Q$20:$Q$75,MATCH(B31,$N$20:$N$75,0))),"")))</f>
        <v/>
      </c>
      <c r="F31" s="42">
        <f t="shared" si="0"/>
        <v>0.38450000000000001</v>
      </c>
      <c r="H31" s="192"/>
      <c r="I31" s="214" t="str">
        <f>IFERROR(VLOOKUP(H31,$B$3:$F$62,5,FALSE),"")</f>
        <v/>
      </c>
      <c r="J31" s="198"/>
      <c r="L31" s="56"/>
      <c r="M31" s="56"/>
      <c r="N31" s="56" t="s">
        <v>63</v>
      </c>
      <c r="O31" s="56" t="s">
        <v>23</v>
      </c>
      <c r="P31" s="125">
        <v>1</v>
      </c>
      <c r="Q31" s="126">
        <v>5.4640000000000001E-3</v>
      </c>
      <c r="R31" s="56"/>
    </row>
    <row r="32" spans="2:18" s="1" customFormat="1" x14ac:dyDescent="0.3">
      <c r="B32" s="40" t="s">
        <v>50</v>
      </c>
      <c r="C32" s="41" t="s">
        <v>51</v>
      </c>
      <c r="D32" s="42">
        <v>0.1885</v>
      </c>
      <c r="E32" s="24" t="str">
        <f>IF(IF(B32="MDZ140R","",IFERROR((SUMIF($B$3:$B$65,"MDZ140R",$F$3:$F$65)*INDEX($Q$20:$Q$75,MATCH(B32,$N$20:$N$75,0))),""))=0,"",IF(B32="MDZ140R","",IFERROR((SUMIF($B$3:$B$65,"MDZ140R",$F$3:$F$65)*INDEX($Q$20:$Q$75,MATCH(B32,$N$20:$N$75,0))),"")))</f>
        <v/>
      </c>
      <c r="F32" s="42">
        <f t="shared" si="0"/>
        <v>0.1885</v>
      </c>
      <c r="H32" s="192"/>
      <c r="I32" s="214" t="str">
        <f>IFERROR(VLOOKUP(H32,$B$3:$F$62,5,FALSE),"")</f>
        <v/>
      </c>
      <c r="J32" s="198"/>
      <c r="L32" s="56"/>
      <c r="M32" s="56"/>
      <c r="N32" s="56" t="s">
        <v>7</v>
      </c>
      <c r="O32" s="56" t="s">
        <v>8</v>
      </c>
      <c r="P32" s="125">
        <v>1</v>
      </c>
      <c r="Q32" s="126">
        <v>5.4640000000000001E-3</v>
      </c>
      <c r="R32" s="56"/>
    </row>
    <row r="33" spans="2:18" s="1" customFormat="1" x14ac:dyDescent="0.3">
      <c r="B33" s="40" t="s">
        <v>52</v>
      </c>
      <c r="C33" s="41" t="s">
        <v>184</v>
      </c>
      <c r="D33" s="42">
        <v>0.63360000000000005</v>
      </c>
      <c r="E33" s="24" t="str">
        <f>IF(IF(B33="MDZ140R","",IFERROR((SUMIF($B$3:$B$65,"MDZ140R",$F$3:$F$65)*INDEX($Q$20:$Q$75,MATCH(B33,$N$20:$N$75,0))),""))=0,"",IF(B33="MDZ140R","",IFERROR((SUMIF($B$3:$B$65,"MDZ140R",$F$3:$F$65)*INDEX($Q$20:$Q$75,MATCH(B33,$N$20:$N$75,0))),"")))</f>
        <v/>
      </c>
      <c r="F33" s="42">
        <f t="shared" si="0"/>
        <v>0.63360000000000005</v>
      </c>
      <c r="H33" s="189"/>
      <c r="I33" s="214" t="str">
        <f>IFERROR(VLOOKUP(H33,$B$3:$F$62,5,FALSE),"")</f>
        <v/>
      </c>
      <c r="J33" s="198"/>
      <c r="L33" s="56"/>
      <c r="M33" s="56"/>
      <c r="N33" s="56" t="s">
        <v>27</v>
      </c>
      <c r="O33" s="56" t="s">
        <v>113</v>
      </c>
      <c r="P33" s="125">
        <v>1</v>
      </c>
      <c r="Q33" s="126">
        <v>5.4640000000000001E-3</v>
      </c>
      <c r="R33" s="56"/>
    </row>
    <row r="34" spans="2:18" s="144" customFormat="1" x14ac:dyDescent="0.3">
      <c r="B34" s="179"/>
      <c r="C34" s="180"/>
      <c r="D34" s="181"/>
      <c r="E34" s="182"/>
      <c r="F34" s="181"/>
      <c r="H34" s="189" t="s">
        <v>72</v>
      </c>
      <c r="I34" s="216"/>
      <c r="J34" s="191">
        <f>SUM(I34:I76)</f>
        <v>0.41917500000000002</v>
      </c>
      <c r="L34" s="183"/>
      <c r="M34" s="183"/>
      <c r="N34" s="183"/>
      <c r="O34" s="183"/>
      <c r="P34" s="185"/>
      <c r="Q34" s="186"/>
      <c r="R34" s="183"/>
    </row>
    <row r="35" spans="2:18" s="144" customFormat="1" x14ac:dyDescent="0.3">
      <c r="B35" s="179"/>
      <c r="C35" s="180"/>
      <c r="D35" s="181"/>
      <c r="E35" s="182"/>
      <c r="F35" s="181"/>
      <c r="H35" s="183" t="s">
        <v>427</v>
      </c>
      <c r="I35" s="218">
        <v>0.41917500000000002</v>
      </c>
      <c r="J35" s="184"/>
      <c r="L35" s="183"/>
      <c r="M35" s="183"/>
      <c r="N35" s="183"/>
      <c r="O35" s="183"/>
      <c r="P35" s="185"/>
      <c r="Q35" s="186"/>
      <c r="R35" s="183"/>
    </row>
    <row r="36" spans="2:18" s="144" customFormat="1" x14ac:dyDescent="0.3">
      <c r="B36" s="179"/>
      <c r="C36" s="180"/>
      <c r="D36" s="181"/>
      <c r="E36" s="182"/>
      <c r="F36" s="181"/>
      <c r="H36" s="189"/>
      <c r="I36" s="214"/>
      <c r="J36" s="191"/>
      <c r="L36" s="183"/>
      <c r="M36" s="183"/>
      <c r="N36" s="183"/>
      <c r="O36" s="183"/>
      <c r="P36" s="185"/>
      <c r="Q36" s="186"/>
      <c r="R36" s="183"/>
    </row>
    <row r="37" spans="2:18" s="144" customFormat="1" x14ac:dyDescent="0.3">
      <c r="B37" s="179"/>
      <c r="C37" s="180"/>
      <c r="D37" s="181"/>
      <c r="E37" s="182"/>
      <c r="F37" s="181"/>
      <c r="H37" s="192"/>
      <c r="I37" s="214"/>
      <c r="J37" s="206"/>
      <c r="L37" s="183"/>
      <c r="M37" s="183"/>
      <c r="N37" s="183"/>
      <c r="O37" s="183"/>
      <c r="P37" s="185"/>
      <c r="Q37" s="186"/>
      <c r="R37" s="183"/>
    </row>
    <row r="38" spans="2:18" s="144" customFormat="1" x14ac:dyDescent="0.3">
      <c r="B38" s="179"/>
      <c r="C38" s="180"/>
      <c r="D38" s="181"/>
      <c r="E38" s="182"/>
      <c r="F38" s="181"/>
      <c r="H38" s="192"/>
      <c r="I38" s="214"/>
      <c r="J38" s="206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9"/>
      <c r="C39" s="180"/>
      <c r="D39" s="181"/>
      <c r="E39" s="182"/>
      <c r="F39" s="181"/>
      <c r="H39" s="192"/>
      <c r="I39" s="214" t="str">
        <f>IFERROR(VLOOKUP(H39,$B$3:$F$62,5,FALSE),"")</f>
        <v/>
      </c>
      <c r="J39" s="206"/>
      <c r="L39" s="183"/>
      <c r="M39" s="183"/>
      <c r="N39" s="183"/>
      <c r="O39" s="183"/>
      <c r="P39" s="185"/>
      <c r="Q39" s="186"/>
      <c r="R39" s="183"/>
    </row>
    <row r="40" spans="2:18" s="144" customFormat="1" x14ac:dyDescent="0.3">
      <c r="B40" s="40" t="s">
        <v>55</v>
      </c>
      <c r="C40" s="41" t="s">
        <v>56</v>
      </c>
      <c r="D40" s="42">
        <v>0.69550000000000001</v>
      </c>
      <c r="E40" s="24" t="str">
        <f>IF(IF(B40="MDZ140R","",IFERROR((SUMIF($B$3:$B$65,"MDZ140R",$F$3:$F$65)*INDEX($Q$20:$Q$75,MATCH(B40,$N$20:$N$75,0))),""))=0,"",IF(B40="MDZ140R","",IFERROR((SUMIF($B$3:$B$65,"MDZ140R",$F$3:$F$65)*INDEX($Q$20:$Q$75,MATCH(B40,$N$20:$N$75,0))),"")))</f>
        <v/>
      </c>
      <c r="F40" s="42">
        <f t="shared" ref="F40:F62" si="2">IF(D40="","",D40+ IF(E40="",0,E40))</f>
        <v>0.69550000000000001</v>
      </c>
      <c r="H40" s="192"/>
      <c r="I40" s="214" t="str">
        <f>IFERROR(VLOOKUP(H40,$B$3:$F$62,5,FALSE),"")</f>
        <v/>
      </c>
      <c r="J40" s="206"/>
      <c r="L40" s="145"/>
      <c r="M40" s="145"/>
      <c r="N40" s="145"/>
      <c r="O40" s="145"/>
      <c r="P40" s="147"/>
      <c r="Q40" s="148"/>
      <c r="R40" s="145"/>
    </row>
    <row r="41" spans="2:18" s="1" customFormat="1" x14ac:dyDescent="0.3">
      <c r="B41" s="89" t="s">
        <v>114</v>
      </c>
      <c r="C41" s="89" t="s">
        <v>115</v>
      </c>
      <c r="D41" s="42">
        <v>0.21929999999999999</v>
      </c>
      <c r="E41" s="24" t="str">
        <f>IF(IF(B41="MDZ140R","",IFERROR((SUMIF($B$3:$B$65,"MDZ140R",$F$3:$F$65)*INDEX($Q$20:$Q$75,MATCH(B41,$N$20:$N$75,0))),""))=0,"",IF(B41="MDZ140R","",IFERROR((SUMIF($B$3:$B$65,"MDZ140R",$F$3:$F$65)*INDEX($Q$20:$Q$75,MATCH(B41,$N$20:$N$75,0))),"")))</f>
        <v/>
      </c>
      <c r="F41" s="42">
        <f t="shared" si="2"/>
        <v>0.21929999999999999</v>
      </c>
      <c r="H41" s="192"/>
      <c r="I41" s="214" t="str">
        <f>IFERROR(VLOOKUP(H41,$B$3:$F$62,5,FALSE),"")</f>
        <v/>
      </c>
      <c r="J41" s="206"/>
      <c r="L41" s="56"/>
      <c r="M41" s="56"/>
      <c r="N41" s="56"/>
      <c r="O41" s="56"/>
      <c r="P41" s="125"/>
      <c r="Q41" s="126"/>
      <c r="R41" s="56"/>
    </row>
    <row r="42" spans="2:18" s="1" customFormat="1" x14ac:dyDescent="0.3">
      <c r="B42" s="89" t="s">
        <v>116</v>
      </c>
      <c r="C42" s="89" t="s">
        <v>117</v>
      </c>
      <c r="D42" s="42">
        <v>0.1774</v>
      </c>
      <c r="E42" s="24" t="str">
        <f>IF(IF(B42="MDZ140R","",IFERROR((SUMIF($B$3:$B$65,"MDZ140R",$F$3:$F$65)*INDEX($Q$20:$Q$75,MATCH(B42,$N$20:$N$75,0))),""))=0,"",IF(B42="MDZ140R","",IFERROR((SUMIF($B$3:$B$65,"MDZ140R",$F$3:$F$65)*INDEX($Q$20:$Q$75,MATCH(B42,$N$20:$N$75,0))),"")))</f>
        <v/>
      </c>
      <c r="F42" s="42">
        <f t="shared" si="2"/>
        <v>0.1774</v>
      </c>
      <c r="H42" s="192"/>
      <c r="I42" s="214" t="str">
        <f>IFERROR(VLOOKUP(H42,$B$3:$F$62,5,FALSE),"")</f>
        <v/>
      </c>
      <c r="J42" s="206"/>
      <c r="L42" s="56"/>
      <c r="M42" s="56"/>
      <c r="N42" s="56"/>
      <c r="O42" s="56"/>
      <c r="P42" s="125"/>
      <c r="Q42" s="126"/>
      <c r="R42" s="56"/>
    </row>
    <row r="43" spans="2:18" s="1" customFormat="1" x14ac:dyDescent="0.3">
      <c r="B43" s="89" t="s">
        <v>87</v>
      </c>
      <c r="C43" s="89" t="s">
        <v>118</v>
      </c>
      <c r="D43" s="42">
        <v>0.7419</v>
      </c>
      <c r="E43" s="24" t="str">
        <f>IF(IF(B43="MDZ140R","",IFERROR((SUMIF($B$3:$B$65,"MDZ140R",$F$3:$F$65)*INDEX($Q$20:$Q$75,MATCH(B43,$N$20:$N$75,0))),""))=0,"",IF(B43="MDZ140R","",IFERROR((SUMIF($B$3:$B$65,"MDZ140R",$F$3:$F$65)*INDEX($Q$20:$Q$75,MATCH(B43,$N$20:$N$75,0))),"")))</f>
        <v/>
      </c>
      <c r="F43" s="42">
        <f t="shared" si="2"/>
        <v>0.7419</v>
      </c>
      <c r="H43" s="192"/>
      <c r="I43" s="214" t="str">
        <f>IFERROR(VLOOKUP(H43,$B$3:$F$62,5,FALSE),"")</f>
        <v/>
      </c>
      <c r="J43" s="206"/>
      <c r="L43" s="56"/>
      <c r="M43" s="56"/>
      <c r="N43" s="56"/>
      <c r="O43" s="56"/>
      <c r="P43" s="125"/>
      <c r="Q43" s="126"/>
      <c r="R43" s="56"/>
    </row>
    <row r="44" spans="2:18" s="1" customFormat="1" x14ac:dyDescent="0.3">
      <c r="B44" s="89" t="s">
        <v>119</v>
      </c>
      <c r="C44" s="89" t="s">
        <v>120</v>
      </c>
      <c r="D44" s="42">
        <v>0.88980000000000004</v>
      </c>
      <c r="E44" s="24" t="str">
        <f>IF(IF(B44="MDZ140R","",IFERROR((SUMIF($B$3:$B$65,"MDZ140R",$F$3:$F$65)*INDEX($Q$20:$Q$75,MATCH(B44,$N$20:$N$75,0))),""))=0,"",IF(B44="MDZ140R","",IFERROR((SUMIF($B$3:$B$65,"MDZ140R",$F$3:$F$65)*INDEX($Q$20:$Q$75,MATCH(B44,$N$20:$N$75,0))),"")))</f>
        <v/>
      </c>
      <c r="F44" s="42">
        <f t="shared" si="2"/>
        <v>0.88980000000000004</v>
      </c>
      <c r="H44" s="192"/>
      <c r="I44" s="214" t="str">
        <f>IFERROR(VLOOKUP(H44,$B$3:$F$62,5,FALSE),"")</f>
        <v/>
      </c>
      <c r="J44" s="206"/>
      <c r="L44" s="56"/>
      <c r="M44" s="56"/>
      <c r="N44" s="56"/>
      <c r="O44" s="56"/>
      <c r="P44" s="125"/>
      <c r="Q44" s="126"/>
      <c r="R44" s="56"/>
    </row>
    <row r="45" spans="2:18" s="1" customFormat="1" x14ac:dyDescent="0.3">
      <c r="B45" s="89" t="s">
        <v>121</v>
      </c>
      <c r="C45" s="89" t="s">
        <v>122</v>
      </c>
      <c r="D45" s="42">
        <v>0.3236</v>
      </c>
      <c r="E45" s="24" t="str">
        <f>IF(IF(B45="MDZ140R","",IFERROR((SUMIF($B$3:$B$65,"MDZ140R",$F$3:$F$65)*INDEX($Q$20:$Q$75,MATCH(B45,$N$20:$N$75,0))),""))=0,"",IF(B45="MDZ140R","",IFERROR((SUMIF($B$3:$B$65,"MDZ140R",$F$3:$F$65)*INDEX($Q$20:$Q$75,MATCH(B45,$N$20:$N$75,0))),"")))</f>
        <v/>
      </c>
      <c r="F45" s="42">
        <f t="shared" si="2"/>
        <v>0.3236</v>
      </c>
      <c r="H45" s="192"/>
      <c r="I45" s="214" t="str">
        <f>IFERROR(VLOOKUP(H45,$B$3:$F$62,5,FALSE),"")</f>
        <v/>
      </c>
      <c r="J45" s="206"/>
      <c r="L45" s="56"/>
      <c r="M45" s="56"/>
      <c r="N45" s="56"/>
      <c r="O45" s="56"/>
      <c r="P45" s="125"/>
      <c r="Q45" s="126"/>
      <c r="R45" s="56"/>
    </row>
    <row r="46" spans="2:18" s="1" customFormat="1" x14ac:dyDescent="0.3">
      <c r="B46" s="89" t="s">
        <v>123</v>
      </c>
      <c r="C46" s="89" t="s">
        <v>124</v>
      </c>
      <c r="D46" s="42">
        <v>0.86729999999999996</v>
      </c>
      <c r="E46" s="24" t="str">
        <f>IF(IF(B46="MDZ140R","",IFERROR((SUMIF($B$3:$B$65,"MDZ140R",$F$3:$F$65)*INDEX($Q$20:$Q$75,MATCH(B46,$N$20:$N$75,0))),""))=0,"",IF(B46="MDZ140R","",IFERROR((SUMIF($B$3:$B$65,"MDZ140R",$F$3:$F$65)*INDEX($Q$20:$Q$75,MATCH(B46,$N$20:$N$75,0))),"")))</f>
        <v/>
      </c>
      <c r="F46" s="42">
        <f t="shared" si="2"/>
        <v>0.86729999999999996</v>
      </c>
      <c r="H46" s="192"/>
      <c r="I46" s="214" t="str">
        <f>IFERROR(VLOOKUP(H46,$B$3:$F$62,5,FALSE),"")</f>
        <v/>
      </c>
      <c r="J46" s="206"/>
      <c r="L46" s="56"/>
      <c r="M46" s="56"/>
      <c r="N46" s="56"/>
      <c r="O46" s="56"/>
      <c r="P46" s="125"/>
      <c r="Q46" s="126"/>
      <c r="R46" s="56"/>
    </row>
    <row r="47" spans="2:18" s="1" customFormat="1" x14ac:dyDescent="0.3">
      <c r="B47" s="89" t="s">
        <v>125</v>
      </c>
      <c r="C47" s="89" t="s">
        <v>126</v>
      </c>
      <c r="D47" s="42">
        <v>0.98209999999999997</v>
      </c>
      <c r="E47" s="24" t="str">
        <f>IF(IF(B47="MDZ140R","",IFERROR((SUMIF($B$3:$B$65,"MDZ140R",$F$3:$F$65)*INDEX($Q$20:$Q$75,MATCH(B47,$N$20:$N$75,0))),""))=0,"",IF(B47="MDZ140R","",IFERROR((SUMIF($B$3:$B$65,"MDZ140R",$F$3:$F$65)*INDEX($Q$20:$Q$75,MATCH(B47,$N$20:$N$75,0))),"")))</f>
        <v/>
      </c>
      <c r="F47" s="42">
        <f t="shared" si="2"/>
        <v>0.98209999999999997</v>
      </c>
      <c r="H47" s="192"/>
      <c r="I47" s="214" t="str">
        <f>IFERROR(VLOOKUP(H47,$B$3:$F$62,5,FALSE),"")</f>
        <v/>
      </c>
      <c r="J47" s="206"/>
      <c r="L47" s="56"/>
      <c r="M47" s="56"/>
      <c r="N47" s="56"/>
      <c r="O47" s="56"/>
      <c r="P47" s="125"/>
      <c r="Q47" s="126"/>
      <c r="R47" s="56"/>
    </row>
    <row r="48" spans="2:18" s="1" customFormat="1" x14ac:dyDescent="0.3">
      <c r="B48" s="89" t="s">
        <v>94</v>
      </c>
      <c r="C48" s="89" t="s">
        <v>127</v>
      </c>
      <c r="D48" s="42">
        <v>0.92269999999999996</v>
      </c>
      <c r="E48" s="24" t="str">
        <f>IF(IF(B48="MDZ140R","",IFERROR((SUMIF($B$3:$B$65,"MDZ140R",$F$3:$F$65)*INDEX($Q$20:$Q$75,MATCH(B48,$N$20:$N$75,0))),""))=0,"",IF(B48="MDZ140R","",IFERROR((SUMIF($B$3:$B$65,"MDZ140R",$F$3:$F$65)*INDEX($Q$20:$Q$75,MATCH(B48,$N$20:$N$75,0))),"")))</f>
        <v/>
      </c>
      <c r="F48" s="42">
        <f t="shared" si="2"/>
        <v>0.92269999999999996</v>
      </c>
      <c r="H48" s="192"/>
      <c r="I48" s="214" t="str">
        <f>IFERROR(VLOOKUP(H48,$B$3:$F$62,5,FALSE),"")</f>
        <v/>
      </c>
      <c r="J48" s="206"/>
      <c r="L48" s="56"/>
      <c r="M48" s="56"/>
      <c r="N48" s="56"/>
      <c r="O48" s="56"/>
      <c r="P48" s="125"/>
      <c r="Q48" s="126"/>
      <c r="R48" s="56"/>
    </row>
    <row r="49" spans="2:18" s="1" customFormat="1" x14ac:dyDescent="0.3">
      <c r="B49" s="89" t="s">
        <v>95</v>
      </c>
      <c r="C49" s="89" t="s">
        <v>128</v>
      </c>
      <c r="D49" s="42">
        <v>0.99280000000000002</v>
      </c>
      <c r="E49" s="24" t="str">
        <f>IF(IF(B49="MDZ140R","",IFERROR((SUMIF($B$3:$B$65,"MDZ140R",$F$3:$F$65)*INDEX($Q$20:$Q$75,MATCH(B49,$N$20:$N$75,0))),""))=0,"",IF(B49="MDZ140R","",IFERROR((SUMIF($B$3:$B$65,"MDZ140R",$F$3:$F$65)*INDEX($Q$20:$Q$75,MATCH(B49,$N$20:$N$75,0))),"")))</f>
        <v/>
      </c>
      <c r="F49" s="42">
        <f t="shared" si="2"/>
        <v>0.99280000000000002</v>
      </c>
      <c r="H49" s="192"/>
      <c r="I49" s="214" t="str">
        <f>IFERROR(VLOOKUP(H49,$B$3:$F$62,5,FALSE),"")</f>
        <v/>
      </c>
      <c r="J49" s="206"/>
      <c r="L49" s="56"/>
      <c r="M49" s="56"/>
      <c r="N49" s="56"/>
      <c r="O49" s="56"/>
      <c r="P49" s="125"/>
      <c r="Q49" s="126"/>
      <c r="R49" s="56"/>
    </row>
    <row r="50" spans="2:18" s="1" customFormat="1" x14ac:dyDescent="0.3">
      <c r="B50" s="89" t="s">
        <v>129</v>
      </c>
      <c r="C50" s="89" t="s">
        <v>130</v>
      </c>
      <c r="D50" s="42">
        <v>0.35570000000000002</v>
      </c>
      <c r="E50" s="24" t="str">
        <f>IF(IF(B50="MDZ140R","",IFERROR((SUMIF($B$3:$B$65,"MDZ140R",$F$3:$F$65)*INDEX($Q$20:$Q$75,MATCH(B50,$N$20:$N$75,0))),""))=0,"",IF(B50="MDZ140R","",IFERROR((SUMIF($B$3:$B$65,"MDZ140R",$F$3:$F$65)*INDEX($Q$20:$Q$75,MATCH(B50,$N$20:$N$75,0))),"")))</f>
        <v/>
      </c>
      <c r="F50" s="42">
        <f t="shared" si="2"/>
        <v>0.35570000000000002</v>
      </c>
      <c r="H50" s="192"/>
      <c r="I50" s="214" t="str">
        <f>IFERROR(VLOOKUP(H50,$B$3:$F$62,5,FALSE),"")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131</v>
      </c>
      <c r="C51" s="89" t="s">
        <v>132</v>
      </c>
      <c r="D51" s="42">
        <v>0.21060000000000001</v>
      </c>
      <c r="E51" s="24" t="str">
        <f>IF(IF(B51="MDZ140R","",IFERROR((SUMIF($B$3:$B$65,"MDZ140R",$F$3:$F$65)*INDEX($Q$20:$Q$75,MATCH(B51,$N$20:$N$75,0))),""))=0,"",IF(B51="MDZ140R","",IFERROR((SUMIF($B$3:$B$65,"MDZ140R",$F$3:$F$65)*INDEX($Q$20:$Q$75,MATCH(B51,$N$20:$N$75,0))),"")))</f>
        <v/>
      </c>
      <c r="F51" s="42">
        <f t="shared" si="2"/>
        <v>0.21060000000000001</v>
      </c>
      <c r="H51" s="192"/>
      <c r="I51" s="214" t="str">
        <f>IFERROR(VLOOKUP(H51,$B$3:$F$62,5,FALSE),"")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133</v>
      </c>
      <c r="C52" s="89" t="s">
        <v>134</v>
      </c>
      <c r="D52" s="42">
        <v>0.90110000000000001</v>
      </c>
      <c r="E52" s="24" t="str">
        <f>IF(IF(B52="MDZ140R","",IFERROR((SUMIF($B$3:$B$65,"MDZ140R",$F$3:$F$65)*INDEX($Q$20:$Q$75,MATCH(B52,$N$20:$N$75,0))),""))=0,"",IF(B52="MDZ140R","",IFERROR((SUMIF($B$3:$B$65,"MDZ140R",$F$3:$F$65)*INDEX($Q$20:$Q$75,MATCH(B52,$N$20:$N$75,0))),"")))</f>
        <v/>
      </c>
      <c r="F52" s="42">
        <f t="shared" si="2"/>
        <v>0.90110000000000001</v>
      </c>
      <c r="H52" s="192"/>
      <c r="I52" s="214" t="str">
        <f>IFERROR(VLOOKUP(H52,$B$3:$F$62,5,FALSE),"")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135</v>
      </c>
      <c r="C53" s="89" t="s">
        <v>136</v>
      </c>
      <c r="D53" s="42">
        <v>0.1197</v>
      </c>
      <c r="E53" s="24" t="str">
        <f>IF(IF(B53="MDZ140R","",IFERROR((SUMIF($B$3:$B$65,"MDZ140R",$F$3:$F$65)*INDEX($Q$20:$Q$75,MATCH(B53,$N$20:$N$75,0))),""))=0,"",IF(B53="MDZ140R","",IFERROR((SUMIF($B$3:$B$65,"MDZ140R",$F$3:$F$65)*INDEX($Q$20:$Q$75,MATCH(B53,$N$20:$N$75,0))),"")))</f>
        <v/>
      </c>
      <c r="F53" s="42">
        <f t="shared" si="2"/>
        <v>0.1197</v>
      </c>
      <c r="H53" s="192"/>
      <c r="I53" s="214" t="str">
        <f>IFERROR(VLOOKUP(H53,$B$3:$F$62,5,FALSE),"")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 t="s">
        <v>137</v>
      </c>
      <c r="C54" s="89" t="s">
        <v>138</v>
      </c>
      <c r="D54" s="42">
        <v>0.10829999999999999</v>
      </c>
      <c r="E54" s="24" t="str">
        <f>IF(IF(B54="MDZ140R","",IFERROR((SUMIF($B$3:$B$65,"MDZ140R",$F$3:$F$65)*INDEX($Q$20:$Q$75,MATCH(B54,$N$20:$N$75,0))),""))=0,"",IF(B54="MDZ140R","",IFERROR((SUMIF($B$3:$B$65,"MDZ140R",$F$3:$F$65)*INDEX($Q$20:$Q$75,MATCH(B54,$N$20:$N$75,0))),"")))</f>
        <v/>
      </c>
      <c r="F54" s="42">
        <f t="shared" si="2"/>
        <v>0.10829999999999999</v>
      </c>
      <c r="H54" s="192"/>
      <c r="I54" s="214" t="str">
        <f>IFERROR(VLOOKUP(H54,$B$3:$F$62,5,FALSE),"")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 t="s">
        <v>139</v>
      </c>
      <c r="C55" s="89" t="s">
        <v>140</v>
      </c>
      <c r="D55" s="42">
        <v>0.72389999999999999</v>
      </c>
      <c r="E55" s="24" t="str">
        <f>IF(IF(B55="MDZ140R","",IFERROR((SUMIF($B$3:$B$65,"MDZ140R",$F$3:$F$65)*INDEX($Q$20:$Q$75,MATCH(B55,$N$20:$N$75,0))),""))=0,"",IF(B55="MDZ140R","",IFERROR((SUMIF($B$3:$B$65,"MDZ140R",$F$3:$F$65)*INDEX($Q$20:$Q$75,MATCH(B55,$N$20:$N$75,0))),"")))</f>
        <v/>
      </c>
      <c r="F55" s="42">
        <f t="shared" si="2"/>
        <v>0.72389999999999999</v>
      </c>
      <c r="H55" s="192"/>
      <c r="I55" s="214" t="str">
        <f>IFERROR(VLOOKUP(H55,$B$3:$F$62,5,FALSE),"")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 t="s">
        <v>141</v>
      </c>
      <c r="C56" s="89" t="s">
        <v>142</v>
      </c>
      <c r="D56" s="42">
        <v>1.14E-2</v>
      </c>
      <c r="E56" s="24" t="str">
        <f>IF(IF(B56="MDZ140R","",IFERROR((SUMIF($B$3:$B$65,"MDZ140R",$F$3:$F$65)*INDEX($Q$20:$Q$75,MATCH(B56,$N$20:$N$75,0))),""))=0,"",IF(B56="MDZ140R","",IFERROR((SUMIF($B$3:$B$65,"MDZ140R",$F$3:$F$65)*INDEX($Q$20:$Q$75,MATCH(B56,$N$20:$N$75,0))),"")))</f>
        <v/>
      </c>
      <c r="F56" s="42">
        <f t="shared" si="2"/>
        <v>1.14E-2</v>
      </c>
      <c r="H56" s="192"/>
      <c r="I56" s="214" t="str">
        <f>IFERROR(VLOOKUP(H56,$B$3:$F$62,5,FALSE),"")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/>
      <c r="C57" s="89"/>
      <c r="D57" s="42"/>
      <c r="E57" s="24" t="str">
        <f>IF(IF(B57="MDZ140R","",IFERROR((SUMIF($B$3:$B$65,"MDZ140R",$F$3:$F$65)*INDEX($Q$20:$Q$75,MATCH(B57,$N$20:$N$75,0))),""))=0,"",IF(B57="MDZ140R","",IFERROR((SUMIF($B$3:$B$65,"MDZ140R",$F$3:$F$65)*INDEX($Q$20:$Q$75,MATCH(B57,$N$20:$N$75,0))),"")))</f>
        <v/>
      </c>
      <c r="F57" s="42" t="str">
        <f t="shared" si="2"/>
        <v/>
      </c>
      <c r="H57" s="192"/>
      <c r="I57" s="214" t="str">
        <f>IFERROR(VLOOKUP(H57,$B$3:$F$62,5,FALSE),"")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/>
      <c r="C58" s="89"/>
      <c r="D58" s="42"/>
      <c r="E58" s="24" t="str">
        <f>IF(IF(B58="MDZ140R","",IFERROR((SUMIF($B$3:$B$65,"MDZ140R",$F$3:$F$65)*INDEX($Q$20:$Q$75,MATCH(B58,$N$20:$N$75,0))),""))=0,"",IF(B58="MDZ140R","",IFERROR((SUMIF($B$3:$B$65,"MDZ140R",$F$3:$F$65)*INDEX($Q$20:$Q$75,MATCH(B58,$N$20:$N$75,0))),"")))</f>
        <v/>
      </c>
      <c r="F58" s="42" t="str">
        <f t="shared" si="2"/>
        <v/>
      </c>
      <c r="H58" s="192"/>
      <c r="I58" s="214" t="str">
        <f>IFERROR(VLOOKUP(H58,$B$3:$F$62,5,FALSE),"")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/>
      <c r="C59" s="89"/>
      <c r="D59" s="42"/>
      <c r="E59" s="24" t="str">
        <f>IF(IF(B59="MDZ140R","",IFERROR((SUMIF($B$3:$B$65,"MDZ140R",$F$3:$F$65)*INDEX($Q$20:$Q$75,MATCH(B59,$N$20:$N$75,0))),""))=0,"",IF(B59="MDZ140R","",IFERROR((SUMIF($B$3:$B$65,"MDZ140R",$F$3:$F$65)*INDEX($Q$20:$Q$75,MATCH(B59,$N$20:$N$75,0))),"")))</f>
        <v/>
      </c>
      <c r="F59" s="42" t="str">
        <f t="shared" si="2"/>
        <v/>
      </c>
      <c r="H59" s="192"/>
      <c r="I59" s="214" t="str">
        <f>IFERROR(VLOOKUP(H59,$B$3:$F$62,5,FALSE),"")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/>
      <c r="C60" s="89"/>
      <c r="D60" s="42"/>
      <c r="E60" s="24" t="str">
        <f>IF(IF(B60="MDZ140R","",IFERROR((SUMIF($B$3:$B$65,"MDZ140R",$F$3:$F$65)*INDEX($Q$20:$Q$75,MATCH(B60,$N$20:$N$75,0))),""))=0,"",IF(B60="MDZ140R","",IFERROR((SUMIF($B$3:$B$65,"MDZ140R",$F$3:$F$65)*INDEX($Q$20:$Q$75,MATCH(B60,$N$20:$N$75,0))),"")))</f>
        <v/>
      </c>
      <c r="F60" s="42" t="str">
        <f t="shared" si="2"/>
        <v/>
      </c>
      <c r="H60" s="192"/>
      <c r="I60" s="214" t="str">
        <f>IFERROR(VLOOKUP(H60,$B$3:$F$62,5,FALSE),"")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/>
      <c r="C61" s="89"/>
      <c r="D61" s="42"/>
      <c r="E61" s="24" t="str">
        <f>IF(IF(B61="MDZ140R","",IFERROR((SUMIF($B$3:$B$65,"MDZ140R",$F$3:$F$65)*INDEX($Q$20:$Q$75,MATCH(B61,$N$20:$N$75,0))),""))=0,"",IF(B61="MDZ140R","",IFERROR((SUMIF($B$3:$B$65,"MDZ140R",$F$3:$F$65)*INDEX($Q$20:$Q$75,MATCH(B61,$N$20:$N$75,0))),"")))</f>
        <v/>
      </c>
      <c r="F61" s="42" t="str">
        <f t="shared" si="2"/>
        <v/>
      </c>
      <c r="H61" s="192"/>
      <c r="I61" s="214" t="str">
        <f>IFERROR(VLOOKUP(H61,$B$3:$F$62,5,FALSE),"")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/>
      <c r="C62" s="89"/>
      <c r="D62" s="42"/>
      <c r="E62" s="24" t="str">
        <f>IF(IF(B62="MDZ140R","",IFERROR((SUMIF($B$3:$B$65,"MDZ140R",$F$3:$F$65)*INDEX($Q$20:$Q$75,MATCH(B62,$N$20:$N$75,0))),""))=0,"",IF(B62="MDZ140R","",IFERROR((SUMIF($B$3:$B$65,"MDZ140R",$F$3:$F$65)*INDEX($Q$20:$Q$75,MATCH(B62,$N$20:$N$75,0))),"")))</f>
        <v/>
      </c>
      <c r="F62" s="42" t="str">
        <f t="shared" si="2"/>
        <v/>
      </c>
      <c r="H62" s="192"/>
      <c r="I62" s="214" t="str">
        <f>IFERROR(VLOOKUP(H62,$B$3:$F$62,5,FALSE),"")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/>
      <c r="C63" s="89"/>
      <c r="D63" s="42"/>
      <c r="E63" s="24"/>
      <c r="F63" s="42"/>
      <c r="H63" s="192"/>
      <c r="I63" s="214" t="str">
        <f>IFERROR(VLOOKUP(H63,$B$3:$F$62,5,FALSE),"")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/>
      <c r="C64" s="89"/>
      <c r="D64" s="42"/>
      <c r="E64" s="24" t="str">
        <f>IF(IF(B64="MDZ140R","",IFERROR((SUMIF($B$3:$B$65,"MDZ140R",$F$3:$F$65)*INDEX($Q$20:$Q$75,MATCH(B64,$N$20:$N$75,0))),""))=0,"",IF(B64="MDZ140R","",IFERROR((SUMIF($B$3:$B$65,"MDZ140R",$F$3:$F$65)*INDEX($Q$20:$Q$75,MATCH(B64,$N$20:$N$75,0))),"")))</f>
        <v/>
      </c>
      <c r="F64" s="42" t="str">
        <f>IF(D64="","",D64+ IF(E64="",0,E64))</f>
        <v/>
      </c>
      <c r="H64" s="192"/>
      <c r="I64" s="214" t="str">
        <f>IFERROR(VLOOKUP(H64,$B$3:$F$62,5,FALSE),"")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89" t="s">
        <v>143</v>
      </c>
      <c r="C65" s="89" t="s">
        <v>144</v>
      </c>
      <c r="D65" s="42">
        <v>0.16930000000000001</v>
      </c>
      <c r="E65" s="134"/>
      <c r="F65" s="42">
        <f>D65+E65</f>
        <v>0.16930000000000001</v>
      </c>
      <c r="H65" s="192"/>
      <c r="I65" s="214" t="str">
        <f>IFERROR(VLOOKUP(H65,$B$3:$F$62,5,FALSE),"")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127"/>
      <c r="C66" s="60" t="s">
        <v>145</v>
      </c>
      <c r="D66" s="133">
        <f>SUM(D3:D65)</f>
        <v>24.175699999999992</v>
      </c>
      <c r="E66" s="134"/>
      <c r="F66" s="135">
        <f>D66+E66</f>
        <v>24.175699999999992</v>
      </c>
      <c r="H66" s="192"/>
      <c r="I66" s="214" t="str">
        <f>IFERROR(VLOOKUP(H66,$B$3:$F$62,5,FALSE),"")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136"/>
      <c r="C67" s="136"/>
      <c r="D67" s="133">
        <v>0</v>
      </c>
      <c r="E67" s="134"/>
      <c r="F67" s="135">
        <f>D67+E67</f>
        <v>0</v>
      </c>
      <c r="H67" s="192"/>
      <c r="I67" s="214" t="str">
        <f>IFERROR(VLOOKUP(H67,$B$3:$F$62,5,FALSE),"")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136"/>
      <c r="C68" s="136"/>
      <c r="D68" s="133">
        <v>0</v>
      </c>
      <c r="E68" s="134"/>
      <c r="F68" s="135">
        <f>D68+E68</f>
        <v>0</v>
      </c>
      <c r="H68" s="192"/>
      <c r="I68" s="214" t="str">
        <f>IFERROR(VLOOKUP(H68,$B$3:$F$62,5,FALSE),"")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40"/>
      <c r="C69" s="41"/>
      <c r="D69" s="42"/>
      <c r="E69" s="24" t="str">
        <f>IF(IF(B69="MDZ140R","",IFERROR((SUMIF($B$3:$B$65,"MDZ140R",$F$3:$F$65)*INDEX($Q$20:$Q$75,MATCH(B69,$N$20:$N$75,0))),""))=0,"",IF(B69="MDZ140R","",IFERROR((SUMIF($B$3:$B$65,"MDZ140R",$F$3:$F$65)*INDEX($Q$20:$Q$75,MATCH(B69,$N$20:$N$75,0))),"")))</f>
        <v/>
      </c>
      <c r="F69" s="42" t="str">
        <f t="shared" si="0"/>
        <v/>
      </c>
      <c r="H69" s="192"/>
      <c r="I69" s="214" t="str">
        <f>IFERROR(VLOOKUP(H69,$B$3:$F$62,5,FALSE),"")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40"/>
      <c r="C70" s="41"/>
      <c r="D70" s="42"/>
      <c r="E70" s="24" t="str">
        <f>IF(IF(B70="MDZ140R","",IFERROR((SUMIF($B$3:$B$65,"MDZ140R",$F$3:$F$65)*INDEX($Q$20:$Q$75,MATCH(B70,$N$20:$N$75,0))),""))=0,"",IF(B70="MDZ140R","",IFERROR((SUMIF($B$3:$B$65,"MDZ140R",$F$3:$F$65)*INDEX($Q$20:$Q$75,MATCH(B70,$N$20:$N$75,0))),"")))</f>
        <v/>
      </c>
      <c r="F70" s="42" t="str">
        <f t="shared" si="0"/>
        <v/>
      </c>
      <c r="H70" s="192"/>
      <c r="I70" s="214" t="str">
        <f>IFERROR(VLOOKUP(H70,$B$3:$F$62,5,FALSE),"")</f>
        <v/>
      </c>
      <c r="J70" s="191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40"/>
      <c r="C71" s="41"/>
      <c r="D71" s="42"/>
      <c r="E71" s="24" t="str">
        <f>IF(IF(B71="MDZ140R","",IFERROR((SUMIF($B$3:$B$65,"MDZ140R",$F$3:$F$65)*INDEX($Q$20:$Q$75,MATCH(B71,$N$20:$N$75,0))),""))=0,"",IF(B71="MDZ140R","",IFERROR((SUMIF($B$3:$B$65,"MDZ140R",$F$3:$F$65)*INDEX($Q$20:$Q$75,MATCH(B71,$N$20:$N$75,0))),"")))</f>
        <v/>
      </c>
      <c r="F71" s="42" t="str">
        <f t="shared" si="0"/>
        <v/>
      </c>
      <c r="H71" s="192"/>
      <c r="I71" s="214" t="str">
        <f>IFERROR(VLOOKUP(H71,$B$3:$F$62,5,FALSE),"")</f>
        <v/>
      </c>
      <c r="J71" s="191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40"/>
      <c r="C72" s="41"/>
      <c r="D72" s="42"/>
      <c r="E72" s="24" t="str">
        <f>IF(IF(B72="MDZ140R","",IFERROR((SUMIF($B$3:$B$65,"MDZ140R",$F$3:$F$65)*INDEX($Q$20:$Q$75,MATCH(B72,$N$20:$N$75,0))),""))=0,"",IF(B72="MDZ140R","",IFERROR((SUMIF($B$3:$B$65,"MDZ140R",$F$3:$F$65)*INDEX($Q$20:$Q$75,MATCH(B72,$N$20:$N$75,0))),"")))</f>
        <v/>
      </c>
      <c r="F72" s="42" t="str">
        <f t="shared" si="0"/>
        <v/>
      </c>
      <c r="H72" s="192"/>
      <c r="I72" s="214" t="str">
        <f>IFERROR(VLOOKUP(H72,$B$3:$F$62,5,FALSE),"")</f>
        <v/>
      </c>
      <c r="J72" s="191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40"/>
      <c r="C73" s="41"/>
      <c r="D73" s="42"/>
      <c r="E73" s="24" t="str">
        <f>IF(IF(B73="MDZ140R","",IFERROR((SUMIF($B$3:$B$65,"MDZ140R",$F$3:$F$65)*INDEX($Q$20:$Q$75,MATCH(B73,$N$20:$N$75,0))),""))=0,"",IF(B73="MDZ140R","",IFERROR((SUMIF($B$3:$B$65,"MDZ140R",$F$3:$F$65)*INDEX($Q$20:$Q$75,MATCH(B73,$N$20:$N$75,0))),"")))</f>
        <v/>
      </c>
      <c r="F73" s="42" t="str">
        <f t="shared" si="0"/>
        <v/>
      </c>
      <c r="H73" s="192"/>
      <c r="I73" s="214" t="str">
        <f>IFERROR(VLOOKUP(H73,$B$3:$F$62,5,FALSE),"")</f>
        <v/>
      </c>
      <c r="J73" s="191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40"/>
      <c r="C74" s="41"/>
      <c r="D74" s="42"/>
      <c r="E74" s="24" t="str">
        <f>IF(IF(B74="MDZ140R","",IFERROR((SUMIF($B$3:$B$65,"MDZ140R",$F$3:$F$65)*INDEX($Q$20:$Q$75,MATCH(B74,$N$20:$N$75,0))),""))=0,"",IF(B74="MDZ140R","",IFERROR((SUMIF($B$3:$B$65,"MDZ140R",$F$3:$F$65)*INDEX($Q$20:$Q$75,MATCH(B74,$N$20:$N$75,0))),"")))</f>
        <v/>
      </c>
      <c r="F74" s="42" t="str">
        <f t="shared" si="0"/>
        <v/>
      </c>
      <c r="H74" s="192"/>
      <c r="I74" s="214" t="str">
        <f>IFERROR(VLOOKUP(H74,$B$3:$F$62,5,FALSE),"")</f>
        <v/>
      </c>
      <c r="J74" s="191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40"/>
      <c r="C75" s="41"/>
      <c r="D75" s="42"/>
      <c r="E75" s="24" t="str">
        <f>IF(IF(B75="MDZ140R","",IFERROR((SUMIF($B$3:$B$65,"MDZ140R",$F$3:$F$65)*INDEX($Q$20:$Q$75,MATCH(B75,$N$20:$N$75,0))),""))=0,"",IF(B75="MDZ140R","",IFERROR((SUMIF($B$3:$B$65,"MDZ140R",$F$3:$F$65)*INDEX($Q$20:$Q$75,MATCH(B75,$N$20:$N$75,0))),"")))</f>
        <v/>
      </c>
      <c r="F75" s="42" t="str">
        <f t="shared" si="0"/>
        <v/>
      </c>
      <c r="H75" s="192"/>
      <c r="I75" s="214" t="str">
        <f>IFERROR(VLOOKUP(H75,$B$3:$F$62,5,FALSE),"")</f>
        <v/>
      </c>
      <c r="J75" s="191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H76" s="192"/>
      <c r="I76" s="214" t="str">
        <f>IFERROR(VLOOKUP(H76,$B$3:$F$62,5,FALSE),"")</f>
        <v/>
      </c>
      <c r="J76" s="207"/>
      <c r="L76" s="56"/>
      <c r="M76" s="56"/>
      <c r="N76" s="56"/>
      <c r="O76" s="59" t="s">
        <v>3</v>
      </c>
      <c r="P76" s="131">
        <f>SUM(P20:P33)</f>
        <v>182</v>
      </c>
      <c r="Q76" s="131">
        <f>SUM(Q20:Q33)</f>
        <v>0.994533</v>
      </c>
      <c r="R76" s="59">
        <v>0</v>
      </c>
    </row>
    <row r="77" spans="2:18" x14ac:dyDescent="0.3">
      <c r="H77" s="189" t="s">
        <v>73</v>
      </c>
      <c r="I77" s="214"/>
      <c r="J77" s="191">
        <f>SUM(I77:I91)</f>
        <v>3.4625943749999997</v>
      </c>
    </row>
    <row r="78" spans="2:18" x14ac:dyDescent="0.3">
      <c r="H78" s="196" t="s">
        <v>44</v>
      </c>
      <c r="I78" s="215">
        <v>2.25875E-2</v>
      </c>
      <c r="J78" s="201"/>
    </row>
    <row r="79" spans="2:18" x14ac:dyDescent="0.3">
      <c r="H79" s="196" t="s">
        <v>38</v>
      </c>
      <c r="I79" s="211">
        <v>5.646875E-3</v>
      </c>
      <c r="J79" s="201"/>
    </row>
    <row r="80" spans="2:18" x14ac:dyDescent="0.3">
      <c r="H80" s="196" t="s">
        <v>9</v>
      </c>
      <c r="I80" s="214">
        <f>IFERROR(VLOOKUP(H80,$B$3:$F$62,5,FALSE),"")</f>
        <v>0.19020000000000001</v>
      </c>
      <c r="J80" s="201"/>
    </row>
    <row r="81" spans="8:10" x14ac:dyDescent="0.3">
      <c r="H81" s="196" t="s">
        <v>119</v>
      </c>
      <c r="I81" s="214">
        <f>IFERROR(VLOOKUP(H81,$B$3:$F$62,5,FALSE),"")</f>
        <v>0.88980000000000004</v>
      </c>
      <c r="J81" s="201"/>
    </row>
    <row r="82" spans="8:10" x14ac:dyDescent="0.3">
      <c r="H82" s="196" t="s">
        <v>133</v>
      </c>
      <c r="I82" s="214">
        <f>IFERROR(VLOOKUP(H82,$B$3:$F$62,5,FALSE),"")</f>
        <v>0.90110000000000001</v>
      </c>
      <c r="J82" s="201"/>
    </row>
    <row r="83" spans="8:10" x14ac:dyDescent="0.3">
      <c r="H83" s="196" t="s">
        <v>147</v>
      </c>
      <c r="I83" s="214">
        <v>0.41376000000000002</v>
      </c>
      <c r="J83" s="201"/>
    </row>
    <row r="84" spans="8:10" x14ac:dyDescent="0.3">
      <c r="H84" s="196" t="s">
        <v>148</v>
      </c>
      <c r="I84" s="214" t="str">
        <f>IFERROR(VLOOKUP(H84,$B$3:$F$62,5,FALSE),"")</f>
        <v/>
      </c>
      <c r="J84" s="201"/>
    </row>
    <row r="85" spans="8:10" x14ac:dyDescent="0.3">
      <c r="H85" s="196" t="s">
        <v>11</v>
      </c>
      <c r="I85" s="214">
        <f>IFERROR(VLOOKUP(H85,$B$3:$F$62,5,FALSE),"")</f>
        <v>0.71589999999999998</v>
      </c>
      <c r="J85" s="201"/>
    </row>
    <row r="86" spans="8:10" x14ac:dyDescent="0.3">
      <c r="H86" s="196" t="s">
        <v>149</v>
      </c>
      <c r="I86" s="214" t="str">
        <f>IFERROR(VLOOKUP(H86,$B$3:$F$62,5,FALSE),"")</f>
        <v/>
      </c>
      <c r="J86" s="201"/>
    </row>
    <row r="87" spans="8:10" x14ac:dyDescent="0.3">
      <c r="H87" s="196" t="s">
        <v>121</v>
      </c>
      <c r="I87" s="214">
        <f>IFERROR(VLOOKUP(H87,$B$3:$F$62,5,FALSE),"")</f>
        <v>0.3236</v>
      </c>
      <c r="J87" s="201"/>
    </row>
    <row r="88" spans="8:10" x14ac:dyDescent="0.3">
      <c r="H88" s="196" t="s">
        <v>150</v>
      </c>
      <c r="I88" s="214" t="str">
        <f>IFERROR(VLOOKUP(H88,$B$3:$F$62,5,FALSE),"")</f>
        <v/>
      </c>
      <c r="J88" s="191"/>
    </row>
    <row r="89" spans="8:10" x14ac:dyDescent="0.3">
      <c r="H89" s="196"/>
      <c r="I89" s="214" t="str">
        <f>IFERROR(VLOOKUP(H89,$B$3:$F$62,5,FALSE),"")</f>
        <v/>
      </c>
      <c r="J89" s="201"/>
    </row>
    <row r="90" spans="8:10" x14ac:dyDescent="0.3">
      <c r="H90" s="196"/>
      <c r="I90" s="214" t="str">
        <f>IFERROR(VLOOKUP(H90,$B$3:$F$62,5,FALSE),"")</f>
        <v/>
      </c>
      <c r="J90" s="201"/>
    </row>
    <row r="91" spans="8:10" x14ac:dyDescent="0.3">
      <c r="H91" s="196"/>
      <c r="I91" s="214" t="str">
        <f>IFERROR(VLOOKUP(H91,$B$3:$F$62,5,FALSE),"")</f>
        <v/>
      </c>
      <c r="J91" s="201"/>
    </row>
    <row r="92" spans="8:10" x14ac:dyDescent="0.3">
      <c r="H92" s="200" t="s">
        <v>74</v>
      </c>
      <c r="I92" s="214" t="str">
        <f>IFERROR(VLOOKUP(H92,$B$3:$F$62,5,FALSE),"")</f>
        <v/>
      </c>
      <c r="J92" s="201">
        <f>SUM(I92:I96)</f>
        <v>5.646875E-3</v>
      </c>
    </row>
    <row r="93" spans="8:10" s="175" customFormat="1" x14ac:dyDescent="0.3">
      <c r="H93" s="176" t="s">
        <v>438</v>
      </c>
      <c r="I93" s="217">
        <v>5.646875E-3</v>
      </c>
      <c r="J93" s="177"/>
    </row>
    <row r="94" spans="8:10" x14ac:dyDescent="0.3">
      <c r="H94" s="196"/>
      <c r="I94" s="214"/>
      <c r="J94" s="208"/>
    </row>
    <row r="95" spans="8:10" x14ac:dyDescent="0.3">
      <c r="H95" s="196"/>
      <c r="I95" s="214"/>
      <c r="J95" s="201"/>
    </row>
    <row r="96" spans="8:10" s="175" customFormat="1" x14ac:dyDescent="0.3">
      <c r="H96" s="196"/>
      <c r="I96" s="214" t="str">
        <f>IFERROR(VLOOKUP(H96,$B$3:$F$62,5,FALSE),"")</f>
        <v/>
      </c>
      <c r="J96" s="201"/>
    </row>
    <row r="97" spans="8:10" x14ac:dyDescent="0.3">
      <c r="H97" s="200" t="s">
        <v>75</v>
      </c>
      <c r="I97" s="214" t="str">
        <f>IFERROR(VLOOKUP(H97,$B$3:$F$62,5,FALSE),"")</f>
        <v/>
      </c>
      <c r="J97" s="201">
        <f>SUM(I97:I103)</f>
        <v>0.69840000000000002</v>
      </c>
    </row>
    <row r="98" spans="8:10" x14ac:dyDescent="0.3">
      <c r="H98" s="196" t="s">
        <v>215</v>
      </c>
      <c r="I98" s="214" t="str">
        <f>IFERROR(VLOOKUP(H98,$B$3:$F$62,5,FALSE),"")</f>
        <v/>
      </c>
      <c r="J98" s="201"/>
    </row>
    <row r="99" spans="8:10" x14ac:dyDescent="0.3">
      <c r="H99" s="196" t="s">
        <v>151</v>
      </c>
      <c r="I99" s="211">
        <v>0.46560000000000001</v>
      </c>
      <c r="J99" s="201"/>
    </row>
    <row r="100" spans="8:10" x14ac:dyDescent="0.3">
      <c r="H100" s="196" t="s">
        <v>14</v>
      </c>
      <c r="I100" s="214">
        <v>0.23280000000000001</v>
      </c>
      <c r="J100" s="201"/>
    </row>
    <row r="101" spans="8:10" x14ac:dyDescent="0.3">
      <c r="H101" s="196" t="s">
        <v>152</v>
      </c>
      <c r="I101" s="214" t="str">
        <f>IFERROR(VLOOKUP(H101,$B$3:$F$62,5,FALSE),"")</f>
        <v/>
      </c>
      <c r="J101" s="201"/>
    </row>
    <row r="102" spans="8:10" x14ac:dyDescent="0.3">
      <c r="H102" s="196" t="s">
        <v>211</v>
      </c>
      <c r="I102" s="214" t="str">
        <f>IFERROR(VLOOKUP(H102,$B$3:$F$62,5,FALSE),"")</f>
        <v/>
      </c>
      <c r="J102" s="201"/>
    </row>
    <row r="103" spans="8:10" x14ac:dyDescent="0.3">
      <c r="H103" s="196" t="s">
        <v>212</v>
      </c>
      <c r="I103" s="214" t="str">
        <f>IFERROR(VLOOKUP(H103,$B$3:$F$62,5,FALSE),"")</f>
        <v/>
      </c>
      <c r="J103" s="201"/>
    </row>
    <row r="104" spans="8:10" x14ac:dyDescent="0.3">
      <c r="H104" s="200" t="s">
        <v>76</v>
      </c>
      <c r="I104" s="214" t="str">
        <f>IFERROR(VLOOKUP(H104,$B$3:$F$62,5,FALSE),"")</f>
        <v/>
      </c>
      <c r="J104" s="201">
        <f>SUM(I104:I108)</f>
        <v>0</v>
      </c>
    </row>
    <row r="105" spans="8:10" x14ac:dyDescent="0.3">
      <c r="H105" s="196"/>
      <c r="I105" s="214"/>
      <c r="J105" s="208"/>
    </row>
    <row r="106" spans="8:10" x14ac:dyDescent="0.3">
      <c r="H106" s="196"/>
      <c r="I106" s="214"/>
      <c r="J106" s="201"/>
    </row>
    <row r="107" spans="8:10" s="175" customFormat="1" x14ac:dyDescent="0.3">
      <c r="H107" s="196"/>
      <c r="I107" s="214"/>
      <c r="J107" s="201"/>
    </row>
    <row r="108" spans="8:10" x14ac:dyDescent="0.3">
      <c r="H108" s="196"/>
      <c r="I108" s="214" t="str">
        <f>IFERROR(VLOOKUP(H108,$B$3:$F$62,5,FALSE),"")</f>
        <v/>
      </c>
      <c r="J108" s="201"/>
    </row>
    <row r="109" spans="8:10" x14ac:dyDescent="0.3">
      <c r="H109" s="200" t="s">
        <v>78</v>
      </c>
      <c r="I109" s="214" t="str">
        <f>IFERROR(VLOOKUP(H109,$B$3:$F$62,5,FALSE),"")</f>
        <v/>
      </c>
      <c r="J109" s="201">
        <f>SUM(I109:I115)</f>
        <v>0.27710000000000001</v>
      </c>
    </row>
    <row r="110" spans="8:10" s="175" customFormat="1" x14ac:dyDescent="0.3">
      <c r="H110" s="176" t="s">
        <v>337</v>
      </c>
      <c r="I110" s="218">
        <v>0.27710000000000001</v>
      </c>
      <c r="J110" s="177"/>
    </row>
    <row r="111" spans="8:10" x14ac:dyDescent="0.3">
      <c r="H111" s="196"/>
      <c r="I111" s="214" t="str">
        <f>IFERROR(VLOOKUP(H111,$B$3:$F$62,5,FALSE),"")</f>
        <v/>
      </c>
      <c r="J111" s="208"/>
    </row>
    <row r="112" spans="8:10" s="175" customFormat="1" x14ac:dyDescent="0.3">
      <c r="H112" s="196"/>
      <c r="I112" s="214"/>
      <c r="J112" s="208"/>
    </row>
    <row r="113" spans="8:10" x14ac:dyDescent="0.3">
      <c r="H113" s="196"/>
      <c r="I113" s="214" t="str">
        <f>IFERROR(VLOOKUP(H113,$B$3:$F$62,5,FALSE),"")</f>
        <v/>
      </c>
      <c r="J113" s="208"/>
    </row>
    <row r="114" spans="8:10" x14ac:dyDescent="0.3">
      <c r="H114" s="196"/>
      <c r="I114" s="214" t="str">
        <f>IFERROR(VLOOKUP(H114,$B$3:$F$62,5,FALSE),"")</f>
        <v/>
      </c>
      <c r="J114" s="201"/>
    </row>
    <row r="115" spans="8:10" x14ac:dyDescent="0.3">
      <c r="H115" s="196"/>
      <c r="I115" s="214" t="str">
        <f>IFERROR(VLOOKUP(H115,$B$3:$F$62,5,FALSE),"")</f>
        <v/>
      </c>
      <c r="J115" s="201"/>
    </row>
    <row r="116" spans="8:10" x14ac:dyDescent="0.3">
      <c r="H116" s="200" t="s">
        <v>77</v>
      </c>
      <c r="I116" s="214" t="str">
        <f>IFERROR(VLOOKUP(H116,$B$3:$F$62,5,FALSE),"")</f>
        <v/>
      </c>
      <c r="J116" s="201">
        <f>SUM(I116:I164)</f>
        <v>12.564399999999999</v>
      </c>
    </row>
    <row r="117" spans="8:10" x14ac:dyDescent="0.3">
      <c r="H117" s="196" t="s">
        <v>60</v>
      </c>
      <c r="I117" s="211">
        <v>0.27710000000000001</v>
      </c>
      <c r="J117" s="201"/>
    </row>
    <row r="118" spans="8:10" x14ac:dyDescent="0.3">
      <c r="H118" s="196" t="s">
        <v>153</v>
      </c>
      <c r="I118" s="214" t="str">
        <f>IFERROR(VLOOKUP(H118,$B$3:$F$62,5,FALSE),"")</f>
        <v/>
      </c>
      <c r="J118" s="201"/>
    </row>
    <row r="119" spans="8:10" x14ac:dyDescent="0.3">
      <c r="H119" s="196" t="s">
        <v>154</v>
      </c>
      <c r="I119" s="214" t="str">
        <f>IFERROR(VLOOKUP(H119,$B$3:$F$62,5,FALSE),"")</f>
        <v/>
      </c>
      <c r="J119" s="201"/>
    </row>
    <row r="120" spans="8:10" x14ac:dyDescent="0.3">
      <c r="H120" s="196" t="s">
        <v>114</v>
      </c>
      <c r="I120" s="214">
        <f>IFERROR(VLOOKUP(H120,$B$3:$F$62,5,FALSE),"")</f>
        <v>0.21929999999999999</v>
      </c>
      <c r="J120" s="201"/>
    </row>
    <row r="121" spans="8:10" x14ac:dyDescent="0.3">
      <c r="H121" s="196" t="s">
        <v>116</v>
      </c>
      <c r="I121" s="214">
        <f>IFERROR(VLOOKUP(H121,$B$3:$F$62,5,FALSE),"")</f>
        <v>0.1774</v>
      </c>
      <c r="J121" s="200"/>
    </row>
    <row r="122" spans="8:10" x14ac:dyDescent="0.3">
      <c r="H122" s="196" t="s">
        <v>62</v>
      </c>
      <c r="I122" s="214">
        <f>IFERROR(VLOOKUP(H122,$B$3:$F$62,5,FALSE),"")</f>
        <v>0.36549999999999999</v>
      </c>
      <c r="J122" s="200"/>
    </row>
    <row r="123" spans="8:10" x14ac:dyDescent="0.3">
      <c r="H123" s="196" t="s">
        <v>48</v>
      </c>
      <c r="I123" s="214">
        <f>IFERROR(VLOOKUP(H123,$B$3:$F$62,5,FALSE),"")</f>
        <v>0.38450000000000001</v>
      </c>
      <c r="J123" s="200"/>
    </row>
    <row r="124" spans="8:10" x14ac:dyDescent="0.3">
      <c r="H124" s="196" t="s">
        <v>63</v>
      </c>
      <c r="I124" s="214">
        <f>IFERROR(VLOOKUP(H124,$B$3:$F$62,5,FALSE),"")</f>
        <v>0.95189999999999997</v>
      </c>
      <c r="J124" s="200"/>
    </row>
    <row r="125" spans="8:10" x14ac:dyDescent="0.3">
      <c r="H125" s="196" t="s">
        <v>131</v>
      </c>
      <c r="I125" s="214">
        <f>IFERROR(VLOOKUP(H125,$B$3:$F$62,5,FALSE),"")</f>
        <v>0.21060000000000001</v>
      </c>
      <c r="J125" s="200"/>
    </row>
    <row r="126" spans="8:10" x14ac:dyDescent="0.3">
      <c r="H126" s="196" t="s">
        <v>155</v>
      </c>
      <c r="I126" s="214" t="str">
        <f>IFERROR(VLOOKUP(H126,$B$3:$F$62,5,FALSE),"")</f>
        <v/>
      </c>
      <c r="J126" s="200"/>
    </row>
    <row r="127" spans="8:10" x14ac:dyDescent="0.3">
      <c r="H127" s="196" t="s">
        <v>156</v>
      </c>
      <c r="I127" s="214" t="str">
        <f>IFERROR(VLOOKUP(H127,$B$3:$F$62,5,FALSE),"")</f>
        <v/>
      </c>
      <c r="J127" s="200"/>
    </row>
    <row r="128" spans="8:10" x14ac:dyDescent="0.3">
      <c r="H128" s="196" t="s">
        <v>64</v>
      </c>
      <c r="I128" s="214">
        <f>IFERROR(VLOOKUP(H128,$B$3:$F$62,5,FALSE),"")</f>
        <v>0.99639999999999995</v>
      </c>
      <c r="J128" s="200"/>
    </row>
    <row r="129" spans="8:10" x14ac:dyDescent="0.3">
      <c r="H129" s="196" t="s">
        <v>24</v>
      </c>
      <c r="I129" s="214">
        <f>IFERROR(VLOOKUP(H129,$B$3:$F$62,5,FALSE),"")</f>
        <v>0.35520000000000002</v>
      </c>
      <c r="J129" s="200"/>
    </row>
    <row r="130" spans="8:10" x14ac:dyDescent="0.3">
      <c r="H130" s="196" t="s">
        <v>34</v>
      </c>
      <c r="I130" s="214">
        <f>IFERROR(VLOOKUP(H130,$B$3:$F$62,5,FALSE),"")</f>
        <v>0.95269999999999999</v>
      </c>
      <c r="J130" s="200"/>
    </row>
    <row r="131" spans="8:10" x14ac:dyDescent="0.3">
      <c r="H131" s="196" t="s">
        <v>157</v>
      </c>
      <c r="I131" s="214" t="str">
        <f>IFERROR(VLOOKUP(H131,$B$3:$F$62,5,FALSE),"")</f>
        <v/>
      </c>
      <c r="J131" s="200"/>
    </row>
    <row r="132" spans="8:10" x14ac:dyDescent="0.3">
      <c r="H132" s="196" t="s">
        <v>158</v>
      </c>
      <c r="I132" s="214" t="str">
        <f>IFERROR(VLOOKUP(H132,$B$3:$F$62,5,FALSE),"")</f>
        <v/>
      </c>
      <c r="J132" s="200"/>
    </row>
    <row r="133" spans="8:10" x14ac:dyDescent="0.3">
      <c r="H133" s="196" t="s">
        <v>159</v>
      </c>
      <c r="I133" s="214" t="str">
        <f>IFERROR(VLOOKUP(H133,$B$3:$F$62,5,FALSE),"")</f>
        <v/>
      </c>
      <c r="J133" s="200"/>
    </row>
    <row r="134" spans="8:10" x14ac:dyDescent="0.3">
      <c r="H134" s="196" t="s">
        <v>160</v>
      </c>
      <c r="I134" s="214" t="str">
        <f>IFERROR(VLOOKUP(H134,$B$3:$F$62,5,FALSE),"")</f>
        <v/>
      </c>
      <c r="J134" s="200"/>
    </row>
    <row r="135" spans="8:10" x14ac:dyDescent="0.3">
      <c r="H135" s="196" t="s">
        <v>50</v>
      </c>
      <c r="I135" s="214">
        <f>IFERROR(VLOOKUP(H135,$B$3:$F$62,5,FALSE),"")</f>
        <v>0.1885</v>
      </c>
      <c r="J135" s="200"/>
    </row>
    <row r="136" spans="8:10" x14ac:dyDescent="0.3">
      <c r="H136" s="196" t="s">
        <v>161</v>
      </c>
      <c r="I136" s="214" t="str">
        <f>IFERROR(VLOOKUP(H136,$B$3:$F$62,5,FALSE),"")</f>
        <v/>
      </c>
      <c r="J136" s="200"/>
    </row>
    <row r="137" spans="8:10" x14ac:dyDescent="0.3">
      <c r="H137" s="196" t="s">
        <v>162</v>
      </c>
      <c r="I137" s="214" t="str">
        <f>IFERROR(VLOOKUP(H137,$B$3:$F$62,5,FALSE),"")</f>
        <v/>
      </c>
      <c r="J137" s="200"/>
    </row>
    <row r="138" spans="8:10" x14ac:dyDescent="0.3">
      <c r="H138" s="196" t="s">
        <v>7</v>
      </c>
      <c r="I138" s="214">
        <f>IFERROR(VLOOKUP(H138,$B$3:$F$62,5,FALSE),"")</f>
        <v>0.13550000000000001</v>
      </c>
      <c r="J138" s="200"/>
    </row>
    <row r="139" spans="8:10" x14ac:dyDescent="0.3">
      <c r="H139" s="196" t="s">
        <v>27</v>
      </c>
      <c r="I139" s="214">
        <f>IFERROR(VLOOKUP(H139,$B$3:$F$62,5,FALSE),"")</f>
        <v>0.7792</v>
      </c>
      <c r="J139" s="200"/>
    </row>
    <row r="140" spans="8:10" x14ac:dyDescent="0.3">
      <c r="H140" s="196" t="s">
        <v>163</v>
      </c>
      <c r="I140" s="214" t="str">
        <f>IFERROR(VLOOKUP(H140,$B$3:$F$62,5,FALSE),"")</f>
        <v/>
      </c>
      <c r="J140" s="200"/>
    </row>
    <row r="141" spans="8:10" x14ac:dyDescent="0.3">
      <c r="H141" s="196" t="s">
        <v>164</v>
      </c>
      <c r="I141" s="214" t="str">
        <f>IFERROR(VLOOKUP(H141,$B$3:$F$62,5,FALSE),"")</f>
        <v/>
      </c>
      <c r="J141" s="200"/>
    </row>
    <row r="142" spans="8:10" x14ac:dyDescent="0.3">
      <c r="H142" s="196" t="s">
        <v>165</v>
      </c>
      <c r="I142" s="214" t="str">
        <f>IFERROR(VLOOKUP(H142,$B$3:$F$62,5,FALSE),"")</f>
        <v/>
      </c>
      <c r="J142" s="200"/>
    </row>
    <row r="143" spans="8:10" x14ac:dyDescent="0.3">
      <c r="H143" s="196" t="s">
        <v>166</v>
      </c>
      <c r="I143" s="214" t="str">
        <f>IFERROR(VLOOKUP(H143,$B$3:$F$62,5,FALSE),"")</f>
        <v/>
      </c>
      <c r="J143" s="200"/>
    </row>
    <row r="144" spans="8:10" x14ac:dyDescent="0.3">
      <c r="H144" s="196" t="s">
        <v>135</v>
      </c>
      <c r="I144" s="214">
        <f>IFERROR(VLOOKUP(H144,$B$3:$F$62,5,FALSE),"")</f>
        <v>0.1197</v>
      </c>
      <c r="J144" s="200"/>
    </row>
    <row r="145" spans="8:10" x14ac:dyDescent="0.3">
      <c r="H145" s="196" t="s">
        <v>123</v>
      </c>
      <c r="I145" s="214">
        <f>IFERROR(VLOOKUP(H145,$B$3:$F$62,5,FALSE),"")</f>
        <v>0.86729999999999996</v>
      </c>
      <c r="J145" s="200"/>
    </row>
    <row r="146" spans="8:10" x14ac:dyDescent="0.3">
      <c r="H146" s="196" t="s">
        <v>125</v>
      </c>
      <c r="I146" s="214">
        <f>IFERROR(VLOOKUP(H146,$B$3:$F$62,5,FALSE),"")</f>
        <v>0.98209999999999997</v>
      </c>
      <c r="J146" s="200"/>
    </row>
    <row r="147" spans="8:10" x14ac:dyDescent="0.3">
      <c r="H147" s="196" t="s">
        <v>167</v>
      </c>
      <c r="I147" s="214" t="str">
        <f>IFERROR(VLOOKUP(H147,$B$3:$F$62,5,FALSE),"")</f>
        <v/>
      </c>
      <c r="J147" s="200"/>
    </row>
    <row r="148" spans="8:10" x14ac:dyDescent="0.3">
      <c r="H148" s="196" t="s">
        <v>65</v>
      </c>
      <c r="I148" s="214">
        <f>IFERROR(VLOOKUP(H148,$B$3:$F$62,5,FALSE),"")</f>
        <v>0.26929999999999998</v>
      </c>
      <c r="J148" s="200"/>
    </row>
    <row r="149" spans="8:10" x14ac:dyDescent="0.3">
      <c r="H149" s="196" t="s">
        <v>41</v>
      </c>
      <c r="I149" s="214">
        <f>IFERROR(VLOOKUP(H149,$B$3:$F$62,5,FALSE),"")</f>
        <v>0.1653</v>
      </c>
      <c r="J149" s="200"/>
    </row>
    <row r="150" spans="8:10" x14ac:dyDescent="0.3">
      <c r="H150" s="196" t="s">
        <v>42</v>
      </c>
      <c r="I150" s="214">
        <f>IFERROR(VLOOKUP(H150,$B$3:$F$62,5,FALSE),"")</f>
        <v>0.91800000000000004</v>
      </c>
      <c r="J150" s="200"/>
    </row>
    <row r="151" spans="8:10" x14ac:dyDescent="0.3">
      <c r="H151" s="196" t="s">
        <v>29</v>
      </c>
      <c r="I151" s="214">
        <f>IFERROR(VLOOKUP(H151,$B$3:$F$62,5,FALSE),"")</f>
        <v>0.1804</v>
      </c>
      <c r="J151" s="200"/>
    </row>
    <row r="152" spans="8:10" x14ac:dyDescent="0.3">
      <c r="H152" s="196" t="s">
        <v>16</v>
      </c>
      <c r="I152" s="214">
        <f>IFERROR(VLOOKUP(H152,$B$3:$F$62,5,FALSE),"")</f>
        <v>0.51700000000000002</v>
      </c>
      <c r="J152" s="200"/>
    </row>
    <row r="153" spans="8:10" x14ac:dyDescent="0.3">
      <c r="H153" s="196" t="s">
        <v>168</v>
      </c>
      <c r="I153" s="214" t="str">
        <f>IFERROR(VLOOKUP(H153,$B$3:$F$62,5,FALSE),"")</f>
        <v/>
      </c>
      <c r="J153" s="200"/>
    </row>
    <row r="154" spans="8:10" x14ac:dyDescent="0.3">
      <c r="H154" s="196" t="s">
        <v>18</v>
      </c>
      <c r="I154" s="214">
        <f>IFERROR(VLOOKUP(H154,$B$3:$F$62,5,FALSE),"")</f>
        <v>0.36170000000000002</v>
      </c>
      <c r="J154" s="200"/>
    </row>
    <row r="155" spans="8:10" x14ac:dyDescent="0.3">
      <c r="H155" s="196" t="s">
        <v>45</v>
      </c>
      <c r="I155" s="214">
        <f>IFERROR(VLOOKUP(H155,$B$3:$F$62,5,FALSE),"")</f>
        <v>0.86070000000000002</v>
      </c>
      <c r="J155" s="200"/>
    </row>
    <row r="156" spans="8:10" x14ac:dyDescent="0.3">
      <c r="H156" s="196" t="s">
        <v>53</v>
      </c>
      <c r="I156" s="214" t="str">
        <f>IFERROR(VLOOKUP(H156,$B$3:$F$62,5,FALSE),"")</f>
        <v/>
      </c>
      <c r="J156" s="200"/>
    </row>
    <row r="157" spans="8:10" x14ac:dyDescent="0.3">
      <c r="H157" s="196" t="s">
        <v>187</v>
      </c>
      <c r="I157" s="214" t="str">
        <f>IFERROR(VLOOKUP(H157,$B$3:$F$62,5,FALSE),"")</f>
        <v/>
      </c>
      <c r="J157" s="200"/>
    </row>
    <row r="158" spans="8:10" x14ac:dyDescent="0.3">
      <c r="H158" s="196" t="s">
        <v>52</v>
      </c>
      <c r="I158" s="214">
        <f>IFERROR(VLOOKUP(H158,$B$3:$F$62,5,FALSE),"")</f>
        <v>0.63360000000000005</v>
      </c>
      <c r="J158" s="200"/>
    </row>
    <row r="159" spans="8:10" x14ac:dyDescent="0.3">
      <c r="H159" s="196" t="s">
        <v>55</v>
      </c>
      <c r="I159" s="214">
        <f>IFERROR(VLOOKUP(H159,$B$3:$F$62,5,FALSE),"")</f>
        <v>0.69550000000000001</v>
      </c>
      <c r="J159" s="200"/>
    </row>
    <row r="160" spans="8:10" x14ac:dyDescent="0.3">
      <c r="H160" s="196" t="s">
        <v>169</v>
      </c>
      <c r="I160" s="214" t="str">
        <f>IFERROR(VLOOKUP(H160,$B$3:$F$62,5,FALSE),"")</f>
        <v/>
      </c>
      <c r="J160" s="200"/>
    </row>
    <row r="161" spans="8:10" x14ac:dyDescent="0.3">
      <c r="H161" s="196" t="s">
        <v>213</v>
      </c>
      <c r="I161" s="214" t="str">
        <f>IFERROR(VLOOKUP(H161,$B$3:$F$62,5,FALSE),"")</f>
        <v/>
      </c>
      <c r="J161" s="200"/>
    </row>
    <row r="162" spans="8:10" x14ac:dyDescent="0.3">
      <c r="H162" s="196" t="s">
        <v>214</v>
      </c>
      <c r="I162" s="214" t="str">
        <f>IFERROR(VLOOKUP(H162,$B$3:$F$62,5,FALSE),"")</f>
        <v/>
      </c>
      <c r="J162" s="200"/>
    </row>
    <row r="163" spans="8:10" x14ac:dyDescent="0.3">
      <c r="H163" s="196"/>
      <c r="I163" s="214" t="str">
        <f>IFERROR(VLOOKUP(H163,$B$3:$F$62,5,FALSE),"")</f>
        <v/>
      </c>
      <c r="J163" s="200"/>
    </row>
    <row r="164" spans="8:10" x14ac:dyDescent="0.3">
      <c r="H164" s="196"/>
      <c r="I164" s="214" t="str">
        <f>IFERROR(VLOOKUP(H164,$B$3:$F$62,5,FALSE),"")</f>
        <v/>
      </c>
      <c r="J164" s="200"/>
    </row>
    <row r="165" spans="8:10" x14ac:dyDescent="0.3">
      <c r="H165" s="200" t="s">
        <v>79</v>
      </c>
      <c r="I165" s="214" t="str">
        <f>IFERROR(VLOOKUP(H165,$B$3:$F$62,5,FALSE),"")</f>
        <v/>
      </c>
      <c r="J165" s="209">
        <f>SUM(I165:I194)</f>
        <v>0.84360000000000002</v>
      </c>
    </row>
    <row r="166" spans="8:10" x14ac:dyDescent="0.3">
      <c r="H166" s="196" t="s">
        <v>170</v>
      </c>
      <c r="I166" s="214" t="str">
        <f>IFERROR(VLOOKUP(H166,$B$3:$F$62,5,FALSE),"")</f>
        <v/>
      </c>
      <c r="J166" s="200"/>
    </row>
    <row r="167" spans="8:10" x14ac:dyDescent="0.3">
      <c r="H167" s="196" t="s">
        <v>143</v>
      </c>
      <c r="I167" s="214" t="str">
        <f>IFERROR(VLOOKUP(H167,$B$3:$F$62,5,FALSE),"")</f>
        <v/>
      </c>
      <c r="J167" s="200"/>
    </row>
    <row r="168" spans="8:10" x14ac:dyDescent="0.3">
      <c r="H168" s="196" t="s">
        <v>171</v>
      </c>
      <c r="I168" s="214" t="str">
        <f>IFERROR(VLOOKUP(H168,$B$3:$F$62,5,FALSE),"")</f>
        <v/>
      </c>
      <c r="J168" s="200"/>
    </row>
    <row r="169" spans="8:10" x14ac:dyDescent="0.3">
      <c r="H169" s="196" t="s">
        <v>141</v>
      </c>
      <c r="I169" s="214">
        <f>IFERROR(VLOOKUP(H169,$B$3:$F$62,5,FALSE),"")</f>
        <v>1.14E-2</v>
      </c>
      <c r="J169" s="200"/>
    </row>
    <row r="170" spans="8:10" x14ac:dyDescent="0.3">
      <c r="H170" s="196" t="s">
        <v>172</v>
      </c>
      <c r="I170" s="214" t="str">
        <f>IFERROR(VLOOKUP(H170,$B$3:$F$62,5,FALSE),"")</f>
        <v/>
      </c>
      <c r="J170" s="200"/>
    </row>
    <row r="171" spans="8:10" x14ac:dyDescent="0.3">
      <c r="H171" s="196" t="s">
        <v>173</v>
      </c>
      <c r="I171" s="214" t="str">
        <f>IFERROR(VLOOKUP(H171,$B$3:$F$62,5,FALSE),"")</f>
        <v/>
      </c>
      <c r="J171" s="200"/>
    </row>
    <row r="172" spans="8:10" x14ac:dyDescent="0.3">
      <c r="H172" s="196" t="s">
        <v>174</v>
      </c>
      <c r="I172" s="214" t="str">
        <f>IFERROR(VLOOKUP(H172,$B$3:$F$62,5,FALSE),"")</f>
        <v/>
      </c>
      <c r="J172" s="200"/>
    </row>
    <row r="173" spans="8:10" x14ac:dyDescent="0.3">
      <c r="H173" s="196" t="s">
        <v>175</v>
      </c>
      <c r="I173" s="214" t="str">
        <f>IFERROR(VLOOKUP(H173,$B$3:$F$62,5,FALSE),"")</f>
        <v/>
      </c>
      <c r="J173" s="200"/>
    </row>
    <row r="174" spans="8:10" x14ac:dyDescent="0.3">
      <c r="H174" s="196" t="s">
        <v>176</v>
      </c>
      <c r="I174" s="214" t="str">
        <f>IFERROR(VLOOKUP(H174,$B$3:$F$62,5,FALSE),"")</f>
        <v/>
      </c>
      <c r="J174" s="200"/>
    </row>
    <row r="175" spans="8:10" x14ac:dyDescent="0.3">
      <c r="H175" s="196" t="s">
        <v>186</v>
      </c>
      <c r="I175" s="214" t="str">
        <f>IFERROR(VLOOKUP(H175,$B$3:$F$62,5,FALSE),"")</f>
        <v/>
      </c>
      <c r="J175" s="200"/>
    </row>
    <row r="176" spans="8:10" x14ac:dyDescent="0.3">
      <c r="H176" s="196" t="s">
        <v>185</v>
      </c>
      <c r="I176" s="214" t="str">
        <f>IFERROR(VLOOKUP(H176,$B$3:$F$62,5,FALSE),"")</f>
        <v/>
      </c>
      <c r="J176" s="200"/>
    </row>
    <row r="177" spans="8:10" x14ac:dyDescent="0.3">
      <c r="H177" s="196" t="s">
        <v>137</v>
      </c>
      <c r="I177" s="214">
        <f>IFERROR(VLOOKUP(H177,$B$3:$F$62,5,FALSE),"")</f>
        <v>0.10829999999999999</v>
      </c>
      <c r="J177" s="200"/>
    </row>
    <row r="178" spans="8:10" x14ac:dyDescent="0.3">
      <c r="H178" s="196" t="s">
        <v>177</v>
      </c>
      <c r="I178" s="214" t="str">
        <f>IFERROR(VLOOKUP(H178,$B$3:$F$62,5,FALSE),"")</f>
        <v/>
      </c>
      <c r="J178" s="200"/>
    </row>
    <row r="179" spans="8:10" x14ac:dyDescent="0.3">
      <c r="H179" s="196" t="s">
        <v>178</v>
      </c>
      <c r="I179" s="214" t="str">
        <f>IFERROR(VLOOKUP(H179,$B$3:$F$62,5,FALSE),"")</f>
        <v/>
      </c>
      <c r="J179" s="200"/>
    </row>
    <row r="180" spans="8:10" x14ac:dyDescent="0.3">
      <c r="H180" s="196" t="s">
        <v>179</v>
      </c>
      <c r="I180" s="214" t="str">
        <f>IFERROR(VLOOKUP(H180,$B$3:$F$62,5,FALSE),"")</f>
        <v/>
      </c>
      <c r="J180" s="200"/>
    </row>
    <row r="181" spans="8:10" x14ac:dyDescent="0.3">
      <c r="H181" s="196" t="s">
        <v>180</v>
      </c>
      <c r="I181" s="214" t="str">
        <f>IFERROR(VLOOKUP(H181,$B$3:$F$62,5,FALSE),"")</f>
        <v/>
      </c>
      <c r="J181" s="200"/>
    </row>
    <row r="182" spans="8:10" x14ac:dyDescent="0.3">
      <c r="H182" s="196" t="s">
        <v>139</v>
      </c>
      <c r="I182" s="214">
        <f>IFERROR(VLOOKUP(H182,$B$3:$F$62,5,FALSE),"")</f>
        <v>0.72389999999999999</v>
      </c>
      <c r="J182" s="200"/>
    </row>
    <row r="183" spans="8:10" x14ac:dyDescent="0.3">
      <c r="H183" s="196" t="s">
        <v>181</v>
      </c>
      <c r="I183" s="214" t="str">
        <f>IFERROR(VLOOKUP(H183,$B$3:$F$62,5,FALSE),"")</f>
        <v/>
      </c>
      <c r="J183" s="200"/>
    </row>
    <row r="184" spans="8:10" x14ac:dyDescent="0.3">
      <c r="H184" s="196" t="s">
        <v>182</v>
      </c>
      <c r="I184" s="214" t="str">
        <f>IFERROR(VLOOKUP(H184,$B$3:$F$62,5,FALSE),"")</f>
        <v/>
      </c>
      <c r="J184" s="200"/>
    </row>
    <row r="185" spans="8:10" x14ac:dyDescent="0.3">
      <c r="H185" s="196"/>
      <c r="I185" s="214" t="str">
        <f>IFERROR(VLOOKUP(H185,$B$3:$F$62,5,FALSE),"")</f>
        <v/>
      </c>
      <c r="J185" s="200"/>
    </row>
    <row r="186" spans="8:10" x14ac:dyDescent="0.3">
      <c r="H186" s="196"/>
      <c r="I186" s="214" t="str">
        <f>IFERROR(VLOOKUP(H186,$B$3:$F$62,5,FALSE),"")</f>
        <v/>
      </c>
      <c r="J186" s="200"/>
    </row>
    <row r="187" spans="8:10" x14ac:dyDescent="0.3">
      <c r="H187" s="196"/>
      <c r="I187" s="214" t="str">
        <f>IFERROR(VLOOKUP(H187,$B$3:$F$62,5,FALSE),"")</f>
        <v/>
      </c>
      <c r="J187" s="200"/>
    </row>
    <row r="188" spans="8:10" x14ac:dyDescent="0.3">
      <c r="H188" s="196"/>
      <c r="I188" s="214" t="str">
        <f>IFERROR(VLOOKUP(H188,$B$3:$F$62,5,FALSE),"")</f>
        <v/>
      </c>
      <c r="J188" s="200"/>
    </row>
    <row r="189" spans="8:10" x14ac:dyDescent="0.3">
      <c r="H189" s="196"/>
      <c r="I189" s="214" t="str">
        <f>IFERROR(VLOOKUP(H189,$B$3:$F$62,5,FALSE),"")</f>
        <v/>
      </c>
      <c r="J189" s="200"/>
    </row>
    <row r="190" spans="8:10" x14ac:dyDescent="0.3">
      <c r="H190" s="196"/>
      <c r="I190" s="214" t="str">
        <f>IFERROR(VLOOKUP(H190,$B$3:$F$62,5,FALSE),"")</f>
        <v/>
      </c>
      <c r="J190" s="200"/>
    </row>
    <row r="191" spans="8:10" x14ac:dyDescent="0.3">
      <c r="H191" s="196"/>
      <c r="I191" s="214" t="str">
        <f>IFERROR(VLOOKUP(H191,$B$3:$F$62,5,FALSE),"")</f>
        <v/>
      </c>
      <c r="J191" s="200"/>
    </row>
    <row r="192" spans="8:10" x14ac:dyDescent="0.3">
      <c r="H192" s="196"/>
      <c r="I192" s="214" t="str">
        <f>IFERROR(VLOOKUP(H192,$B$3:$F$62,5,FALSE),"")</f>
        <v/>
      </c>
      <c r="J192" s="200"/>
    </row>
    <row r="193" spans="8:10" x14ac:dyDescent="0.3">
      <c r="H193" s="196"/>
      <c r="I193" s="214" t="str">
        <f>IFERROR(VLOOKUP(H193,$B$3:$F$62,5,FALSE),"")</f>
        <v/>
      </c>
      <c r="J193" s="200"/>
    </row>
    <row r="194" spans="8:10" x14ac:dyDescent="0.3">
      <c r="H194" s="196"/>
      <c r="I194" s="214" t="str">
        <f>IFERROR(VLOOKUP(H194,$B$3:$F$62,5,FALSE),"")</f>
        <v/>
      </c>
      <c r="J194" s="200"/>
    </row>
    <row r="195" spans="8:10" x14ac:dyDescent="0.3">
      <c r="H195" s="200" t="s">
        <v>80</v>
      </c>
      <c r="I195" s="214" t="str">
        <f>IFERROR(VLOOKUP(H195,$B$3:$F$62,5,FALSE),"")</f>
        <v/>
      </c>
      <c r="J195" s="209">
        <f>SUM(I195:I205)</f>
        <v>0</v>
      </c>
    </row>
    <row r="196" spans="8:10" x14ac:dyDescent="0.3">
      <c r="H196" s="196"/>
      <c r="I196" s="214" t="str">
        <f>IFERROR(VLOOKUP(H196,$B$3:$F$62,5,FALSE),"")</f>
        <v/>
      </c>
      <c r="J196" s="196"/>
    </row>
    <row r="197" spans="8:10" x14ac:dyDescent="0.3">
      <c r="H197" s="196"/>
      <c r="I197" s="214" t="str">
        <f>IFERROR(VLOOKUP(H197,$B$3:$F$62,5,FALSE),"")</f>
        <v/>
      </c>
      <c r="J197" s="196"/>
    </row>
    <row r="198" spans="8:10" x14ac:dyDescent="0.3">
      <c r="H198" s="196"/>
      <c r="I198" s="214" t="str">
        <f>IFERROR(VLOOKUP(H198,$B$3:$F$62,5,FALSE),"")</f>
        <v/>
      </c>
      <c r="J198" s="196"/>
    </row>
    <row r="199" spans="8:10" x14ac:dyDescent="0.3">
      <c r="H199" s="196"/>
      <c r="I199" s="214" t="str">
        <f>IFERROR(VLOOKUP(H199,$B$3:$F$62,5,FALSE),"")</f>
        <v/>
      </c>
      <c r="J199" s="196"/>
    </row>
    <row r="200" spans="8:10" x14ac:dyDescent="0.3">
      <c r="H200" s="196"/>
      <c r="I200" s="214" t="str">
        <f>IFERROR(VLOOKUP(H200,$B$3:$F$62,5,FALSE),"")</f>
        <v/>
      </c>
      <c r="J200" s="196"/>
    </row>
    <row r="201" spans="8:10" x14ac:dyDescent="0.3">
      <c r="H201" s="196"/>
      <c r="I201" s="214" t="str">
        <f>IFERROR(VLOOKUP(H201,$B$3:$F$62,5,FALSE),"")</f>
        <v/>
      </c>
      <c r="J201" s="196"/>
    </row>
    <row r="202" spans="8:10" x14ac:dyDescent="0.3">
      <c r="H202" s="196"/>
      <c r="I202" s="214" t="str">
        <f>IFERROR(VLOOKUP(H202,$B$3:$F$62,5,FALSE),"")</f>
        <v/>
      </c>
      <c r="J202" s="196"/>
    </row>
    <row r="203" spans="8:10" x14ac:dyDescent="0.3">
      <c r="H203" s="196"/>
      <c r="I203" s="214" t="str">
        <f>IFERROR(VLOOKUP(H203,$B$3:$F$62,5,FALSE),"")</f>
        <v/>
      </c>
      <c r="J203" s="196"/>
    </row>
    <row r="204" spans="8:10" x14ac:dyDescent="0.3">
      <c r="H204" s="196"/>
      <c r="I204" s="214" t="str">
        <f>IFERROR(VLOOKUP(H204,$B$3:$F$62,5,FALSE),"")</f>
        <v/>
      </c>
      <c r="J204" s="196"/>
    </row>
    <row r="205" spans="8:10" x14ac:dyDescent="0.3">
      <c r="H205" s="196"/>
      <c r="I205" s="214" t="str">
        <f>IFERROR(VLOOKUP(H205,$B$3:$F$62,5,FALSE),"")</f>
        <v/>
      </c>
      <c r="J205" s="196"/>
    </row>
    <row r="206" spans="8:10" x14ac:dyDescent="0.3">
      <c r="I206" s="214" t="str">
        <f>IFERROR(VLOOKUP(H206,$B$3:$F$62,5,FALSE),"")</f>
        <v/>
      </c>
    </row>
    <row r="207" spans="8:10" x14ac:dyDescent="0.3">
      <c r="I207" s="214" t="str">
        <f>IFERROR(VLOOKUP(H207,$B$3:$F$62,5,FALSE),"")</f>
        <v/>
      </c>
    </row>
    <row r="208" spans="8:10" x14ac:dyDescent="0.3">
      <c r="I208" s="214" t="str">
        <f>IFERROR(VLOOKUP(H208,$B$3:$F$62,5,FALSE),"")</f>
        <v/>
      </c>
    </row>
    <row r="209" spans="9:9" x14ac:dyDescent="0.3">
      <c r="I209" s="214" t="str">
        <f>IFERROR(VLOOKUP(H209,$B$3:$F$62,5,FALSE),"")</f>
        <v/>
      </c>
    </row>
    <row r="210" spans="9:9" x14ac:dyDescent="0.3">
      <c r="I210" s="214" t="str">
        <f>IFERROR(VLOOKUP(H210,$B$3:$F$62,5,FALSE),"")</f>
        <v/>
      </c>
    </row>
    <row r="211" spans="9:9" x14ac:dyDescent="0.3">
      <c r="I211" s="214" t="str">
        <f>IFERROR(VLOOKUP(H211,$B$3:$F$62,5,FALSE),"")</f>
        <v/>
      </c>
    </row>
    <row r="212" spans="9:9" x14ac:dyDescent="0.3">
      <c r="I212" s="214" t="str">
        <f>IFERROR(VLOOKUP(H212,$B$3:$F$62,5,FALSE),"")</f>
        <v/>
      </c>
    </row>
    <row r="213" spans="9:9" x14ac:dyDescent="0.3">
      <c r="I213" s="214" t="str">
        <f>IFERROR(VLOOKUP(H213,$B$3:$F$62,5,FALSE),"")</f>
        <v/>
      </c>
    </row>
    <row r="214" spans="9:9" x14ac:dyDescent="0.3">
      <c r="I214" s="214" t="str">
        <f>IFERROR(VLOOKUP(H214,$B$3:$F$62,5,FALSE),"")</f>
        <v/>
      </c>
    </row>
    <row r="215" spans="9:9" x14ac:dyDescent="0.3">
      <c r="I215" s="214" t="str">
        <f>IFERROR(VLOOKUP(H215,$B$3:$F$62,5,FALSE),"")</f>
        <v/>
      </c>
    </row>
    <row r="216" spans="9:9" x14ac:dyDescent="0.3">
      <c r="I216" s="214" t="str">
        <f>IFERROR(VLOOKUP(H216,$B$3:$F$62,5,FALSE),"")</f>
        <v/>
      </c>
    </row>
    <row r="217" spans="9:9" x14ac:dyDescent="0.3">
      <c r="I217" s="214" t="str">
        <f>IFERROR(VLOOKUP(H217,$B$3:$F$62,5,FALSE),"")</f>
        <v/>
      </c>
    </row>
    <row r="218" spans="9:9" x14ac:dyDescent="0.3">
      <c r="I218" s="214" t="str">
        <f>IFERROR(VLOOKUP(H218,$B$3:$F$62,5,FALSE),"")</f>
        <v/>
      </c>
    </row>
    <row r="219" spans="9:9" x14ac:dyDescent="0.3">
      <c r="I219" s="214" t="str">
        <f>IFERROR(VLOOKUP(H219,$B$3:$F$62,5,FALSE),"")</f>
        <v/>
      </c>
    </row>
    <row r="220" spans="9:9" x14ac:dyDescent="0.3">
      <c r="I220" s="214" t="str">
        <f>IFERROR(VLOOKUP(H220,$B$3:$F$62,5,FALSE),"")</f>
        <v/>
      </c>
    </row>
    <row r="221" spans="9:9" x14ac:dyDescent="0.3">
      <c r="I221" s="214" t="str">
        <f>IFERROR(VLOOKUP(H221,$B$3:$F$62,5,FALSE),"")</f>
        <v/>
      </c>
    </row>
    <row r="222" spans="9:9" x14ac:dyDescent="0.3">
      <c r="I222" s="214" t="str">
        <f>IFERROR(VLOOKUP(H222,$B$3:$F$62,5,FALSE),"")</f>
        <v/>
      </c>
    </row>
    <row r="223" spans="9:9" x14ac:dyDescent="0.3">
      <c r="I223" s="214" t="str">
        <f>IFERROR(VLOOKUP(H223,$B$3:$F$62,5,FALSE),"")</f>
        <v/>
      </c>
    </row>
    <row r="224" spans="9:9" x14ac:dyDescent="0.3">
      <c r="I224" s="214" t="str">
        <f>IFERROR(VLOOKUP(H224,$B$3:$F$62,5,FALSE),"")</f>
        <v/>
      </c>
    </row>
    <row r="225" spans="9:9" x14ac:dyDescent="0.3">
      <c r="I225" s="214" t="str">
        <f>IFERROR(VLOOKUP(H225,$B$3:$F$62,5,FALSE),"")</f>
        <v/>
      </c>
    </row>
    <row r="226" spans="9:9" x14ac:dyDescent="0.3">
      <c r="I226" s="214" t="str">
        <f>IFERROR(VLOOKUP(H226,$B$3:$F$62,5,FALSE),"")</f>
        <v/>
      </c>
    </row>
    <row r="227" spans="9:9" x14ac:dyDescent="0.3">
      <c r="I227" s="214" t="str">
        <f>IFERROR(VLOOKUP(H227,$B$3:$F$62,5,FALSE),"")</f>
        <v/>
      </c>
    </row>
    <row r="228" spans="9:9" x14ac:dyDescent="0.3">
      <c r="I228" s="214" t="str">
        <f>IFERROR(VLOOKUP(H228,$B$3:$F$62,5,FALSE),"")</f>
        <v/>
      </c>
    </row>
    <row r="229" spans="9:9" x14ac:dyDescent="0.3">
      <c r="I229" s="214" t="str">
        <f>IFERROR(VLOOKUP(H229,$B$3:$F$62,5,FALSE),"")</f>
        <v/>
      </c>
    </row>
    <row r="230" spans="9:9" x14ac:dyDescent="0.3">
      <c r="I230" s="214" t="str">
        <f>IFERROR(VLOOKUP(H230,$B$3:$F$62,5,FALSE),"")</f>
        <v/>
      </c>
    </row>
    <row r="231" spans="9:9" x14ac:dyDescent="0.3">
      <c r="I231" s="214" t="str">
        <f>IFERROR(VLOOKUP(H231,$B$3:$F$62,5,FALSE),"")</f>
        <v/>
      </c>
    </row>
    <row r="232" spans="9:9" x14ac:dyDescent="0.3">
      <c r="I232" s="214" t="str">
        <f>IFERROR(VLOOKUP(H232,$B$3:$F$62,5,FALSE),"")</f>
        <v/>
      </c>
    </row>
    <row r="233" spans="9:9" x14ac:dyDescent="0.3">
      <c r="I233" s="214" t="str">
        <f>IFERROR(VLOOKUP(H233,$B$3:$F$62,5,FALSE),"")</f>
        <v/>
      </c>
    </row>
    <row r="234" spans="9:9" x14ac:dyDescent="0.3">
      <c r="I234" s="214" t="str">
        <f>IFERROR(VLOOKUP(H234,$B$3:$F$62,5,FALSE),"")</f>
        <v/>
      </c>
    </row>
    <row r="235" spans="9:9" x14ac:dyDescent="0.3">
      <c r="I235" s="214" t="str">
        <f>IFERROR(VLOOKUP(H235,$B$3:$F$62,5,FALSE),"")</f>
        <v/>
      </c>
    </row>
    <row r="236" spans="9:9" x14ac:dyDescent="0.3">
      <c r="I236" s="214" t="str">
        <f>IFERROR(VLOOKUP(H236,$B$3:$F$62,5,FALSE),"")</f>
        <v/>
      </c>
    </row>
    <row r="237" spans="9:9" x14ac:dyDescent="0.3">
      <c r="I237" s="214" t="str">
        <f>IFERROR(VLOOKUP(H237,$B$3:$F$62,5,FALSE),"")</f>
        <v/>
      </c>
    </row>
    <row r="238" spans="9:9" x14ac:dyDescent="0.3">
      <c r="I238" s="214" t="str">
        <f>IFERROR(VLOOKUP(H238,$B$3:$F$62,5,FALSE),"")</f>
        <v/>
      </c>
    </row>
    <row r="239" spans="9:9" x14ac:dyDescent="0.3">
      <c r="I239" s="214" t="str">
        <f>IFERROR(VLOOKUP(H239,$B$3:$F$62,5,FALSE),"")</f>
        <v/>
      </c>
    </row>
    <row r="240" spans="9:9" x14ac:dyDescent="0.3">
      <c r="I240" s="214" t="str">
        <f>IFERROR(VLOOKUP(H240,$B$3:$F$62,5,FALSE),"")</f>
        <v/>
      </c>
    </row>
    <row r="241" spans="9:9" x14ac:dyDescent="0.3">
      <c r="I241" s="214" t="str">
        <f>IFERROR(VLOOKUP(H241,$B$3:$F$62,5,FALSE),"")</f>
        <v/>
      </c>
    </row>
    <row r="242" spans="9:9" x14ac:dyDescent="0.3">
      <c r="I242" s="214" t="str">
        <f>IFERROR(VLOOKUP(H242,$B$3:$F$62,5,FALSE),"")</f>
        <v/>
      </c>
    </row>
    <row r="243" spans="9:9" x14ac:dyDescent="0.3">
      <c r="I243" s="214" t="str">
        <f>IFERROR(VLOOKUP(H243,$B$3:$F$62,5,FALSE),"")</f>
        <v/>
      </c>
    </row>
    <row r="244" spans="9:9" x14ac:dyDescent="0.3">
      <c r="I244" s="214" t="str">
        <f>IFERROR(VLOOKUP(H244,$B$3:$F$62,5,FALSE),"")</f>
        <v/>
      </c>
    </row>
    <row r="245" spans="9:9" x14ac:dyDescent="0.3">
      <c r="I245" s="214" t="str">
        <f>IFERROR(VLOOKUP(H245,$B$3:$F$62,5,FALSE),"")</f>
        <v/>
      </c>
    </row>
    <row r="246" spans="9:9" x14ac:dyDescent="0.3">
      <c r="I246" s="214" t="str">
        <f>IFERROR(VLOOKUP(H246,$B$3:$F$62,5,FALSE),"")</f>
        <v/>
      </c>
    </row>
    <row r="247" spans="9:9" x14ac:dyDescent="0.3">
      <c r="I247" s="214" t="str">
        <f>IFERROR(VLOOKUP(H247,$B$3:$F$62,5,FALSE),"")</f>
        <v/>
      </c>
    </row>
    <row r="248" spans="9:9" x14ac:dyDescent="0.3">
      <c r="I248" s="214" t="str">
        <f>IFERROR(VLOOKUP(H248,$B$3:$F$62,5,FALSE),"")</f>
        <v/>
      </c>
    </row>
    <row r="249" spans="9:9" x14ac:dyDescent="0.3">
      <c r="I249" s="214" t="str">
        <f>IFERROR(VLOOKUP(H249,$B$3:$F$62,5,FALSE),"")</f>
        <v/>
      </c>
    </row>
    <row r="250" spans="9:9" x14ac:dyDescent="0.3">
      <c r="I250" s="214" t="str">
        <f>IFERROR(VLOOKUP(H250,$B$3:$F$62,5,FALSE),"")</f>
        <v/>
      </c>
    </row>
    <row r="251" spans="9:9" x14ac:dyDescent="0.3">
      <c r="I251" s="214" t="str">
        <f>IFERROR(VLOOKUP(H251,$B$3:$F$62,5,FALSE),"")</f>
        <v/>
      </c>
    </row>
    <row r="252" spans="9:9" x14ac:dyDescent="0.3">
      <c r="I252" s="214" t="str">
        <f>IFERROR(VLOOKUP(H252,$B$3:$F$62,5,FALSE),"")</f>
        <v/>
      </c>
    </row>
    <row r="253" spans="9:9" x14ac:dyDescent="0.3">
      <c r="I253" s="214" t="str">
        <f>IFERROR(VLOOKUP(H253,$B$3:$F$62,5,FALSE),"")</f>
        <v/>
      </c>
    </row>
    <row r="254" spans="9:9" x14ac:dyDescent="0.3">
      <c r="I254" s="214" t="str">
        <f>IFERROR(VLOOKUP(H254,$B$3:$F$62,5,FALSE),"")</f>
        <v/>
      </c>
    </row>
    <row r="255" spans="9:9" x14ac:dyDescent="0.3">
      <c r="I255" s="214" t="str">
        <f>IFERROR(VLOOKUP(H255,$B$3:$F$62,5,FALSE),"")</f>
        <v/>
      </c>
    </row>
    <row r="256" spans="9:9" x14ac:dyDescent="0.3">
      <c r="I256" s="214" t="str">
        <f>IFERROR(VLOOKUP(H256,$B$3:$F$62,5,FALSE),"")</f>
        <v/>
      </c>
    </row>
    <row r="257" spans="9:9" x14ac:dyDescent="0.3">
      <c r="I257" s="214" t="str">
        <f>IFERROR(VLOOKUP(H257,$B$3:$F$62,5,FALSE),"")</f>
        <v/>
      </c>
    </row>
    <row r="258" spans="9:9" x14ac:dyDescent="0.3">
      <c r="I258" s="214" t="str">
        <f>IFERROR(VLOOKUP(H258,$B$3:$F$62,5,FALSE),"")</f>
        <v/>
      </c>
    </row>
    <row r="259" spans="9:9" x14ac:dyDescent="0.3">
      <c r="I259" s="214" t="str">
        <f>IFERROR(VLOOKUP(H259,$B$3:$F$62,5,FALSE),"")</f>
        <v/>
      </c>
    </row>
    <row r="260" spans="9:9" x14ac:dyDescent="0.3">
      <c r="I260" s="214" t="str">
        <f>IFERROR(VLOOKUP(H260,$B$3:$F$62,5,FALSE),"")</f>
        <v/>
      </c>
    </row>
    <row r="261" spans="9:9" x14ac:dyDescent="0.3">
      <c r="I261" s="214" t="str">
        <f>IFERROR(VLOOKUP(H261,$B$3:$F$62,5,FALSE),"")</f>
        <v/>
      </c>
    </row>
    <row r="262" spans="9:9" x14ac:dyDescent="0.3">
      <c r="I262" s="214" t="str">
        <f>IFERROR(VLOOKUP(H262,$B$3:$F$62,5,FALSE),"")</f>
        <v/>
      </c>
    </row>
    <row r="263" spans="9:9" x14ac:dyDescent="0.3">
      <c r="I263" s="214" t="str">
        <f>IFERROR(VLOOKUP(H263,$B$3:$F$62,5,FALSE),"")</f>
        <v/>
      </c>
    </row>
    <row r="264" spans="9:9" x14ac:dyDescent="0.3">
      <c r="I264" s="214" t="str">
        <f>IFERROR(VLOOKUP(H264,$B$3:$F$62,5,FALSE),"")</f>
        <v/>
      </c>
    </row>
    <row r="265" spans="9:9" x14ac:dyDescent="0.3">
      <c r="I265" s="214" t="str">
        <f>IFERROR(VLOOKUP(H265,$B$3:$F$62,5,FALSE),"")</f>
        <v/>
      </c>
    </row>
  </sheetData>
  <customSheetViews>
    <customSheetView guid="{5C7B38D6-29D9-4C20-A92E-817BB499D35F}">
      <selection activeCell="E3" sqref="E3:E65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0A231-D702-478D-A1C9-83AA441444AF}">
  <sheetPr codeName="Sheet2"/>
  <dimension ref="B1:R265"/>
  <sheetViews>
    <sheetView topLeftCell="C1" zoomScale="85" zoomScaleNormal="85" workbookViewId="0">
      <selection activeCell="I73" sqref="I1:I1048576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4" x14ac:dyDescent="0.3">
      <c r="B1" t="s">
        <v>58</v>
      </c>
      <c r="C1" t="s">
        <v>59</v>
      </c>
    </row>
    <row r="2" spans="2:14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3"/>
      <c r="L2" s="111" t="s">
        <v>69</v>
      </c>
      <c r="M2" s="112" t="s">
        <v>203</v>
      </c>
      <c r="N2" s="112" t="s">
        <v>203</v>
      </c>
    </row>
    <row r="3" spans="2:14" s="1" customFormat="1" x14ac:dyDescent="0.3">
      <c r="B3" s="43" t="s">
        <v>20</v>
      </c>
      <c r="C3" s="41" t="s">
        <v>21</v>
      </c>
      <c r="D3" s="42">
        <v>0.5857</v>
      </c>
      <c r="E3" s="24" t="str">
        <f>IF(IF(B3="MDZ140R","",IFERROR((SUMIF($B$3:$B$65,"MDZ140R",$F$3:$F$65)*INDEX($Q$20:$Q$77,MATCH(B3,$N$20:$N$77,0))),""))=0,"",IF(B3="MDZ140R","",IFERROR((SUMIF($B$3:$B$65,"MDZ140R",$F$3:$F$65)*INDEX($Q$20:$Q$77,MATCH(B3,$N$20:$N$77,0))),"")))</f>
        <v/>
      </c>
      <c r="F3" s="42">
        <f>IF(D3="","",D3+ IF(E3="",0,E3))</f>
        <v>0.5857</v>
      </c>
      <c r="H3" s="202" t="s">
        <v>71</v>
      </c>
      <c r="I3" s="214" t="str">
        <f>IFERROR(VLOOKUP(H3,$B$3:$F$62,5,FALSE),"")</f>
        <v/>
      </c>
      <c r="J3" s="203">
        <f>SUM(I3:I21)</f>
        <v>4.1571350000000002</v>
      </c>
      <c r="L3" s="139" t="s">
        <v>70</v>
      </c>
      <c r="M3" s="140">
        <f>VLOOKUP(L3,$H$3:$J$208,3,FALSE)</f>
        <v>4.2599999999999999E-2</v>
      </c>
      <c r="N3" s="138">
        <f>(M3/$M$14)</f>
        <v>2.0355552003686931E-3</v>
      </c>
    </row>
    <row r="4" spans="2:14" s="1" customFormat="1" x14ac:dyDescent="0.3">
      <c r="B4" s="43" t="s">
        <v>32</v>
      </c>
      <c r="C4" s="41" t="s">
        <v>33</v>
      </c>
      <c r="D4" s="42">
        <v>3.7900000000000003E-2</v>
      </c>
      <c r="E4" s="24" t="str">
        <f>IF(IF(B4="MDZ140R","",IFERROR((SUMIF($B$3:$B$65,"MDZ140R",$F$3:$F$65)*INDEX($Q$20:$Q$77,MATCH(B4,$N$20:$N$77,0))),""))=0,"",IF(B4="MDZ140R","",IFERROR((SUMIF($B$3:$B$65,"MDZ140R",$F$3:$F$65)*INDEX($Q$20:$Q$77,MATCH(B4,$N$20:$N$77,0))),"")))</f>
        <v/>
      </c>
      <c r="F4" s="42">
        <f t="shared" ref="F4:F77" si="0">IF(D4="","",D4+ IF(E4="",0,E4))</f>
        <v>3.7900000000000003E-2</v>
      </c>
      <c r="H4" s="192" t="s">
        <v>46</v>
      </c>
      <c r="I4" s="214">
        <f>IFERROR(VLOOKUP(H4,$B$3:$F$62,5,FALSE),"")</f>
        <v>0.52210000000000001</v>
      </c>
      <c r="J4" s="204"/>
      <c r="L4" s="56" t="s">
        <v>71</v>
      </c>
      <c r="M4" s="140">
        <f>VLOOKUP(L4,$H$3:$J$208,3,FALSE)</f>
        <v>4.1571350000000002</v>
      </c>
      <c r="N4" s="138">
        <f t="shared" ref="N4:N13" si="1">(M4/$M$14)</f>
        <v>0.19864032318978186</v>
      </c>
    </row>
    <row r="5" spans="2:14" s="1" customFormat="1" x14ac:dyDescent="0.3">
      <c r="B5" s="43" t="s">
        <v>46</v>
      </c>
      <c r="C5" s="41" t="s">
        <v>47</v>
      </c>
      <c r="D5" s="42">
        <v>0.52210000000000001</v>
      </c>
      <c r="E5" s="24" t="str">
        <f>IF(IF(B5="MDZ140R","",IFERROR((SUMIF($B$3:$B$65,"MDZ140R",$F$3:$F$65)*INDEX($Q$20:$Q$77,MATCH(B5,$N$20:$N$77,0))),""))=0,"",IF(B5="MDZ140R","",IFERROR((SUMIF($B$3:$B$65,"MDZ140R",$F$3:$F$65)*INDEX($Q$20:$Q$77,MATCH(B5,$N$20:$N$77,0))),"")))</f>
        <v/>
      </c>
      <c r="F5" s="42">
        <f t="shared" si="0"/>
        <v>0.52210000000000001</v>
      </c>
      <c r="H5" s="192" t="s">
        <v>86</v>
      </c>
      <c r="I5" s="214" t="str">
        <f>IFERROR(VLOOKUP(H5,$B$3:$F$62,5,FALSE),"")</f>
        <v/>
      </c>
      <c r="J5" s="204"/>
      <c r="L5" s="80" t="s">
        <v>72</v>
      </c>
      <c r="M5" s="140">
        <f>VLOOKUP(L5,$H$3:$J$208,3,FALSE)</f>
        <v>0.41917500000000002</v>
      </c>
      <c r="N5" s="138">
        <f t="shared" si="1"/>
        <v>2.0029433124754626E-2</v>
      </c>
    </row>
    <row r="6" spans="2:14" s="1" customFormat="1" x14ac:dyDescent="0.3">
      <c r="B6" s="43" t="s">
        <v>36</v>
      </c>
      <c r="C6" s="41" t="s">
        <v>37</v>
      </c>
      <c r="D6" s="42">
        <v>0.26600000000000001</v>
      </c>
      <c r="E6" s="24" t="str">
        <f>IF(IF(B6="MDZ140R","",IFERROR((SUMIF($B$3:$B$65,"MDZ140R",$F$3:$F$65)*INDEX($Q$20:$Q$77,MATCH(B6,$N$20:$N$77,0))),""))=0,"",IF(B6="MDZ140R","",IFERROR((SUMIF($B$3:$B$65,"MDZ140R",$F$3:$F$65)*INDEX($Q$20:$Q$77,MATCH(B6,$N$20:$N$77,0))),"")))</f>
        <v/>
      </c>
      <c r="F6" s="42">
        <f t="shared" si="0"/>
        <v>0.26600000000000001</v>
      </c>
      <c r="H6" s="192" t="s">
        <v>36</v>
      </c>
      <c r="I6" s="211">
        <v>0.36880000000000002</v>
      </c>
      <c r="J6" s="204"/>
      <c r="L6" s="56" t="s">
        <v>73</v>
      </c>
      <c r="M6" s="140">
        <f>VLOOKUP(L6,$H$3:$J$208,3,FALSE)</f>
        <v>2.080794375</v>
      </c>
      <c r="N6" s="138">
        <f t="shared" si="1"/>
        <v>9.9426568331670767E-2</v>
      </c>
    </row>
    <row r="7" spans="2:14" s="1" customFormat="1" x14ac:dyDescent="0.3">
      <c r="B7" s="43" t="s">
        <v>87</v>
      </c>
      <c r="C7" s="41" t="s">
        <v>118</v>
      </c>
      <c r="D7" s="42">
        <v>0.2051</v>
      </c>
      <c r="E7" s="24" t="str">
        <f>IF(IF(B7="MDZ140R","",IFERROR((SUMIF($B$3:$B$65,"MDZ140R",$F$3:$F$65)*INDEX($Q$20:$Q$77,MATCH(B7,$N$20:$N$77,0))),""))=0,"",IF(B7="MDZ140R","",IFERROR((SUMIF($B$3:$B$65,"MDZ140R",$F$3:$F$65)*INDEX($Q$20:$Q$77,MATCH(B7,$N$20:$N$77,0))),"")))</f>
        <v/>
      </c>
      <c r="F7" s="42">
        <f t="shared" si="0"/>
        <v>0.2051</v>
      </c>
      <c r="H7" s="192" t="s">
        <v>87</v>
      </c>
      <c r="I7" s="212">
        <v>0.13972499999999999</v>
      </c>
      <c r="J7" s="204"/>
      <c r="L7" s="80" t="s">
        <v>74</v>
      </c>
      <c r="M7" s="140">
        <f>VLOOKUP(L7,$H$3:$J$208,3,FALSE)</f>
        <v>5.646875E-3</v>
      </c>
      <c r="N7" s="138">
        <f t="shared" si="1"/>
        <v>2.6982454864042172E-4</v>
      </c>
    </row>
    <row r="8" spans="2:14" s="1" customFormat="1" x14ac:dyDescent="0.3">
      <c r="B8" s="43" t="s">
        <v>13</v>
      </c>
      <c r="C8" s="41" t="s">
        <v>68</v>
      </c>
      <c r="D8" s="42">
        <v>8.5199999999999998E-2</v>
      </c>
      <c r="E8" s="24" t="str">
        <f>IF(IF(B8="MDZ140R","",IFERROR((SUMIF($B$3:$B$65,"MDZ140R",$F$3:$F$65)*INDEX($Q$20:$Q$77,MATCH(B8,$N$20:$N$77,0))),""))=0,"",IF(B8="MDZ140R","",IFERROR((SUMIF($B$3:$B$65,"MDZ140R",$F$3:$F$65)*INDEX($Q$20:$Q$77,MATCH(B8,$N$20:$N$77,0))),"")))</f>
        <v/>
      </c>
      <c r="F8" s="42">
        <f t="shared" si="0"/>
        <v>8.5199999999999998E-2</v>
      </c>
      <c r="H8" s="192" t="s">
        <v>88</v>
      </c>
      <c r="I8" s="214" t="str">
        <f>IFERROR(VLOOKUP(H8,$B$3:$F$62,5,FALSE),"")</f>
        <v/>
      </c>
      <c r="J8" s="204"/>
      <c r="L8" s="56" t="s">
        <v>75</v>
      </c>
      <c r="M8" s="140">
        <f>VLOOKUP(L8,$H$3:$J$208,3,FALSE)</f>
        <v>0.69840000000000002</v>
      </c>
      <c r="N8" s="138">
        <f t="shared" si="1"/>
        <v>3.3371637369424771E-2</v>
      </c>
    </row>
    <row r="9" spans="2:14" s="1" customFormat="1" x14ac:dyDescent="0.3">
      <c r="B9" s="43" t="s">
        <v>31</v>
      </c>
      <c r="C9" s="41" t="s">
        <v>67</v>
      </c>
      <c r="D9" s="42">
        <v>0.81889999999999996</v>
      </c>
      <c r="E9" s="24" t="str">
        <f>IF(IF(B9="MDZ140R","",IFERROR((SUMIF($B$3:$B$65,"MDZ140R",$F$3:$F$65)*INDEX($Q$20:$Q$77,MATCH(B9,$N$20:$N$77,0))),""))=0,"",IF(B9="MDZ140R","",IFERROR((SUMIF($B$3:$B$65,"MDZ140R",$F$3:$F$65)*INDEX($Q$20:$Q$77,MATCH(B9,$N$20:$N$77,0))),"")))</f>
        <v/>
      </c>
      <c r="F9" s="42">
        <f t="shared" si="0"/>
        <v>0.81889999999999996</v>
      </c>
      <c r="H9" s="192" t="s">
        <v>89</v>
      </c>
      <c r="I9" s="214" t="str">
        <f>IFERROR(VLOOKUP(H9,$B$3:$F$62,5,FALSE),"")</f>
        <v/>
      </c>
      <c r="J9" s="204"/>
      <c r="L9" s="80" t="s">
        <v>76</v>
      </c>
      <c r="M9" s="140">
        <f>VLOOKUP(L9,$H$3:$J$208,3,FALSE)</f>
        <v>0</v>
      </c>
      <c r="N9" s="138">
        <f t="shared" si="1"/>
        <v>0</v>
      </c>
    </row>
    <row r="10" spans="2:14" s="1" customFormat="1" x14ac:dyDescent="0.3">
      <c r="B10" s="43" t="s">
        <v>94</v>
      </c>
      <c r="C10" s="41" t="s">
        <v>127</v>
      </c>
      <c r="D10" s="42">
        <v>0.86650000000000005</v>
      </c>
      <c r="E10" s="24" t="str">
        <f>IF(IF(B10="MDZ140R","",IFERROR((SUMIF($B$3:$B$65,"MDZ140R",$F$3:$F$65)*INDEX($Q$20:$Q$77,MATCH(B10,$N$20:$N$77,0))),""))=0,"",IF(B10="MDZ140R","",IFERROR((SUMIF($B$3:$B$65,"MDZ140R",$F$3:$F$65)*INDEX($Q$20:$Q$77,MATCH(B10,$N$20:$N$77,0))),"")))</f>
        <v/>
      </c>
      <c r="F10" s="42">
        <f t="shared" si="0"/>
        <v>0.86650000000000005</v>
      </c>
      <c r="H10" s="192" t="s">
        <v>13</v>
      </c>
      <c r="I10" s="211">
        <v>4.2599999999999999E-2</v>
      </c>
      <c r="J10" s="204"/>
      <c r="L10" s="56" t="s">
        <v>77</v>
      </c>
      <c r="M10" s="140">
        <f>VLOOKUP(L10,$H$3:$J$208,3,FALSE)</f>
        <v>11.402100000000001</v>
      </c>
      <c r="N10" s="138">
        <f t="shared" si="1"/>
        <v>0.5448263838057249</v>
      </c>
    </row>
    <row r="11" spans="2:14" s="1" customFormat="1" x14ac:dyDescent="0.3">
      <c r="B11" s="43" t="s">
        <v>95</v>
      </c>
      <c r="C11" s="41" t="s">
        <v>189</v>
      </c>
      <c r="D11" s="42">
        <v>0.89549999999999996</v>
      </c>
      <c r="E11" s="24" t="str">
        <f>IF(IF(B11="MDZ140R","",IFERROR((SUMIF($B$3:$B$65,"MDZ140R",$F$3:$F$65)*INDEX($Q$20:$Q$77,MATCH(B11,$N$20:$N$77,0))),""))=0,"",IF(B11="MDZ140R","",IFERROR((SUMIF($B$3:$B$65,"MDZ140R",$F$3:$F$65)*INDEX($Q$20:$Q$77,MATCH(B11,$N$20:$N$77,0))),"")))</f>
        <v/>
      </c>
      <c r="F11" s="42">
        <f t="shared" si="0"/>
        <v>0.89549999999999996</v>
      </c>
      <c r="H11" s="192" t="s">
        <v>31</v>
      </c>
      <c r="I11" s="214">
        <f>IFERROR(VLOOKUP(H11,$B$3:$F$62,5,FALSE),"")</f>
        <v>0.81889999999999996</v>
      </c>
      <c r="J11" s="204"/>
      <c r="L11" s="80" t="s">
        <v>78</v>
      </c>
      <c r="M11" s="140">
        <f>VLOOKUP(L11,$H$3:$J$208,3,FALSE)</f>
        <v>0.3221</v>
      </c>
      <c r="N11" s="138">
        <f t="shared" si="1"/>
        <v>1.5390899766167983E-2</v>
      </c>
    </row>
    <row r="12" spans="2:14" s="1" customFormat="1" x14ac:dyDescent="0.3">
      <c r="B12" s="43" t="s">
        <v>44</v>
      </c>
      <c r="C12" s="41" t="s">
        <v>146</v>
      </c>
      <c r="D12" s="42">
        <v>0.1125</v>
      </c>
      <c r="E12" s="24" t="str">
        <f>IF(IF(B12="MDZ140R","",IFERROR((SUMIF($B$3:$B$65,"MDZ140R",$F$3:$F$65)*INDEX($Q$20:$Q$77,MATCH(B12,$N$20:$N$77,0))),""))=0,"",IF(B12="MDZ140R","",IFERROR((SUMIF($B$3:$B$65,"MDZ140R",$F$3:$F$65)*INDEX($Q$20:$Q$77,MATCH(B12,$N$20:$N$77,0))),"")))</f>
        <v/>
      </c>
      <c r="F12" s="42">
        <f t="shared" si="0"/>
        <v>0.1125</v>
      </c>
      <c r="H12" s="192" t="s">
        <v>90</v>
      </c>
      <c r="I12" s="214" t="str">
        <f>IFERROR(VLOOKUP(H12,$B$3:$F$62,5,FALSE),"")</f>
        <v/>
      </c>
      <c r="J12" s="204"/>
      <c r="L12" s="56" t="s">
        <v>79</v>
      </c>
      <c r="M12" s="140">
        <f>VLOOKUP(L12,$H$3:$J$208,3,FALSE)</f>
        <v>1.7999999999999998</v>
      </c>
      <c r="N12" s="138">
        <f t="shared" si="1"/>
        <v>8.6009374663465907E-2</v>
      </c>
    </row>
    <row r="13" spans="2:14" s="1" customFormat="1" x14ac:dyDescent="0.3">
      <c r="B13" s="43" t="s">
        <v>38</v>
      </c>
      <c r="C13" s="41" t="s">
        <v>39</v>
      </c>
      <c r="D13" s="42">
        <v>0.78</v>
      </c>
      <c r="E13" s="24" t="str">
        <f>IF(IF(B13="MDZ140R","",IFERROR((SUMIF($B$3:$B$65,"MDZ140R",$F$3:$F$65)*INDEX($Q$20:$Q$77,MATCH(B13,$N$20:$N$77,0))),""))=0,"",IF(B13="MDZ140R","",IFERROR((SUMIF($B$3:$B$65,"MDZ140R",$F$3:$F$65)*INDEX($Q$20:$Q$77,MATCH(B13,$N$20:$N$77,0))),"")))</f>
        <v/>
      </c>
      <c r="F13" s="42">
        <f t="shared" si="0"/>
        <v>0.78</v>
      </c>
      <c r="H13" s="192" t="s">
        <v>91</v>
      </c>
      <c r="I13" s="214" t="str">
        <f>IFERROR(VLOOKUP(H13,$B$3:$F$62,5,FALSE),"")</f>
        <v/>
      </c>
      <c r="J13" s="204"/>
      <c r="L13" s="80" t="s">
        <v>80</v>
      </c>
      <c r="M13" s="140">
        <f>VLOOKUP(L13,$H$3:$J$208,3,FALSE)</f>
        <v>0</v>
      </c>
      <c r="N13" s="138">
        <f t="shared" si="1"/>
        <v>0</v>
      </c>
    </row>
    <row r="14" spans="2:14" s="1" customFormat="1" x14ac:dyDescent="0.3">
      <c r="B14" s="43" t="s">
        <v>9</v>
      </c>
      <c r="C14" s="41" t="s">
        <v>10</v>
      </c>
      <c r="D14" s="42">
        <v>0.2883</v>
      </c>
      <c r="E14" s="24" t="str">
        <f>IF(IF(B14="MDZ140R","",IFERROR((SUMIF($B$3:$B$65,"MDZ140R",$F$3:$F$65)*INDEX($Q$20:$Q$77,MATCH(B14,$N$20:$N$77,0))),""))=0,"",IF(B14="MDZ140R","",IFERROR((SUMIF($B$3:$B$65,"MDZ140R",$F$3:$F$65)*INDEX($Q$20:$Q$77,MATCH(B14,$N$20:$N$77,0))),"")))</f>
        <v/>
      </c>
      <c r="F14" s="42">
        <f t="shared" si="0"/>
        <v>0.2883</v>
      </c>
      <c r="H14" s="192" t="s">
        <v>92</v>
      </c>
      <c r="I14" s="214" t="str">
        <f>IFERROR(VLOOKUP(H14,$B$3:$F$62,5,FALSE),"")</f>
        <v/>
      </c>
      <c r="J14" s="204"/>
      <c r="L14" s="119" t="s">
        <v>81</v>
      </c>
      <c r="M14" s="120">
        <f>SUM(M3:M13)</f>
        <v>20.927951250000003</v>
      </c>
      <c r="N14" s="121">
        <f>SUM(N3:N13)</f>
        <v>1</v>
      </c>
    </row>
    <row r="15" spans="2:14" s="1" customFormat="1" x14ac:dyDescent="0.3">
      <c r="B15" s="43" t="s">
        <v>119</v>
      </c>
      <c r="C15" s="41" t="s">
        <v>120</v>
      </c>
      <c r="D15" s="42">
        <v>0.30680000000000002</v>
      </c>
      <c r="E15" s="24" t="str">
        <f>IF(IF(B15="MDZ140R","",IFERROR((SUMIF($B$3:$B$65,"MDZ140R",$F$3:$F$65)*INDEX($Q$20:$Q$77,MATCH(B15,$N$20:$N$77,0))),""))=0,"",IF(B15="MDZ140R","",IFERROR((SUMIF($B$3:$B$65,"MDZ140R",$F$3:$F$65)*INDEX($Q$20:$Q$77,MATCH(B15,$N$20:$N$77,0))),"")))</f>
        <v/>
      </c>
      <c r="F15" s="42">
        <f t="shared" si="0"/>
        <v>0.30680000000000002</v>
      </c>
      <c r="H15" s="192" t="s">
        <v>93</v>
      </c>
      <c r="I15" s="214">
        <v>0.50300999999999996</v>
      </c>
      <c r="J15" s="204"/>
      <c r="L15" s="122" t="s">
        <v>82</v>
      </c>
      <c r="M15" s="120">
        <f>SUM(M3,M5,M7,M9,M11,M13)</f>
        <v>0.78952187500000004</v>
      </c>
      <c r="N15" s="123">
        <f>SUM(N13,N11,N9,N7,N5,N3)</f>
        <v>3.7725712639931727E-2</v>
      </c>
    </row>
    <row r="16" spans="2:14" s="1" customFormat="1" x14ac:dyDescent="0.3">
      <c r="B16" s="43" t="s">
        <v>133</v>
      </c>
      <c r="C16" s="41" t="s">
        <v>134</v>
      </c>
      <c r="D16" s="42">
        <v>0.59399999999999997</v>
      </c>
      <c r="E16" s="24" t="str">
        <f>IF(IF(B16="MDZ140R","",IFERROR((SUMIF($B$3:$B$65,"MDZ140R",$F$3:$F$65)*INDEX($Q$20:$Q$77,MATCH(B16,$N$20:$N$77,0))),""))=0,"",IF(B16="MDZ140R","",IFERROR((SUMIF($B$3:$B$65,"MDZ140R",$F$3:$F$65)*INDEX($Q$20:$Q$77,MATCH(B16,$N$20:$N$77,0))),"")))</f>
        <v/>
      </c>
      <c r="F16" s="42">
        <f t="shared" si="0"/>
        <v>0.59399999999999997</v>
      </c>
      <c r="H16" s="192" t="s">
        <v>94</v>
      </c>
      <c r="I16" s="211">
        <v>0.86650000000000005</v>
      </c>
      <c r="J16" s="204"/>
    </row>
    <row r="17" spans="2:18" s="1" customFormat="1" x14ac:dyDescent="0.3">
      <c r="B17" s="43" t="s">
        <v>11</v>
      </c>
      <c r="C17" s="41" t="s">
        <v>190</v>
      </c>
      <c r="D17" s="42">
        <v>0.1447</v>
      </c>
      <c r="E17" s="24" t="str">
        <f>IF(IF(B17="MDZ140R","",IFERROR((SUMIF($B$3:$B$65,"MDZ140R",$F$3:$F$65)*INDEX($Q$20:$Q$77,MATCH(B17,$N$20:$N$77,0))),""))=0,"",IF(B17="MDZ140R","",IFERROR((SUMIF($B$3:$B$65,"MDZ140R",$F$3:$F$65)*INDEX($Q$20:$Q$77,MATCH(B17,$N$20:$N$77,0))),"")))</f>
        <v/>
      </c>
      <c r="F17" s="42">
        <f t="shared" si="0"/>
        <v>0.1447</v>
      </c>
      <c r="H17" s="192" t="s">
        <v>95</v>
      </c>
      <c r="I17" s="214">
        <f>IFERROR(VLOOKUP(H17,$B$3:$F$62,5,FALSE),"")</f>
        <v>0.89549999999999996</v>
      </c>
      <c r="J17" s="204"/>
    </row>
    <row r="18" spans="2:18" s="1" customFormat="1" x14ac:dyDescent="0.3">
      <c r="B18" s="43" t="s">
        <v>121</v>
      </c>
      <c r="C18" s="41" t="s">
        <v>122</v>
      </c>
      <c r="D18" s="42">
        <v>0.30499999999999999</v>
      </c>
      <c r="E18" s="24" t="str">
        <f>IF(IF(B18="MDZ140R","",IFERROR((SUMIF($B$3:$B$65,"MDZ140R",$F$3:$F$65)*INDEX($Q$20:$Q$77,MATCH(B18,$N$20:$N$77,0))),""))=0,"",IF(B18="MDZ140R","",IFERROR((SUMIF($B$3:$B$65,"MDZ140R",$F$3:$F$65)*INDEX($Q$20:$Q$77,MATCH(B18,$N$20:$N$77,0))),"")))</f>
        <v/>
      </c>
      <c r="F18" s="42">
        <f t="shared" si="0"/>
        <v>0.30499999999999999</v>
      </c>
      <c r="H18" s="192" t="s">
        <v>96</v>
      </c>
      <c r="I18" s="214" t="str">
        <f>IFERROR(VLOOKUP(H18,$B$3:$F$62,5,FALSE),"")</f>
        <v/>
      </c>
      <c r="J18" s="198"/>
    </row>
    <row r="19" spans="2:18" s="1" customFormat="1" x14ac:dyDescent="0.3">
      <c r="B19" s="43" t="s">
        <v>14</v>
      </c>
      <c r="C19" s="41" t="s">
        <v>15</v>
      </c>
      <c r="D19" s="42">
        <v>0.42</v>
      </c>
      <c r="E19" s="24" t="str">
        <f>IF(IF(B19="MDZ140R","",IFERROR((SUMIF($B$3:$B$65,"MDZ140R",$F$3:$F$65)*INDEX($Q$20:$Q$77,MATCH(B19,$N$20:$N$77,0))),""))=0,"",IF(B19="MDZ140R","",IFERROR((SUMIF($B$3:$B$65,"MDZ140R",$F$3:$F$65)*INDEX($Q$20:$Q$77,MATCH(B19,$N$20:$N$77,0))),"")))</f>
        <v/>
      </c>
      <c r="F19" s="42">
        <f t="shared" si="0"/>
        <v>0.42</v>
      </c>
      <c r="H19" s="192" t="s">
        <v>97</v>
      </c>
      <c r="I19" s="214" t="str">
        <f>IFERROR(VLOOKUP(H19,$B$3:$F$62,5,FALSE),"")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3" t="s">
        <v>61</v>
      </c>
      <c r="C20" s="41" t="s">
        <v>5</v>
      </c>
      <c r="D20" s="42">
        <v>0.95409999999999995</v>
      </c>
      <c r="E20" s="24" t="str">
        <f>IF(IF(B20="MDZ140R","",IFERROR((SUMIF($B$3:$B$65,"MDZ140R",$F$3:$F$65)*INDEX($Q$20:$Q$77,MATCH(B20,$N$20:$N$77,0))),""))=0,"",IF(B20="MDZ140R","",IFERROR((SUMIF($B$3:$B$65,"MDZ140R",$F$3:$F$65)*INDEX($Q$20:$Q$77,MATCH(B20,$N$20:$N$77,0))),"")))</f>
        <v/>
      </c>
      <c r="F20" s="42">
        <f t="shared" si="0"/>
        <v>0.95409999999999995</v>
      </c>
      <c r="H20" s="192" t="s">
        <v>98</v>
      </c>
      <c r="I20" s="214" t="str">
        <f>IFERROR(VLOOKUP(H20,$B$3:$F$62,5,FALSE),"")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3" t="s">
        <v>129</v>
      </c>
      <c r="C21" s="41" t="s">
        <v>130</v>
      </c>
      <c r="D21" s="42">
        <v>0.18590000000000001</v>
      </c>
      <c r="E21" s="24" t="str">
        <f>IF(IF(B21="MDZ140R","",IFERROR((SUMIF($B$3:$B$65,"MDZ140R",$F$3:$F$65)*INDEX($Q$20:$Q$77,MATCH(B21,$N$20:$N$77,0))),""))=0,"",IF(B21="MDZ140R","",IFERROR((SUMIF($B$3:$B$65,"MDZ140R",$F$3:$F$65)*INDEX($Q$20:$Q$77,MATCH(B21,$N$20:$N$77,0))),"")))</f>
        <v/>
      </c>
      <c r="F21" s="42">
        <f t="shared" si="0"/>
        <v>0.18590000000000001</v>
      </c>
      <c r="H21" s="192" t="s">
        <v>99</v>
      </c>
      <c r="I21" s="214" t="str">
        <f>IFERROR(VLOOKUP(H21,$B$3:$F$62,5,FALSE),"")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3" t="s">
        <v>60</v>
      </c>
      <c r="C22" s="41" t="s">
        <v>4</v>
      </c>
      <c r="D22" s="42">
        <v>0.64419999999999999</v>
      </c>
      <c r="E22" s="24" t="str">
        <f>IF(IF(B22="MDZ140R","",IFERROR((SUMIF($B$3:$B$65,"MDZ140R",$F$3:$F$65)*INDEX($Q$20:$Q$77,MATCH(B22,$N$20:$N$77,0))),""))=0,"",IF(B22="MDZ140R","",IFERROR((SUMIF($B$3:$B$65,"MDZ140R",$F$3:$F$65)*INDEX($Q$20:$Q$77,MATCH(B22,$N$20:$N$77,0))),"")))</f>
        <v/>
      </c>
      <c r="F22" s="42">
        <f t="shared" si="0"/>
        <v>0.64419999999999999</v>
      </c>
      <c r="H22" s="197" t="s">
        <v>70</v>
      </c>
      <c r="I22" s="214" t="str">
        <f>IFERROR(VLOOKUP(H22,$B$3:$F$62,5,FALSE),"")</f>
        <v/>
      </c>
      <c r="J22" s="198">
        <f>SUM(I22:I33)</f>
        <v>4.2599999999999999E-2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6"/>
      <c r="C23" s="180"/>
      <c r="D23" s="181"/>
      <c r="E23" s="182"/>
      <c r="F23" s="181"/>
      <c r="H23" s="199" t="s">
        <v>336</v>
      </c>
      <c r="I23" s="217">
        <v>4.2599999999999999E-2</v>
      </c>
      <c r="J23" s="186"/>
      <c r="L23" s="183"/>
      <c r="M23" s="183"/>
      <c r="N23" s="183"/>
      <c r="O23" s="183"/>
      <c r="P23" s="185"/>
      <c r="Q23" s="186"/>
      <c r="R23" s="183"/>
    </row>
    <row r="24" spans="2:18" s="1" customFormat="1" x14ac:dyDescent="0.3">
      <c r="B24" s="43" t="s">
        <v>114</v>
      </c>
      <c r="C24" s="41" t="s">
        <v>115</v>
      </c>
      <c r="D24" s="42">
        <v>4.3999999999999997E-2</v>
      </c>
      <c r="E24" s="24" t="str">
        <f>IF(IF(B24="MDZ140R","",IFERROR((SUMIF($B$3:$B$65,"MDZ140R",$F$3:$F$65)*INDEX($Q$20:$Q$77,MATCH(B24,$N$20:$N$77,0))),""))=0,"",IF(B24="MDZ140R","",IFERROR((SUMIF($B$3:$B$65,"MDZ140R",$F$3:$F$65)*INDEX($Q$20:$Q$77,MATCH(B24,$N$20:$N$77,0))),"")))</f>
        <v/>
      </c>
      <c r="F24" s="42">
        <f t="shared" si="0"/>
        <v>4.3999999999999997E-2</v>
      </c>
      <c r="H24" s="192"/>
      <c r="I24" s="214" t="str">
        <f>IFERROR(VLOOKUP(H24,$B$3:$F$62,5,FALSE),"")</f>
        <v/>
      </c>
      <c r="J24" s="204"/>
      <c r="L24" s="56"/>
      <c r="M24" s="56"/>
      <c r="N24" s="56" t="s">
        <v>14</v>
      </c>
      <c r="O24" s="56" t="s">
        <v>15</v>
      </c>
      <c r="P24" s="125">
        <v>5</v>
      </c>
      <c r="Q24" s="126">
        <v>2.7321999999999999E-2</v>
      </c>
      <c r="R24" s="56"/>
    </row>
    <row r="25" spans="2:18" s="1" customFormat="1" x14ac:dyDescent="0.3">
      <c r="B25" s="43" t="s">
        <v>116</v>
      </c>
      <c r="C25" s="41" t="s">
        <v>117</v>
      </c>
      <c r="D25" s="42">
        <v>0.57379999999999998</v>
      </c>
      <c r="E25" s="24" t="str">
        <f>IF(IF(B25="MDZ140R","",IFERROR((SUMIF($B$3:$B$65,"MDZ140R",$F$3:$F$65)*INDEX($Q$20:$Q$77,MATCH(B25,$N$20:$N$77,0))),""))=0,"",IF(B25="MDZ140R","",IFERROR((SUMIF($B$3:$B$65,"MDZ140R",$F$3:$F$65)*INDEX($Q$20:$Q$77,MATCH(B25,$N$20:$N$77,0))),"")))</f>
        <v/>
      </c>
      <c r="F25" s="42">
        <f t="shared" si="0"/>
        <v>0.57379999999999998</v>
      </c>
      <c r="H25" s="192"/>
      <c r="I25" s="214" t="str">
        <f>IFERROR(VLOOKUP(H25,$B$3:$F$62,5,FALSE),"")</f>
        <v/>
      </c>
      <c r="J25" s="204"/>
      <c r="L25" s="56"/>
      <c r="M25" s="56"/>
      <c r="N25" s="56" t="s">
        <v>60</v>
      </c>
      <c r="O25" s="56" t="s">
        <v>4</v>
      </c>
      <c r="P25" s="125">
        <v>2</v>
      </c>
      <c r="Q25" s="126">
        <v>1.0928999999999999E-2</v>
      </c>
      <c r="R25" s="56"/>
    </row>
    <row r="26" spans="2:18" s="1" customFormat="1" x14ac:dyDescent="0.3">
      <c r="B26" s="43" t="s">
        <v>62</v>
      </c>
      <c r="C26" s="41" t="s">
        <v>6</v>
      </c>
      <c r="D26" s="42">
        <v>4.2200000000000001E-2</v>
      </c>
      <c r="E26" s="24" t="str">
        <f>IF(IF(B26="MDZ140R","",IFERROR((SUMIF($B$3:$B$65,"MDZ140R",$F$3:$F$65)*INDEX($Q$20:$Q$77,MATCH(B26,$N$20:$N$77,0))),""))=0,"",IF(B26="MDZ140R","",IFERROR((SUMIF($B$3:$B$65,"MDZ140R",$F$3:$F$65)*INDEX($Q$20:$Q$77,MATCH(B26,$N$20:$N$77,0))),"")))</f>
        <v/>
      </c>
      <c r="F26" s="42">
        <f t="shared" si="0"/>
        <v>4.2200000000000001E-2</v>
      </c>
      <c r="H26" s="192"/>
      <c r="I26" s="214" t="str">
        <f>IFERROR(VLOOKUP(H26,$B$3:$F$62,5,FALSE),"")</f>
        <v/>
      </c>
      <c r="J26" s="204"/>
      <c r="L26" s="56"/>
      <c r="M26" s="56"/>
      <c r="N26" s="56" t="s">
        <v>61</v>
      </c>
      <c r="O26" s="56" t="s">
        <v>5</v>
      </c>
      <c r="P26" s="125">
        <v>2</v>
      </c>
      <c r="Q26" s="126">
        <v>1.0928999999999999E-2</v>
      </c>
      <c r="R26" s="56"/>
    </row>
    <row r="27" spans="2:18" s="1" customFormat="1" x14ac:dyDescent="0.3">
      <c r="B27" s="43" t="s">
        <v>48</v>
      </c>
      <c r="C27" s="41" t="s">
        <v>49</v>
      </c>
      <c r="D27" s="42">
        <v>1.8800000000000001E-2</v>
      </c>
      <c r="E27" s="24" t="str">
        <f>IF(IF(B27="MDZ140R","",IFERROR((SUMIF($B$3:$B$65,"MDZ140R",$F$3:$F$65)*INDEX($Q$20:$Q$77,MATCH(B27,$N$20:$N$77,0))),""))=0,"",IF(B27="MDZ140R","",IFERROR((SUMIF($B$3:$B$65,"MDZ140R",$F$3:$F$65)*INDEX($Q$20:$Q$77,MATCH(B27,$N$20:$N$77,0))),"")))</f>
        <v/>
      </c>
      <c r="F27" s="42">
        <f t="shared" si="0"/>
        <v>1.8800000000000001E-2</v>
      </c>
      <c r="H27" s="192"/>
      <c r="I27" s="214" t="str">
        <f>IFERROR(VLOOKUP(H27,$B$3:$F$62,5,FALSE),"")</f>
        <v/>
      </c>
      <c r="J27" s="204"/>
      <c r="L27" s="56"/>
      <c r="M27" s="56"/>
      <c r="N27" s="56" t="s">
        <v>18</v>
      </c>
      <c r="O27" s="56" t="s">
        <v>110</v>
      </c>
      <c r="P27" s="125">
        <v>4</v>
      </c>
      <c r="Q27" s="126">
        <v>2.1857999999999999E-2</v>
      </c>
      <c r="R27" s="56"/>
    </row>
    <row r="28" spans="2:18" s="1" customFormat="1" x14ac:dyDescent="0.3">
      <c r="B28" s="43" t="s">
        <v>63</v>
      </c>
      <c r="C28" s="41" t="s">
        <v>191</v>
      </c>
      <c r="D28" s="42">
        <v>0.45090000000000002</v>
      </c>
      <c r="E28" s="24" t="str">
        <f>IF(IF(B28="MDZ140R","",IFERROR((SUMIF($B$3:$B$65,"MDZ140R",$F$3:$F$65)*INDEX($Q$20:$Q$77,MATCH(B28,$N$20:$N$77,0))),""))=0,"",IF(B28="MDZ140R","",IFERROR((SUMIF($B$3:$B$65,"MDZ140R",$F$3:$F$65)*INDEX($Q$20:$Q$77,MATCH(B28,$N$20:$N$77,0))),"")))</f>
        <v/>
      </c>
      <c r="F28" s="42">
        <f t="shared" si="0"/>
        <v>0.45090000000000002</v>
      </c>
      <c r="H28" s="192"/>
      <c r="I28" s="214" t="str">
        <f>IFERROR(VLOOKUP(H28,$B$3:$F$62,5,FALSE),"")</f>
        <v/>
      </c>
      <c r="J28" s="204"/>
      <c r="L28" s="56"/>
      <c r="M28" s="56"/>
      <c r="N28" s="56" t="s">
        <v>24</v>
      </c>
      <c r="O28" s="56" t="s">
        <v>111</v>
      </c>
      <c r="P28" s="125">
        <v>1</v>
      </c>
      <c r="Q28" s="126">
        <v>5.4640000000000001E-3</v>
      </c>
      <c r="R28" s="56"/>
    </row>
    <row r="29" spans="2:18" s="1" customFormat="1" x14ac:dyDescent="0.3">
      <c r="B29" s="43" t="s">
        <v>131</v>
      </c>
      <c r="C29" s="41" t="s">
        <v>132</v>
      </c>
      <c r="D29" s="42">
        <v>0.74070000000000003</v>
      </c>
      <c r="E29" s="24" t="str">
        <f>IF(IF(B29="MDZ140R","",IFERROR((SUMIF($B$3:$B$65,"MDZ140R",$F$3:$F$65)*INDEX($Q$20:$Q$77,MATCH(B29,$N$20:$N$77,0))),""))=0,"",IF(B29="MDZ140R","",IFERROR((SUMIF($B$3:$B$65,"MDZ140R",$F$3:$F$65)*INDEX($Q$20:$Q$77,MATCH(B29,$N$20:$N$77,0))),"")))</f>
        <v/>
      </c>
      <c r="F29" s="42">
        <f t="shared" si="0"/>
        <v>0.74070000000000003</v>
      </c>
      <c r="H29" s="192"/>
      <c r="I29" s="214" t="str">
        <f>IFERROR(VLOOKUP(H29,$B$3:$F$62,5,FALSE),"")</f>
        <v/>
      </c>
      <c r="J29" s="204"/>
      <c r="L29" s="56"/>
      <c r="M29" s="56"/>
      <c r="N29" s="56" t="s">
        <v>64</v>
      </c>
      <c r="O29" s="127">
        <v>4020</v>
      </c>
      <c r="P29" s="125">
        <v>3</v>
      </c>
      <c r="Q29" s="126">
        <v>1.6393000000000001E-2</v>
      </c>
      <c r="R29" s="56"/>
    </row>
    <row r="30" spans="2:18" s="1" customFormat="1" x14ac:dyDescent="0.3">
      <c r="B30" s="43" t="s">
        <v>64</v>
      </c>
      <c r="C30" s="41" t="s">
        <v>192</v>
      </c>
      <c r="D30" s="42">
        <v>0.30599999999999999</v>
      </c>
      <c r="E30" s="24" t="str">
        <f>IF(IF(B30="MDZ140R","",IFERROR((SUMIF($B$3:$B$65,"MDZ140R",$F$3:$F$65)*INDEX($Q$20:$Q$77,MATCH(B30,$N$20:$N$77,0))),""))=0,"",IF(B30="MDZ140R","",IFERROR((SUMIF($B$3:$B$65,"MDZ140R",$F$3:$F$65)*INDEX($Q$20:$Q$77,MATCH(B30,$N$20:$N$77,0))),"")))</f>
        <v/>
      </c>
      <c r="F30" s="42">
        <f t="shared" si="0"/>
        <v>0.30599999999999999</v>
      </c>
      <c r="H30" s="205"/>
      <c r="I30" s="214" t="str">
        <f>IFERROR(VLOOKUP(H30,$B$3:$F$62,5,FALSE),"")</f>
        <v/>
      </c>
      <c r="J30" s="204"/>
      <c r="L30" s="56"/>
      <c r="M30" s="56"/>
      <c r="N30" s="56" t="s">
        <v>34</v>
      </c>
      <c r="O30" s="56" t="s">
        <v>112</v>
      </c>
      <c r="P30" s="125">
        <v>2</v>
      </c>
      <c r="Q30" s="126">
        <v>1.0928999999999999E-2</v>
      </c>
      <c r="R30" s="56"/>
    </row>
    <row r="31" spans="2:18" s="1" customFormat="1" x14ac:dyDescent="0.3">
      <c r="B31" s="43" t="s">
        <v>24</v>
      </c>
      <c r="C31" s="41" t="s">
        <v>193</v>
      </c>
      <c r="D31" s="42">
        <v>0.53129999999999999</v>
      </c>
      <c r="E31" s="24" t="str">
        <f>IF(IF(B31="MDZ140R","",IFERROR((SUMIF($B$3:$B$65,"MDZ140R",$F$3:$F$65)*INDEX($Q$20:$Q$77,MATCH(B31,$N$20:$N$77,0))),""))=0,"",IF(B31="MDZ140R","",IFERROR((SUMIF($B$3:$B$65,"MDZ140R",$F$3:$F$65)*INDEX($Q$20:$Q$77,MATCH(B31,$N$20:$N$77,0))),"")))</f>
        <v/>
      </c>
      <c r="F31" s="42">
        <f t="shared" si="0"/>
        <v>0.53129999999999999</v>
      </c>
      <c r="H31" s="192"/>
      <c r="I31" s="214" t="str">
        <f>IFERROR(VLOOKUP(H31,$B$3:$F$62,5,FALSE),"")</f>
        <v/>
      </c>
      <c r="J31" s="198"/>
      <c r="L31" s="56"/>
      <c r="M31" s="56"/>
      <c r="N31" s="56" t="s">
        <v>63</v>
      </c>
      <c r="O31" s="56" t="s">
        <v>23</v>
      </c>
      <c r="P31" s="125">
        <v>1</v>
      </c>
      <c r="Q31" s="126">
        <v>5.4640000000000001E-3</v>
      </c>
      <c r="R31" s="56"/>
    </row>
    <row r="32" spans="2:18" s="1" customFormat="1" x14ac:dyDescent="0.3">
      <c r="B32" s="43" t="s">
        <v>34</v>
      </c>
      <c r="C32" s="41" t="s">
        <v>35</v>
      </c>
      <c r="D32" s="42">
        <v>0.63449999999999995</v>
      </c>
      <c r="E32" s="24" t="str">
        <f>IF(IF(B32="MDZ140R","",IFERROR((SUMIF($B$3:$B$65,"MDZ140R",$F$3:$F$65)*INDEX($Q$20:$Q$77,MATCH(B32,$N$20:$N$77,0))),""))=0,"",IF(B32="MDZ140R","",IFERROR((SUMIF($B$3:$B$65,"MDZ140R",$F$3:$F$65)*INDEX($Q$20:$Q$77,MATCH(B32,$N$20:$N$77,0))),"")))</f>
        <v/>
      </c>
      <c r="F32" s="42">
        <f t="shared" si="0"/>
        <v>0.63449999999999995</v>
      </c>
      <c r="H32" s="192"/>
      <c r="I32" s="214" t="str">
        <f>IFERROR(VLOOKUP(H32,$B$3:$F$62,5,FALSE),"")</f>
        <v/>
      </c>
      <c r="J32" s="198"/>
      <c r="L32" s="56"/>
      <c r="M32" s="56"/>
      <c r="N32" s="56" t="s">
        <v>7</v>
      </c>
      <c r="O32" s="56" t="s">
        <v>8</v>
      </c>
      <c r="P32" s="125">
        <v>1</v>
      </c>
      <c r="Q32" s="126">
        <v>5.4640000000000001E-3</v>
      </c>
      <c r="R32" s="56"/>
    </row>
    <row r="33" spans="2:18" s="1" customFormat="1" x14ac:dyDescent="0.3">
      <c r="B33" s="43" t="s">
        <v>50</v>
      </c>
      <c r="C33" s="41" t="s">
        <v>51</v>
      </c>
      <c r="D33" s="42">
        <v>0.15</v>
      </c>
      <c r="E33" s="24" t="str">
        <f>IF(IF(B33="MDZ140R","",IFERROR((SUMIF($B$3:$B$65,"MDZ140R",$F$3:$F$65)*INDEX($Q$20:$Q$77,MATCH(B33,$N$20:$N$77,0))),""))=0,"",IF(B33="MDZ140R","",IFERROR((SUMIF($B$3:$B$65,"MDZ140R",$F$3:$F$65)*INDEX($Q$20:$Q$77,MATCH(B33,$N$20:$N$77,0))),"")))</f>
        <v/>
      </c>
      <c r="F33" s="42">
        <f t="shared" si="0"/>
        <v>0.15</v>
      </c>
      <c r="H33" s="189"/>
      <c r="I33" s="214" t="str">
        <f>IFERROR(VLOOKUP(H33,$B$3:$F$62,5,FALSE),"")</f>
        <v/>
      </c>
      <c r="J33" s="198"/>
      <c r="L33" s="56"/>
      <c r="M33" s="56"/>
      <c r="N33" s="56" t="s">
        <v>27</v>
      </c>
      <c r="O33" s="56" t="s">
        <v>113</v>
      </c>
      <c r="P33" s="125">
        <v>1</v>
      </c>
      <c r="Q33" s="126">
        <v>5.4640000000000001E-3</v>
      </c>
      <c r="R33" s="56"/>
    </row>
    <row r="34" spans="2:18" s="144" customFormat="1" x14ac:dyDescent="0.3">
      <c r="B34" s="176"/>
      <c r="C34" s="180"/>
      <c r="D34" s="181"/>
      <c r="E34" s="182"/>
      <c r="F34" s="181"/>
      <c r="H34" s="189" t="s">
        <v>72</v>
      </c>
      <c r="I34" s="216"/>
      <c r="J34" s="191">
        <f>SUM(I34:I76)</f>
        <v>0.41917500000000002</v>
      </c>
      <c r="L34" s="183"/>
      <c r="M34" s="183"/>
      <c r="N34" s="183"/>
      <c r="O34" s="183"/>
      <c r="P34" s="185"/>
      <c r="Q34" s="186"/>
      <c r="R34" s="183"/>
    </row>
    <row r="35" spans="2:18" s="144" customFormat="1" x14ac:dyDescent="0.3">
      <c r="B35" s="176"/>
      <c r="C35" s="180"/>
      <c r="D35" s="181"/>
      <c r="E35" s="182"/>
      <c r="F35" s="181"/>
      <c r="H35" s="183" t="s">
        <v>427</v>
      </c>
      <c r="I35" s="218">
        <v>0.41917500000000002</v>
      </c>
      <c r="J35" s="184"/>
      <c r="L35" s="183"/>
      <c r="M35" s="183"/>
      <c r="N35" s="183"/>
      <c r="O35" s="183"/>
      <c r="P35" s="185"/>
      <c r="Q35" s="186"/>
      <c r="R35" s="183"/>
    </row>
    <row r="36" spans="2:18" s="144" customFormat="1" x14ac:dyDescent="0.3">
      <c r="B36" s="176"/>
      <c r="C36" s="180"/>
      <c r="D36" s="181"/>
      <c r="E36" s="182"/>
      <c r="F36" s="181"/>
      <c r="H36" s="189"/>
      <c r="I36" s="214"/>
      <c r="J36" s="191"/>
      <c r="L36" s="183"/>
      <c r="M36" s="183"/>
      <c r="N36" s="183"/>
      <c r="O36" s="183"/>
      <c r="P36" s="185"/>
      <c r="Q36" s="186"/>
      <c r="R36" s="183"/>
    </row>
    <row r="37" spans="2:18" s="144" customFormat="1" x14ac:dyDescent="0.3">
      <c r="B37" s="176"/>
      <c r="C37" s="180"/>
      <c r="D37" s="181"/>
      <c r="E37" s="182"/>
      <c r="F37" s="181"/>
      <c r="H37" s="192"/>
      <c r="I37" s="214"/>
      <c r="J37" s="206"/>
      <c r="L37" s="183"/>
      <c r="M37" s="183"/>
      <c r="N37" s="183"/>
      <c r="O37" s="183"/>
      <c r="P37" s="185"/>
      <c r="Q37" s="186"/>
      <c r="R37" s="183"/>
    </row>
    <row r="38" spans="2:18" s="144" customFormat="1" x14ac:dyDescent="0.3">
      <c r="B38" s="176"/>
      <c r="C38" s="180"/>
      <c r="D38" s="181"/>
      <c r="E38" s="182"/>
      <c r="F38" s="181"/>
      <c r="H38" s="192"/>
      <c r="I38" s="214"/>
      <c r="J38" s="206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6"/>
      <c r="C39" s="180"/>
      <c r="D39" s="181"/>
      <c r="E39" s="182"/>
      <c r="F39" s="181"/>
      <c r="H39" s="192"/>
      <c r="I39" s="214" t="str">
        <f>IFERROR(VLOOKUP(H39,$B$3:$F$62,5,FALSE),"")</f>
        <v/>
      </c>
      <c r="J39" s="206"/>
      <c r="L39" s="183"/>
      <c r="M39" s="183"/>
      <c r="N39" s="183"/>
      <c r="O39" s="183"/>
      <c r="P39" s="185"/>
      <c r="Q39" s="186"/>
      <c r="R39" s="183"/>
    </row>
    <row r="40" spans="2:18" s="144" customFormat="1" x14ac:dyDescent="0.3">
      <c r="B40" s="43" t="s">
        <v>27</v>
      </c>
      <c r="C40" s="43" t="s">
        <v>28</v>
      </c>
      <c r="D40" s="42">
        <v>0.4899</v>
      </c>
      <c r="E40" s="24" t="str">
        <f>IF(IF(B40="MDZ140R","",IFERROR((SUMIF($B$3:$B$65,"MDZ140R",$F$3:$F$65)*INDEX($Q$20:$Q$77,MATCH(B40,$N$20:$N$77,0))),""))=0,"",IF(B40="MDZ140R","",IFERROR((SUMIF($B$3:$B$65,"MDZ140R",$F$3:$F$65)*INDEX($Q$20:$Q$77,MATCH(B40,$N$20:$N$77,0))),"")))</f>
        <v/>
      </c>
      <c r="F40" s="42">
        <f t="shared" ref="F40:F61" si="2">IF(D40="","",D40+ IF(E40="",0,E40))</f>
        <v>0.4899</v>
      </c>
      <c r="H40" s="192"/>
      <c r="I40" s="214" t="str">
        <f>IFERROR(VLOOKUP(H40,$B$3:$F$62,5,FALSE),"")</f>
        <v/>
      </c>
      <c r="J40" s="206"/>
      <c r="L40" s="145"/>
      <c r="M40" s="145"/>
      <c r="N40" s="145"/>
      <c r="O40" s="145"/>
      <c r="P40" s="147"/>
      <c r="Q40" s="148"/>
      <c r="R40" s="145"/>
    </row>
    <row r="41" spans="2:18" s="1" customFormat="1" x14ac:dyDescent="0.3">
      <c r="B41" s="89" t="s">
        <v>135</v>
      </c>
      <c r="C41" s="43" t="s">
        <v>136</v>
      </c>
      <c r="D41" s="42">
        <v>0.92349999999999999</v>
      </c>
      <c r="E41" s="24" t="str">
        <f>IF(IF(B41="MDZ140R","",IFERROR((SUMIF($B$3:$B$65,"MDZ140R",$F$3:$F$65)*INDEX($Q$20:$Q$77,MATCH(B41,$N$20:$N$77,0))),""))=0,"",IF(B41="MDZ140R","",IFERROR((SUMIF($B$3:$B$65,"MDZ140R",$F$3:$F$65)*INDEX($Q$20:$Q$77,MATCH(B41,$N$20:$N$77,0))),"")))</f>
        <v/>
      </c>
      <c r="F41" s="42">
        <f t="shared" si="2"/>
        <v>0.92349999999999999</v>
      </c>
      <c r="H41" s="192"/>
      <c r="I41" s="214" t="str">
        <f>IFERROR(VLOOKUP(H41,$B$3:$F$62,5,FALSE),"")</f>
        <v/>
      </c>
      <c r="J41" s="206"/>
      <c r="L41" s="56"/>
      <c r="M41" s="56"/>
      <c r="N41" s="56"/>
      <c r="O41" s="56"/>
      <c r="P41" s="125"/>
      <c r="Q41" s="126"/>
      <c r="R41" s="56"/>
    </row>
    <row r="42" spans="2:18" s="1" customFormat="1" x14ac:dyDescent="0.3">
      <c r="B42" s="89" t="s">
        <v>123</v>
      </c>
      <c r="C42" s="43" t="s">
        <v>124</v>
      </c>
      <c r="D42" s="42">
        <v>0.78769999999999996</v>
      </c>
      <c r="E42" s="24" t="str">
        <f>IF(IF(B42="MDZ140R","",IFERROR((SUMIF($B$3:$B$65,"MDZ140R",$F$3:$F$65)*INDEX($Q$20:$Q$77,MATCH(B42,$N$20:$N$77,0))),""))=0,"",IF(B42="MDZ140R","",IFERROR((SUMIF($B$3:$B$65,"MDZ140R",$F$3:$F$65)*INDEX($Q$20:$Q$77,MATCH(B42,$N$20:$N$77,0))),"")))</f>
        <v/>
      </c>
      <c r="F42" s="42">
        <f t="shared" si="2"/>
        <v>0.78769999999999996</v>
      </c>
      <c r="H42" s="192"/>
      <c r="I42" s="214" t="str">
        <f>IFERROR(VLOOKUP(H42,$B$3:$F$62,5,FALSE),"")</f>
        <v/>
      </c>
      <c r="J42" s="206"/>
      <c r="L42" s="56"/>
      <c r="M42" s="56"/>
      <c r="N42" s="56"/>
      <c r="O42" s="56"/>
      <c r="P42" s="125"/>
      <c r="Q42" s="126"/>
      <c r="R42" s="56"/>
    </row>
    <row r="43" spans="2:18" s="1" customFormat="1" x14ac:dyDescent="0.3">
      <c r="B43" s="89" t="s">
        <v>125</v>
      </c>
      <c r="C43" s="43" t="s">
        <v>126</v>
      </c>
      <c r="D43" s="42">
        <v>0.15160000000000001</v>
      </c>
      <c r="E43" s="24" t="str">
        <f>IF(IF(B43="MDZ140R","",IFERROR((SUMIF($B$3:$B$65,"MDZ140R",$F$3:$F$65)*INDEX($Q$20:$Q$77,MATCH(B43,$N$20:$N$77,0))),""))=0,"",IF(B43="MDZ140R","",IFERROR((SUMIF($B$3:$B$65,"MDZ140R",$F$3:$F$65)*INDEX($Q$20:$Q$77,MATCH(B43,$N$20:$N$77,0))),"")))</f>
        <v/>
      </c>
      <c r="F43" s="42">
        <f t="shared" si="2"/>
        <v>0.15160000000000001</v>
      </c>
      <c r="H43" s="192"/>
      <c r="I43" s="214" t="str">
        <f>IFERROR(VLOOKUP(H43,$B$3:$F$62,5,FALSE),"")</f>
        <v/>
      </c>
      <c r="J43" s="206"/>
      <c r="L43" s="56"/>
      <c r="M43" s="56"/>
      <c r="N43" s="56"/>
      <c r="O43" s="56"/>
      <c r="P43" s="125"/>
      <c r="Q43" s="126"/>
      <c r="R43" s="56"/>
    </row>
    <row r="44" spans="2:18" s="1" customFormat="1" x14ac:dyDescent="0.3">
      <c r="B44" s="89" t="s">
        <v>65</v>
      </c>
      <c r="C44" s="43" t="s">
        <v>40</v>
      </c>
      <c r="D44" s="42">
        <v>0.29759999999999998</v>
      </c>
      <c r="E44" s="24" t="str">
        <f>IF(IF(B44="MDZ140R","",IFERROR((SUMIF($B$3:$B$65,"MDZ140R",$F$3:$F$65)*INDEX($Q$20:$Q$77,MATCH(B44,$N$20:$N$77,0))),""))=0,"",IF(B44="MDZ140R","",IFERROR((SUMIF($B$3:$B$65,"MDZ140R",$F$3:$F$65)*INDEX($Q$20:$Q$77,MATCH(B44,$N$20:$N$77,0))),"")))</f>
        <v/>
      </c>
      <c r="F44" s="42">
        <f t="shared" si="2"/>
        <v>0.29759999999999998</v>
      </c>
      <c r="H44" s="192"/>
      <c r="I44" s="214" t="str">
        <f>IFERROR(VLOOKUP(H44,$B$3:$F$62,5,FALSE),"")</f>
        <v/>
      </c>
      <c r="J44" s="206"/>
      <c r="L44" s="56"/>
      <c r="M44" s="56"/>
      <c r="N44" s="56"/>
      <c r="O44" s="56"/>
      <c r="P44" s="125"/>
      <c r="Q44" s="126"/>
      <c r="R44" s="56"/>
    </row>
    <row r="45" spans="2:18" s="1" customFormat="1" x14ac:dyDescent="0.3">
      <c r="B45" s="89" t="s">
        <v>41</v>
      </c>
      <c r="C45" s="43" t="s">
        <v>66</v>
      </c>
      <c r="D45" s="42">
        <v>0.9909</v>
      </c>
      <c r="E45" s="24" t="str">
        <f>IF(IF(B45="MDZ140R","",IFERROR((SUMIF($B$3:$B$65,"MDZ140R",$F$3:$F$65)*INDEX($Q$20:$Q$77,MATCH(B45,$N$20:$N$77,0))),""))=0,"",IF(B45="MDZ140R","",IFERROR((SUMIF($B$3:$B$65,"MDZ140R",$F$3:$F$65)*INDEX($Q$20:$Q$77,MATCH(B45,$N$20:$N$77,0))),"")))</f>
        <v/>
      </c>
      <c r="F45" s="42">
        <f t="shared" si="2"/>
        <v>0.9909</v>
      </c>
      <c r="H45" s="192"/>
      <c r="I45" s="214" t="str">
        <f>IFERROR(VLOOKUP(H45,$B$3:$F$62,5,FALSE),"")</f>
        <v/>
      </c>
      <c r="J45" s="206"/>
      <c r="L45" s="56"/>
      <c r="M45" s="56"/>
      <c r="N45" s="56"/>
      <c r="O45" s="56"/>
      <c r="P45" s="125"/>
      <c r="Q45" s="126"/>
      <c r="R45" s="56"/>
    </row>
    <row r="46" spans="2:18" s="1" customFormat="1" x14ac:dyDescent="0.3">
      <c r="B46" s="89" t="s">
        <v>42</v>
      </c>
      <c r="C46" s="43" t="s">
        <v>43</v>
      </c>
      <c r="D46" s="42">
        <v>7.8100000000000003E-2</v>
      </c>
      <c r="E46" s="24" t="str">
        <f>IF(IF(B46="MDZ140R","",IFERROR((SUMIF($B$3:$B$65,"MDZ140R",$F$3:$F$65)*INDEX($Q$20:$Q$77,MATCH(B46,$N$20:$N$77,0))),""))=0,"",IF(B46="MDZ140R","",IFERROR((SUMIF($B$3:$B$65,"MDZ140R",$F$3:$F$65)*INDEX($Q$20:$Q$77,MATCH(B46,$N$20:$N$77,0))),"")))</f>
        <v/>
      </c>
      <c r="F46" s="42">
        <f t="shared" si="2"/>
        <v>7.8100000000000003E-2</v>
      </c>
      <c r="H46" s="192"/>
      <c r="I46" s="214" t="str">
        <f>IFERROR(VLOOKUP(H46,$B$3:$F$62,5,FALSE),"")</f>
        <v/>
      </c>
      <c r="J46" s="206"/>
      <c r="L46" s="56"/>
      <c r="M46" s="56"/>
      <c r="N46" s="56"/>
      <c r="O46" s="56"/>
      <c r="P46" s="125"/>
      <c r="Q46" s="126"/>
      <c r="R46" s="56"/>
    </row>
    <row r="47" spans="2:18" s="1" customFormat="1" x14ac:dyDescent="0.3">
      <c r="B47" s="89" t="s">
        <v>29</v>
      </c>
      <c r="C47" s="43" t="s">
        <v>30</v>
      </c>
      <c r="D47" s="42">
        <v>6.0299999999999999E-2</v>
      </c>
      <c r="E47" s="24" t="str">
        <f>IF(IF(B47="MDZ140R","",IFERROR((SUMIF($B$3:$B$65,"MDZ140R",$F$3:$F$65)*INDEX($Q$20:$Q$77,MATCH(B47,$N$20:$N$77,0))),""))=0,"",IF(B47="MDZ140R","",IFERROR((SUMIF($B$3:$B$65,"MDZ140R",$F$3:$F$65)*INDEX($Q$20:$Q$77,MATCH(B47,$N$20:$N$77,0))),"")))</f>
        <v/>
      </c>
      <c r="F47" s="42">
        <f t="shared" si="2"/>
        <v>6.0299999999999999E-2</v>
      </c>
      <c r="H47" s="192"/>
      <c r="I47" s="214" t="str">
        <f>IFERROR(VLOOKUP(H47,$B$3:$F$62,5,FALSE),"")</f>
        <v/>
      </c>
      <c r="J47" s="206"/>
      <c r="L47" s="56"/>
      <c r="M47" s="56"/>
      <c r="N47" s="56"/>
      <c r="O47" s="56"/>
      <c r="P47" s="125"/>
      <c r="Q47" s="126"/>
      <c r="R47" s="56"/>
    </row>
    <row r="48" spans="2:18" s="1" customFormat="1" x14ac:dyDescent="0.3">
      <c r="B48" s="89" t="s">
        <v>16</v>
      </c>
      <c r="C48" s="43" t="s">
        <v>17</v>
      </c>
      <c r="D48" s="42">
        <v>0.71099999999999997</v>
      </c>
      <c r="E48" s="24" t="str">
        <f>IF(IF(B48="MDZ140R","",IFERROR((SUMIF($B$3:$B$65,"MDZ140R",$F$3:$F$65)*INDEX($Q$20:$Q$77,MATCH(B48,$N$20:$N$77,0))),""))=0,"",IF(B48="MDZ140R","",IFERROR((SUMIF($B$3:$B$65,"MDZ140R",$F$3:$F$65)*INDEX($Q$20:$Q$77,MATCH(B48,$N$20:$N$77,0))),"")))</f>
        <v/>
      </c>
      <c r="F48" s="42">
        <f t="shared" si="2"/>
        <v>0.71099999999999997</v>
      </c>
      <c r="H48" s="192"/>
      <c r="I48" s="214" t="str">
        <f>IFERROR(VLOOKUP(H48,$B$3:$F$62,5,FALSE),"")</f>
        <v/>
      </c>
      <c r="J48" s="206"/>
      <c r="L48" s="56"/>
      <c r="M48" s="56"/>
      <c r="N48" s="56"/>
      <c r="O48" s="56"/>
      <c r="P48" s="125"/>
      <c r="Q48" s="126"/>
      <c r="R48" s="56"/>
    </row>
    <row r="49" spans="2:18" s="1" customFormat="1" x14ac:dyDescent="0.3">
      <c r="B49" s="89" t="s">
        <v>18</v>
      </c>
      <c r="C49" s="43" t="s">
        <v>19</v>
      </c>
      <c r="D49" s="42">
        <v>0.96409999999999996</v>
      </c>
      <c r="E49" s="24" t="str">
        <f>IF(IF(B49="MDZ140R","",IFERROR((SUMIF($B$3:$B$65,"MDZ140R",$F$3:$F$65)*INDEX($Q$20:$Q$77,MATCH(B49,$N$20:$N$77,0))),""))=0,"",IF(B49="MDZ140R","",IFERROR((SUMIF($B$3:$B$65,"MDZ140R",$F$3:$F$65)*INDEX($Q$20:$Q$77,MATCH(B49,$N$20:$N$77,0))),"")))</f>
        <v/>
      </c>
      <c r="F49" s="42">
        <f t="shared" si="2"/>
        <v>0.96409999999999996</v>
      </c>
      <c r="H49" s="192"/>
      <c r="I49" s="214" t="str">
        <f>IFERROR(VLOOKUP(H49,$B$3:$F$62,5,FALSE),"")</f>
        <v/>
      </c>
      <c r="J49" s="206"/>
      <c r="L49" s="56"/>
      <c r="M49" s="56"/>
      <c r="N49" s="56"/>
      <c r="O49" s="56"/>
      <c r="P49" s="125"/>
      <c r="Q49" s="126"/>
      <c r="R49" s="56"/>
    </row>
    <row r="50" spans="2:18" s="1" customFormat="1" x14ac:dyDescent="0.3">
      <c r="B50" s="89" t="s">
        <v>45</v>
      </c>
      <c r="C50" s="43" t="s">
        <v>183</v>
      </c>
      <c r="D50" s="42">
        <v>1.8800000000000001E-2</v>
      </c>
      <c r="E50" s="24" t="str">
        <f>IF(IF(B50="MDZ140R","",IFERROR((SUMIF($B$3:$B$65,"MDZ140R",$F$3:$F$65)*INDEX($Q$20:$Q$77,MATCH(B50,$N$20:$N$77,0))),""))=0,"",IF(B50="MDZ140R","",IFERROR((SUMIF($B$3:$B$65,"MDZ140R",$F$3:$F$65)*INDEX($Q$20:$Q$77,MATCH(B50,$N$20:$N$77,0))),"")))</f>
        <v/>
      </c>
      <c r="F50" s="42">
        <f t="shared" si="2"/>
        <v>1.8800000000000001E-2</v>
      </c>
      <c r="H50" s="192"/>
      <c r="I50" s="214" t="str">
        <f>IFERROR(VLOOKUP(H50,$B$3:$F$62,5,FALSE),"")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53</v>
      </c>
      <c r="C51" s="43" t="s">
        <v>54</v>
      </c>
      <c r="D51" s="42">
        <v>0.45419999999999999</v>
      </c>
      <c r="E51" s="24" t="str">
        <f>IF(IF(B51="MDZ140R","",IFERROR((SUMIF($B$3:$B$65,"MDZ140R",$F$3:$F$65)*INDEX($Q$20:$Q$77,MATCH(B51,$N$20:$N$77,0))),""))=0,"",IF(B51="MDZ140R","",IFERROR((SUMIF($B$3:$B$65,"MDZ140R",$F$3:$F$65)*INDEX($Q$20:$Q$77,MATCH(B51,$N$20:$N$77,0))),"")))</f>
        <v/>
      </c>
      <c r="F51" s="42">
        <f t="shared" si="2"/>
        <v>0.45419999999999999</v>
      </c>
      <c r="H51" s="192"/>
      <c r="I51" s="214" t="str">
        <f>IFERROR(VLOOKUP(H51,$B$3:$F$62,5,FALSE),"")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52</v>
      </c>
      <c r="C52" s="43" t="s">
        <v>184</v>
      </c>
      <c r="D52" s="42">
        <v>0.81640000000000001</v>
      </c>
      <c r="E52" s="24" t="str">
        <f>IF(IF(B52="MDZ140R","",IFERROR((SUMIF($B$3:$B$65,"MDZ140R",$F$3:$F$65)*INDEX($Q$20:$Q$77,MATCH(B52,$N$20:$N$77,0))),""))=0,"",IF(B52="MDZ140R","",IFERROR((SUMIF($B$3:$B$65,"MDZ140R",$F$3:$F$65)*INDEX($Q$20:$Q$77,MATCH(B52,$N$20:$N$77,0))),"")))</f>
        <v/>
      </c>
      <c r="F52" s="42">
        <f t="shared" si="2"/>
        <v>0.81640000000000001</v>
      </c>
      <c r="H52" s="192"/>
      <c r="I52" s="214" t="str">
        <f>IFERROR(VLOOKUP(H52,$B$3:$F$62,5,FALSE),"")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55</v>
      </c>
      <c r="C53" s="43" t="s">
        <v>56</v>
      </c>
      <c r="D53" s="42">
        <v>0.84370000000000001</v>
      </c>
      <c r="E53" s="24" t="str">
        <f>IF(IF(B53="MDZ140R","",IFERROR((SUMIF($B$3:$B$65,"MDZ140R",$F$3:$F$65)*INDEX($Q$20:$Q$77,MATCH(B53,$N$20:$N$77,0))),""))=0,"",IF(B53="MDZ140R","",IFERROR((SUMIF($B$3:$B$65,"MDZ140R",$F$3:$F$65)*INDEX($Q$20:$Q$77,MATCH(B53,$N$20:$N$77,0))),"")))</f>
        <v/>
      </c>
      <c r="F53" s="42">
        <f t="shared" si="2"/>
        <v>0.84370000000000001</v>
      </c>
      <c r="H53" s="192"/>
      <c r="I53" s="214" t="str">
        <f>IFERROR(VLOOKUP(H53,$B$3:$F$62,5,FALSE),"")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 t="s">
        <v>137</v>
      </c>
      <c r="C54" s="43" t="s">
        <v>138</v>
      </c>
      <c r="D54" s="42">
        <v>0.98529999999999995</v>
      </c>
      <c r="E54" s="24" t="str">
        <f>IF(IF(B54="MDZ140R","",IFERROR((SUMIF($B$3:$B$65,"MDZ140R",$F$3:$F$65)*INDEX($Q$20:$Q$77,MATCH(B54,$N$20:$N$77,0))),""))=0,"",IF(B54="MDZ140R","",IFERROR((SUMIF($B$3:$B$65,"MDZ140R",$F$3:$F$65)*INDEX($Q$20:$Q$77,MATCH(B54,$N$20:$N$77,0))),"")))</f>
        <v/>
      </c>
      <c r="F54" s="42">
        <f t="shared" si="2"/>
        <v>0.98529999999999995</v>
      </c>
      <c r="H54" s="192"/>
      <c r="I54" s="214" t="str">
        <f>IFERROR(VLOOKUP(H54,$B$3:$F$62,5,FALSE),"")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 t="s">
        <v>139</v>
      </c>
      <c r="C55" s="43" t="s">
        <v>188</v>
      </c>
      <c r="D55" s="42">
        <v>0.73009999999999997</v>
      </c>
      <c r="E55" s="24" t="str">
        <f>IF(IF(B55="MDZ140R","",IFERROR((SUMIF($B$3:$B$65,"MDZ140R",$F$3:$F$65)*INDEX($Q$20:$Q$77,MATCH(B55,$N$20:$N$77,0))),""))=0,"",IF(B55="MDZ140R","",IFERROR((SUMIF($B$3:$B$65,"MDZ140R",$F$3:$F$65)*INDEX($Q$20:$Q$77,MATCH(B55,$N$20:$N$77,0))),"")))</f>
        <v/>
      </c>
      <c r="F55" s="42">
        <f t="shared" si="2"/>
        <v>0.73009999999999997</v>
      </c>
      <c r="H55" s="192"/>
      <c r="I55" s="214" t="str">
        <f>IFERROR(VLOOKUP(H55,$B$3:$F$62,5,FALSE),"")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 t="s">
        <v>141</v>
      </c>
      <c r="C56" s="43" t="s">
        <v>142</v>
      </c>
      <c r="D56" s="42">
        <v>8.4599999999999995E-2</v>
      </c>
      <c r="E56" s="24" t="str">
        <f>IF(IF(B56="MDZ140R","",IFERROR((SUMIF($B$3:$B$65,"MDZ140R",$F$3:$F$65)*INDEX($Q$20:$Q$77,MATCH(B56,$N$20:$N$77,0))),""))=0,"",IF(B56="MDZ140R","",IFERROR((SUMIF($B$3:$B$65,"MDZ140R",$F$3:$F$65)*INDEX($Q$20:$Q$77,MATCH(B56,$N$20:$N$77,0))),"")))</f>
        <v/>
      </c>
      <c r="F56" s="42">
        <f t="shared" si="2"/>
        <v>8.4599999999999995E-2</v>
      </c>
      <c r="H56" s="192"/>
      <c r="I56" s="214" t="str">
        <f>IFERROR(VLOOKUP(H56,$B$3:$F$62,5,FALSE),"")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/>
      <c r="C57" s="43"/>
      <c r="D57" s="42"/>
      <c r="E57" s="24" t="str">
        <f>IF(IF(B57="MDZ140R","",IFERROR((SUMIF($B$3:$B$65,"MDZ140R",$F$3:$F$65)*INDEX($Q$20:$Q$77,MATCH(B57,$N$20:$N$77,0))),""))=0,"",IF(B57="MDZ140R","",IFERROR((SUMIF($B$3:$B$65,"MDZ140R",$F$3:$F$65)*INDEX($Q$20:$Q$77,MATCH(B57,$N$20:$N$77,0))),"")))</f>
        <v/>
      </c>
      <c r="F57" s="42" t="str">
        <f t="shared" si="2"/>
        <v/>
      </c>
      <c r="H57" s="192"/>
      <c r="I57" s="214" t="str">
        <f>IFERROR(VLOOKUP(H57,$B$3:$F$62,5,FALSE),"")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/>
      <c r="C58" s="43"/>
      <c r="D58" s="42"/>
      <c r="E58" s="24" t="str">
        <f>IF(IF(B58="MDZ140R","",IFERROR((SUMIF($B$3:$B$65,"MDZ140R",$F$3:$F$65)*INDEX($Q$20:$Q$77,MATCH(B58,$N$20:$N$77,0))),""))=0,"",IF(B58="MDZ140R","",IFERROR((SUMIF($B$3:$B$65,"MDZ140R",$F$3:$F$65)*INDEX($Q$20:$Q$77,MATCH(B58,$N$20:$N$77,0))),"")))</f>
        <v/>
      </c>
      <c r="F58" s="42" t="str">
        <f t="shared" si="2"/>
        <v/>
      </c>
      <c r="H58" s="192"/>
      <c r="I58" s="214" t="str">
        <f>IFERROR(VLOOKUP(H58,$B$3:$F$62,5,FALSE),"")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/>
      <c r="C59" s="43"/>
      <c r="D59" s="42"/>
      <c r="E59" s="24" t="str">
        <f>IF(IF(B59="MDZ140R","",IFERROR((SUMIF($B$3:$B$65,"MDZ140R",$F$3:$F$65)*INDEX($Q$20:$Q$77,MATCH(B59,$N$20:$N$77,0))),""))=0,"",IF(B59="MDZ140R","",IFERROR((SUMIF($B$3:$B$65,"MDZ140R",$F$3:$F$65)*INDEX($Q$20:$Q$77,MATCH(B59,$N$20:$N$77,0))),"")))</f>
        <v/>
      </c>
      <c r="F59" s="42" t="str">
        <f t="shared" si="2"/>
        <v/>
      </c>
      <c r="H59" s="192"/>
      <c r="I59" s="214" t="str">
        <f>IFERROR(VLOOKUP(H59,$B$3:$F$62,5,FALSE),"")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/>
      <c r="C60" s="43"/>
      <c r="D60" s="42"/>
      <c r="E60" s="24" t="str">
        <f>IF(IF(B60="MDZ140R","",IFERROR((SUMIF($B$3:$B$65,"MDZ140R",$F$3:$F$65)*INDEX($Q$20:$Q$77,MATCH(B60,$N$20:$N$77,0))),""))=0,"",IF(B60="MDZ140R","",IFERROR((SUMIF($B$3:$B$65,"MDZ140R",$F$3:$F$65)*INDEX($Q$20:$Q$77,MATCH(B60,$N$20:$N$77,0))),"")))</f>
        <v/>
      </c>
      <c r="F60" s="42" t="str">
        <f t="shared" si="2"/>
        <v/>
      </c>
      <c r="H60" s="192"/>
      <c r="I60" s="214" t="str">
        <f>IFERROR(VLOOKUP(H60,$B$3:$F$62,5,FALSE),"")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/>
      <c r="C61" s="43"/>
      <c r="D61" s="42"/>
      <c r="E61" s="24" t="str">
        <f>IF(IF(B61="MDZ140R","",IFERROR((SUMIF($B$3:$B$65,"MDZ140R",$F$3:$F$65)*INDEX($Q$20:$Q$77,MATCH(B61,$N$20:$N$77,0))),""))=0,"",IF(B61="MDZ140R","",IFERROR((SUMIF($B$3:$B$65,"MDZ140R",$F$3:$F$65)*INDEX($Q$20:$Q$77,MATCH(B61,$N$20:$N$77,0))),"")))</f>
        <v/>
      </c>
      <c r="F61" s="42" t="str">
        <f t="shared" si="2"/>
        <v/>
      </c>
      <c r="H61" s="192"/>
      <c r="I61" s="214" t="str">
        <f>IFERROR(VLOOKUP(H61,$B$3:$F$62,5,FALSE),"")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/>
      <c r="C62" s="43"/>
      <c r="D62" s="42"/>
      <c r="E62" s="24"/>
      <c r="F62" s="42"/>
      <c r="H62" s="192"/>
      <c r="I62" s="214" t="str">
        <f>IFERROR(VLOOKUP(H62,$B$3:$F$62,5,FALSE),"")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/>
      <c r="C63" s="43"/>
      <c r="D63" s="42"/>
      <c r="E63" s="24" t="str">
        <f>IF(IF(B63="MDZ140R","",IFERROR((SUMIF($B$3:$B$65,"MDZ140R",$F$3:$F$65)*INDEX($Q$20:$Q$77,MATCH(B63,$N$20:$N$77,0))),""))=0,"",IF(B63="MDZ140R","",IFERROR((SUMIF($B$3:$B$65,"MDZ140R",$F$3:$F$65)*INDEX($Q$20:$Q$77,MATCH(B63,$N$20:$N$77,0))),"")))</f>
        <v/>
      </c>
      <c r="F63" s="42" t="str">
        <f>IF(D63="","",D63+ IF(E63="",0,E63))</f>
        <v/>
      </c>
      <c r="H63" s="192"/>
      <c r="I63" s="214" t="str">
        <f>IFERROR(VLOOKUP(H63,$B$3:$F$62,5,FALSE),"")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 t="s">
        <v>143</v>
      </c>
      <c r="C64" s="43" t="s">
        <v>144</v>
      </c>
      <c r="D64" s="42">
        <v>0.45900000000000002</v>
      </c>
      <c r="E64" s="24" t="str">
        <f>IF(IF(B64="MDZ140R","",IFERROR((SUMIF($B$3:$B$65,"MDZ140R",$F$3:$F$65)*INDEX($Q$20:$Q$77,MATCH(B64,$N$20:$N$77,0))),""))=0,"",IF(B64="MDZ140R","",IFERROR((SUMIF($B$3:$B$65,"MDZ140R",$F$3:$F$65)*INDEX($Q$20:$Q$77,MATCH(B64,$N$20:$N$77,0))),"")))</f>
        <v/>
      </c>
      <c r="F64" s="42">
        <f>IF(D64="","",D64+ IF(E64="",0,E64))</f>
        <v>0.45900000000000002</v>
      </c>
      <c r="H64" s="192"/>
      <c r="I64" s="214" t="str">
        <f>IFERROR(VLOOKUP(H64,$B$3:$F$62,5,FALSE),"")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127"/>
      <c r="C65" s="60" t="s">
        <v>145</v>
      </c>
      <c r="D65" s="133">
        <f>SUM(D3:D64)</f>
        <v>22.357399999999995</v>
      </c>
      <c r="E65" s="134"/>
      <c r="F65" s="135">
        <f>D65+E65</f>
        <v>22.357399999999995</v>
      </c>
      <c r="H65" s="192"/>
      <c r="I65" s="214" t="str">
        <f>IFERROR(VLOOKUP(H65,$B$3:$F$62,5,FALSE),"")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127"/>
      <c r="C66" s="60"/>
      <c r="D66" s="133"/>
      <c r="E66" s="134"/>
      <c r="F66" s="135"/>
      <c r="H66" s="192"/>
      <c r="I66" s="214" t="str">
        <f>IFERROR(VLOOKUP(H66,$B$3:$F$62,5,FALSE),"")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136"/>
      <c r="C67" s="136"/>
      <c r="D67" s="133">
        <v>0</v>
      </c>
      <c r="E67" s="134"/>
      <c r="F67" s="135">
        <f>D67+E67</f>
        <v>0</v>
      </c>
      <c r="H67" s="192"/>
      <c r="I67" s="214" t="str">
        <f>IFERROR(VLOOKUP(H67,$B$3:$F$62,5,FALSE),"")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136"/>
      <c r="C68" s="136"/>
      <c r="D68" s="133">
        <v>0</v>
      </c>
      <c r="E68" s="134"/>
      <c r="F68" s="135">
        <f>D68+E68</f>
        <v>0</v>
      </c>
      <c r="H68" s="192"/>
      <c r="I68" s="214" t="str">
        <f>IFERROR(VLOOKUP(H68,$B$3:$F$62,5,FALSE),"")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43"/>
      <c r="C69" s="41"/>
      <c r="D69" s="42"/>
      <c r="E69" s="24"/>
      <c r="F69" s="42"/>
      <c r="H69" s="192"/>
      <c r="I69" s="214" t="str">
        <f>IFERROR(VLOOKUP(H69,$B$3:$F$62,5,FALSE),"")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43"/>
      <c r="C70" s="41"/>
      <c r="D70" s="42"/>
      <c r="E70" s="24"/>
      <c r="F70" s="42"/>
      <c r="H70" s="192"/>
      <c r="I70" s="214" t="str">
        <f>IFERROR(VLOOKUP(H70,$B$3:$F$62,5,FALSE),"")</f>
        <v/>
      </c>
      <c r="J70" s="191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43"/>
      <c r="C71" s="41"/>
      <c r="D71" s="42"/>
      <c r="E71" s="24" t="str">
        <f>IF(IF(B71="MDZ140R","",IFERROR((SUMIF($B$3:$B$65,"MDZ140R",$F$3:$F$65)*INDEX($Q$20:$Q$77,MATCH(B71,$N$20:$N$77,0))),""))=0,"",IF(B71="MDZ140R","",IFERROR((SUMIF($B$3:$B$65,"MDZ140R",$F$3:$F$65)*INDEX($Q$20:$Q$77,MATCH(B71,$N$20:$N$77,0))),"")))</f>
        <v/>
      </c>
      <c r="F71" s="42" t="str">
        <f t="shared" si="0"/>
        <v/>
      </c>
      <c r="H71" s="192"/>
      <c r="I71" s="214" t="str">
        <f>IFERROR(VLOOKUP(H71,$B$3:$F$62,5,FALSE),"")</f>
        <v/>
      </c>
      <c r="J71" s="191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43"/>
      <c r="C72" s="41"/>
      <c r="D72" s="42"/>
      <c r="E72" s="24" t="str">
        <f>IF(IF(B72="MDZ140R","",IFERROR((SUMIF($B$3:$B$65,"MDZ140R",$F$3:$F$65)*INDEX($Q$20:$Q$77,MATCH(B72,$N$20:$N$77,0))),""))=0,"",IF(B72="MDZ140R","",IFERROR((SUMIF($B$3:$B$65,"MDZ140R",$F$3:$F$65)*INDEX($Q$20:$Q$77,MATCH(B72,$N$20:$N$77,0))),"")))</f>
        <v/>
      </c>
      <c r="F72" s="42" t="str">
        <f t="shared" si="0"/>
        <v/>
      </c>
      <c r="H72" s="192"/>
      <c r="I72" s="214" t="str">
        <f>IFERROR(VLOOKUP(H72,$B$3:$F$62,5,FALSE),"")</f>
        <v/>
      </c>
      <c r="J72" s="191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43"/>
      <c r="C73" s="41"/>
      <c r="D73" s="42"/>
      <c r="E73" s="24" t="str">
        <f>IF(IF(B73="MDZ140R","",IFERROR((SUMIF($B$3:$B$65,"MDZ140R",$F$3:$F$65)*INDEX($Q$20:$Q$77,MATCH(B73,$N$20:$N$77,0))),""))=0,"",IF(B73="MDZ140R","",IFERROR((SUMIF($B$3:$B$65,"MDZ140R",$F$3:$F$65)*INDEX($Q$20:$Q$77,MATCH(B73,$N$20:$N$77,0))),"")))</f>
        <v/>
      </c>
      <c r="F73" s="42" t="str">
        <f t="shared" si="0"/>
        <v/>
      </c>
      <c r="H73" s="192"/>
      <c r="I73" s="214" t="str">
        <f>IFERROR(VLOOKUP(H73,$B$3:$F$62,5,FALSE),"")</f>
        <v/>
      </c>
      <c r="J73" s="191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43"/>
      <c r="C74" s="41"/>
      <c r="D74" s="42"/>
      <c r="E74" s="24" t="str">
        <f>IF(IF(B74="MDZ140R","",IFERROR((SUMIF($B$3:$B$65,"MDZ140R",$F$3:$F$65)*INDEX($Q$20:$Q$77,MATCH(B74,$N$20:$N$77,0))),""))=0,"",IF(B74="MDZ140R","",IFERROR((SUMIF($B$3:$B$65,"MDZ140R",$F$3:$F$65)*INDEX($Q$20:$Q$77,MATCH(B74,$N$20:$N$77,0))),"")))</f>
        <v/>
      </c>
      <c r="F74" s="42" t="str">
        <f t="shared" si="0"/>
        <v/>
      </c>
      <c r="H74" s="192"/>
      <c r="I74" s="214" t="str">
        <f>IFERROR(VLOOKUP(H74,$B$3:$F$62,5,FALSE),"")</f>
        <v/>
      </c>
      <c r="J74" s="191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43"/>
      <c r="C75" s="41"/>
      <c r="D75" s="42"/>
      <c r="E75" s="24" t="str">
        <f>IF(IF(B75="MDZ140R","",IFERROR((SUMIF($B$3:$B$65,"MDZ140R",$F$3:$F$65)*INDEX($Q$20:$Q$77,MATCH(B75,$N$20:$N$77,0))),""))=0,"",IF(B75="MDZ140R","",IFERROR((SUMIF($B$3:$B$65,"MDZ140R",$F$3:$F$65)*INDEX($Q$20:$Q$77,MATCH(B75,$N$20:$N$77,0))),"")))</f>
        <v/>
      </c>
      <c r="F75" s="42" t="str">
        <f t="shared" si="0"/>
        <v/>
      </c>
      <c r="H75" s="192"/>
      <c r="I75" s="214" t="str">
        <f>IFERROR(VLOOKUP(H75,$B$3:$F$62,5,FALSE),"")</f>
        <v/>
      </c>
      <c r="J75" s="191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43"/>
      <c r="C76" s="41"/>
      <c r="D76" s="42"/>
      <c r="E76" s="24" t="str">
        <f>IF(IF(B76="MDZ140R","",IFERROR((SUMIF($B$3:$B$65,"MDZ140R",$F$3:$F$65)*INDEX($Q$20:$Q$77,MATCH(B76,$N$20:$N$77,0))),""))=0,"",IF(B76="MDZ140R","",IFERROR((SUMIF($B$3:$B$65,"MDZ140R",$F$3:$F$65)*INDEX($Q$20:$Q$77,MATCH(B76,$N$20:$N$77,0))),"")))</f>
        <v/>
      </c>
      <c r="F76" s="42" t="str">
        <f t="shared" si="0"/>
        <v/>
      </c>
      <c r="H76" s="192"/>
      <c r="I76" s="214" t="str">
        <f>IFERROR(VLOOKUP(H76,$B$3:$F$62,5,FALSE),"")</f>
        <v/>
      </c>
      <c r="J76" s="207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B77" s="43"/>
      <c r="C77" s="41"/>
      <c r="D77" s="42"/>
      <c r="E77" s="24" t="str">
        <f>IF(IF(B77="MDZ140R","",IFERROR((SUMIF($B$3:$B$65,"MDZ140R",$F$3:$F$65)*INDEX($Q$20:$Q$77,MATCH(B77,$N$20:$N$77,0))),""))=0,"",IF(B77="MDZ140R","",IFERROR((SUMIF($B$3:$B$65,"MDZ140R",$F$3:$F$65)*INDEX($Q$20:$Q$77,MATCH(B77,$N$20:$N$77,0))),"")))</f>
        <v/>
      </c>
      <c r="F77" s="42" t="str">
        <f t="shared" si="0"/>
        <v/>
      </c>
      <c r="H77" s="189" t="s">
        <v>73</v>
      </c>
      <c r="I77" s="214"/>
      <c r="J77" s="191">
        <f>SUM(I77:I91)</f>
        <v>2.080794375</v>
      </c>
      <c r="L77" s="56"/>
      <c r="M77" s="56"/>
      <c r="N77" s="56"/>
      <c r="O77" s="56"/>
      <c r="P77" s="125"/>
      <c r="Q77" s="126"/>
      <c r="R77" s="56"/>
    </row>
    <row r="78" spans="2:18" s="1" customFormat="1" x14ac:dyDescent="0.3">
      <c r="H78" s="196" t="s">
        <v>44</v>
      </c>
      <c r="I78" s="215">
        <v>2.25875E-2</v>
      </c>
      <c r="J78" s="201"/>
      <c r="L78" s="56"/>
      <c r="M78" s="56"/>
      <c r="N78" s="56"/>
      <c r="O78" s="59" t="s">
        <v>3</v>
      </c>
      <c r="P78" s="131">
        <f>SUM(P20:P33)</f>
        <v>182</v>
      </c>
      <c r="Q78" s="131">
        <f>SUM(Q20:Q33)</f>
        <v>0.994533</v>
      </c>
      <c r="R78" s="59">
        <v>0</v>
      </c>
    </row>
    <row r="79" spans="2:18" x14ac:dyDescent="0.3">
      <c r="H79" s="196" t="s">
        <v>38</v>
      </c>
      <c r="I79" s="211">
        <v>5.646875E-3</v>
      </c>
      <c r="J79" s="201"/>
    </row>
    <row r="80" spans="2:18" x14ac:dyDescent="0.3">
      <c r="H80" s="196" t="s">
        <v>9</v>
      </c>
      <c r="I80" s="214">
        <f>IFERROR(VLOOKUP(H80,$B$3:$F$62,5,FALSE),"")</f>
        <v>0.2883</v>
      </c>
      <c r="J80" s="201"/>
    </row>
    <row r="81" spans="8:10" x14ac:dyDescent="0.3">
      <c r="H81" s="196" t="s">
        <v>119</v>
      </c>
      <c r="I81" s="214">
        <f>IFERROR(VLOOKUP(H81,$B$3:$F$62,5,FALSE),"")</f>
        <v>0.30680000000000002</v>
      </c>
      <c r="J81" s="201"/>
    </row>
    <row r="82" spans="8:10" x14ac:dyDescent="0.3">
      <c r="H82" s="196" t="s">
        <v>133</v>
      </c>
      <c r="I82" s="214">
        <f>IFERROR(VLOOKUP(H82,$B$3:$F$62,5,FALSE),"")</f>
        <v>0.59399999999999997</v>
      </c>
      <c r="J82" s="201"/>
    </row>
    <row r="83" spans="8:10" x14ac:dyDescent="0.3">
      <c r="H83" s="196" t="s">
        <v>147</v>
      </c>
      <c r="I83" s="214">
        <v>0.41376000000000002</v>
      </c>
      <c r="J83" s="201"/>
    </row>
    <row r="84" spans="8:10" x14ac:dyDescent="0.3">
      <c r="H84" s="196" t="s">
        <v>148</v>
      </c>
      <c r="I84" s="214" t="str">
        <f>IFERROR(VLOOKUP(H84,$B$3:$F$62,5,FALSE),"")</f>
        <v/>
      </c>
      <c r="J84" s="201"/>
    </row>
    <row r="85" spans="8:10" x14ac:dyDescent="0.3">
      <c r="H85" s="196" t="s">
        <v>11</v>
      </c>
      <c r="I85" s="214">
        <f>IFERROR(VLOOKUP(H85,$B$3:$F$62,5,FALSE),"")</f>
        <v>0.1447</v>
      </c>
      <c r="J85" s="201"/>
    </row>
    <row r="86" spans="8:10" x14ac:dyDescent="0.3">
      <c r="H86" s="196" t="s">
        <v>149</v>
      </c>
      <c r="I86" s="214" t="str">
        <f>IFERROR(VLOOKUP(H86,$B$3:$F$62,5,FALSE),"")</f>
        <v/>
      </c>
      <c r="J86" s="201"/>
    </row>
    <row r="87" spans="8:10" x14ac:dyDescent="0.3">
      <c r="H87" s="196" t="s">
        <v>121</v>
      </c>
      <c r="I87" s="214">
        <f>IFERROR(VLOOKUP(H87,$B$3:$F$62,5,FALSE),"")</f>
        <v>0.30499999999999999</v>
      </c>
      <c r="J87" s="201"/>
    </row>
    <row r="88" spans="8:10" x14ac:dyDescent="0.3">
      <c r="H88" s="196" t="s">
        <v>150</v>
      </c>
      <c r="I88" s="214" t="str">
        <f>IFERROR(VLOOKUP(H88,$B$3:$F$62,5,FALSE),"")</f>
        <v/>
      </c>
      <c r="J88" s="191"/>
    </row>
    <row r="89" spans="8:10" x14ac:dyDescent="0.3">
      <c r="H89" s="196"/>
      <c r="I89" s="214" t="str">
        <f>IFERROR(VLOOKUP(H89,$B$3:$F$62,5,FALSE),"")</f>
        <v/>
      </c>
      <c r="J89" s="201"/>
    </row>
    <row r="90" spans="8:10" x14ac:dyDescent="0.3">
      <c r="H90" s="196"/>
      <c r="I90" s="214" t="str">
        <f>IFERROR(VLOOKUP(H90,$B$3:$F$62,5,FALSE),"")</f>
        <v/>
      </c>
      <c r="J90" s="201"/>
    </row>
    <row r="91" spans="8:10" x14ac:dyDescent="0.3">
      <c r="H91" s="196"/>
      <c r="I91" s="214" t="str">
        <f>IFERROR(VLOOKUP(H91,$B$3:$F$62,5,FALSE),"")</f>
        <v/>
      </c>
      <c r="J91" s="201"/>
    </row>
    <row r="92" spans="8:10" x14ac:dyDescent="0.3">
      <c r="H92" s="200" t="s">
        <v>74</v>
      </c>
      <c r="I92" s="214" t="str">
        <f>IFERROR(VLOOKUP(H92,$B$3:$F$62,5,FALSE),"")</f>
        <v/>
      </c>
      <c r="J92" s="201">
        <f>SUM(I92:I96)</f>
        <v>5.646875E-3</v>
      </c>
    </row>
    <row r="93" spans="8:10" s="175" customFormat="1" x14ac:dyDescent="0.3">
      <c r="H93" s="176" t="s">
        <v>438</v>
      </c>
      <c r="I93" s="217">
        <v>5.646875E-3</v>
      </c>
      <c r="J93" s="177"/>
    </row>
    <row r="94" spans="8:10" x14ac:dyDescent="0.3">
      <c r="H94" s="196"/>
      <c r="I94" s="214"/>
      <c r="J94" s="208"/>
    </row>
    <row r="95" spans="8:10" x14ac:dyDescent="0.3">
      <c r="H95" s="196"/>
      <c r="I95" s="214"/>
      <c r="J95" s="201"/>
    </row>
    <row r="96" spans="8:10" s="175" customFormat="1" x14ac:dyDescent="0.3">
      <c r="H96" s="196"/>
      <c r="I96" s="214" t="str">
        <f>IFERROR(VLOOKUP(H96,$B$3:$F$62,5,FALSE),"")</f>
        <v/>
      </c>
      <c r="J96" s="201"/>
    </row>
    <row r="97" spans="8:10" x14ac:dyDescent="0.3">
      <c r="H97" s="200" t="s">
        <v>75</v>
      </c>
      <c r="I97" s="214" t="str">
        <f>IFERROR(VLOOKUP(H97,$B$3:$F$62,5,FALSE),"")</f>
        <v/>
      </c>
      <c r="J97" s="201">
        <f>SUM(I97:I103)</f>
        <v>0.69840000000000002</v>
      </c>
    </row>
    <row r="98" spans="8:10" x14ac:dyDescent="0.3">
      <c r="H98" s="196" t="s">
        <v>215</v>
      </c>
      <c r="I98" s="214" t="str">
        <f>IFERROR(VLOOKUP(H98,$B$3:$F$62,5,FALSE),"")</f>
        <v/>
      </c>
      <c r="J98" s="201"/>
    </row>
    <row r="99" spans="8:10" x14ac:dyDescent="0.3">
      <c r="H99" s="196" t="s">
        <v>151</v>
      </c>
      <c r="I99" s="211">
        <v>0.46560000000000001</v>
      </c>
      <c r="J99" s="201"/>
    </row>
    <row r="100" spans="8:10" x14ac:dyDescent="0.3">
      <c r="H100" s="196" t="s">
        <v>14</v>
      </c>
      <c r="I100" s="214">
        <v>0.23280000000000001</v>
      </c>
      <c r="J100" s="201"/>
    </row>
    <row r="101" spans="8:10" x14ac:dyDescent="0.3">
      <c r="H101" s="196" t="s">
        <v>152</v>
      </c>
      <c r="I101" s="214" t="str">
        <f>IFERROR(VLOOKUP(H101,$B$3:$F$62,5,FALSE),"")</f>
        <v/>
      </c>
      <c r="J101" s="201"/>
    </row>
    <row r="102" spans="8:10" x14ac:dyDescent="0.3">
      <c r="H102" s="196" t="s">
        <v>211</v>
      </c>
      <c r="I102" s="214" t="str">
        <f>IFERROR(VLOOKUP(H102,$B$3:$F$62,5,FALSE),"")</f>
        <v/>
      </c>
      <c r="J102" s="201"/>
    </row>
    <row r="103" spans="8:10" x14ac:dyDescent="0.3">
      <c r="H103" s="196" t="s">
        <v>212</v>
      </c>
      <c r="I103" s="214" t="str">
        <f>IFERROR(VLOOKUP(H103,$B$3:$F$62,5,FALSE),"")</f>
        <v/>
      </c>
      <c r="J103" s="201"/>
    </row>
    <row r="104" spans="8:10" x14ac:dyDescent="0.3">
      <c r="H104" s="200" t="s">
        <v>76</v>
      </c>
      <c r="I104" s="214" t="str">
        <f>IFERROR(VLOOKUP(H104,$B$3:$F$62,5,FALSE),"")</f>
        <v/>
      </c>
      <c r="J104" s="201">
        <f>SUM(I104:I108)</f>
        <v>0</v>
      </c>
    </row>
    <row r="105" spans="8:10" x14ac:dyDescent="0.3">
      <c r="H105" s="196"/>
      <c r="I105" s="214"/>
      <c r="J105" s="208"/>
    </row>
    <row r="106" spans="8:10" x14ac:dyDescent="0.3">
      <c r="H106" s="196"/>
      <c r="I106" s="214"/>
      <c r="J106" s="201"/>
    </row>
    <row r="107" spans="8:10" s="175" customFormat="1" x14ac:dyDescent="0.3">
      <c r="H107" s="196"/>
      <c r="I107" s="214"/>
      <c r="J107" s="201"/>
    </row>
    <row r="108" spans="8:10" x14ac:dyDescent="0.3">
      <c r="H108" s="196"/>
      <c r="I108" s="214" t="str">
        <f>IFERROR(VLOOKUP(H108,$B$3:$F$62,5,FALSE),"")</f>
        <v/>
      </c>
      <c r="J108" s="201"/>
    </row>
    <row r="109" spans="8:10" x14ac:dyDescent="0.3">
      <c r="H109" s="200" t="s">
        <v>78</v>
      </c>
      <c r="I109" s="214" t="str">
        <f>IFERROR(VLOOKUP(H109,$B$3:$F$62,5,FALSE),"")</f>
        <v/>
      </c>
      <c r="J109" s="201">
        <f>SUM(I109:I115)</f>
        <v>0.3221</v>
      </c>
    </row>
    <row r="110" spans="8:10" s="175" customFormat="1" x14ac:dyDescent="0.3">
      <c r="H110" s="176" t="s">
        <v>337</v>
      </c>
      <c r="I110" s="218">
        <v>0.3221</v>
      </c>
      <c r="J110" s="177"/>
    </row>
    <row r="111" spans="8:10" x14ac:dyDescent="0.3">
      <c r="H111" s="196"/>
      <c r="I111" s="214" t="str">
        <f>IFERROR(VLOOKUP(H111,$B$3:$F$62,5,FALSE),"")</f>
        <v/>
      </c>
      <c r="J111" s="208"/>
    </row>
    <row r="112" spans="8:10" x14ac:dyDescent="0.3">
      <c r="H112" s="196"/>
      <c r="I112" s="214"/>
      <c r="J112" s="208"/>
    </row>
    <row r="113" spans="8:10" x14ac:dyDescent="0.3">
      <c r="H113" s="196"/>
      <c r="I113" s="214" t="str">
        <f>IFERROR(VLOOKUP(H113,$B$3:$F$62,5,FALSE),"")</f>
        <v/>
      </c>
      <c r="J113" s="208"/>
    </row>
    <row r="114" spans="8:10" s="175" customFormat="1" x14ac:dyDescent="0.3">
      <c r="H114" s="196"/>
      <c r="I114" s="214" t="str">
        <f>IFERROR(VLOOKUP(H114,$B$3:$F$62,5,FALSE),"")</f>
        <v/>
      </c>
      <c r="J114" s="201"/>
    </row>
    <row r="115" spans="8:10" x14ac:dyDescent="0.3">
      <c r="H115" s="196"/>
      <c r="I115" s="214" t="str">
        <f>IFERROR(VLOOKUP(H115,$B$3:$F$62,5,FALSE),"")</f>
        <v/>
      </c>
      <c r="J115" s="201"/>
    </row>
    <row r="116" spans="8:10" x14ac:dyDescent="0.3">
      <c r="H116" s="200" t="s">
        <v>77</v>
      </c>
      <c r="I116" s="214" t="str">
        <f>IFERROR(VLOOKUP(H116,$B$3:$F$62,5,FALSE),"")</f>
        <v/>
      </c>
      <c r="J116" s="201">
        <f>SUM(I116:I164)</f>
        <v>11.402100000000001</v>
      </c>
    </row>
    <row r="117" spans="8:10" x14ac:dyDescent="0.3">
      <c r="H117" s="196" t="s">
        <v>60</v>
      </c>
      <c r="I117" s="211">
        <v>0.3221</v>
      </c>
      <c r="J117" s="201"/>
    </row>
    <row r="118" spans="8:10" x14ac:dyDescent="0.3">
      <c r="H118" s="196" t="s">
        <v>153</v>
      </c>
      <c r="I118" s="214" t="str">
        <f>IFERROR(VLOOKUP(H118,$B$3:$F$62,5,FALSE),"")</f>
        <v/>
      </c>
      <c r="J118" s="201"/>
    </row>
    <row r="119" spans="8:10" x14ac:dyDescent="0.3">
      <c r="H119" s="196" t="s">
        <v>154</v>
      </c>
      <c r="I119" s="214" t="str">
        <f>IFERROR(VLOOKUP(H119,$B$3:$F$62,5,FALSE),"")</f>
        <v/>
      </c>
      <c r="J119" s="201"/>
    </row>
    <row r="120" spans="8:10" x14ac:dyDescent="0.3">
      <c r="H120" s="196" t="s">
        <v>114</v>
      </c>
      <c r="I120" s="214">
        <f>IFERROR(VLOOKUP(H120,$B$3:$F$62,5,FALSE),"")</f>
        <v>4.3999999999999997E-2</v>
      </c>
      <c r="J120" s="201"/>
    </row>
    <row r="121" spans="8:10" x14ac:dyDescent="0.3">
      <c r="H121" s="196" t="s">
        <v>116</v>
      </c>
      <c r="I121" s="214">
        <f>IFERROR(VLOOKUP(H121,$B$3:$F$62,5,FALSE),"")</f>
        <v>0.57379999999999998</v>
      </c>
      <c r="J121" s="200"/>
    </row>
    <row r="122" spans="8:10" x14ac:dyDescent="0.3">
      <c r="H122" s="196" t="s">
        <v>62</v>
      </c>
      <c r="I122" s="214">
        <f>IFERROR(VLOOKUP(H122,$B$3:$F$62,5,FALSE),"")</f>
        <v>4.2200000000000001E-2</v>
      </c>
      <c r="J122" s="200"/>
    </row>
    <row r="123" spans="8:10" x14ac:dyDescent="0.3">
      <c r="H123" s="196" t="s">
        <v>48</v>
      </c>
      <c r="I123" s="214">
        <f>IFERROR(VLOOKUP(H123,$B$3:$F$62,5,FALSE),"")</f>
        <v>1.8800000000000001E-2</v>
      </c>
      <c r="J123" s="200"/>
    </row>
    <row r="124" spans="8:10" x14ac:dyDescent="0.3">
      <c r="H124" s="196" t="s">
        <v>63</v>
      </c>
      <c r="I124" s="214">
        <f>IFERROR(VLOOKUP(H124,$B$3:$F$62,5,FALSE),"")</f>
        <v>0.45090000000000002</v>
      </c>
      <c r="J124" s="200"/>
    </row>
    <row r="125" spans="8:10" x14ac:dyDescent="0.3">
      <c r="H125" s="196" t="s">
        <v>131</v>
      </c>
      <c r="I125" s="214">
        <f>IFERROR(VLOOKUP(H125,$B$3:$F$62,5,FALSE),"")</f>
        <v>0.74070000000000003</v>
      </c>
      <c r="J125" s="200"/>
    </row>
    <row r="126" spans="8:10" x14ac:dyDescent="0.3">
      <c r="H126" s="196" t="s">
        <v>155</v>
      </c>
      <c r="I126" s="214" t="str">
        <f>IFERROR(VLOOKUP(H126,$B$3:$F$62,5,FALSE),"")</f>
        <v/>
      </c>
      <c r="J126" s="200"/>
    </row>
    <row r="127" spans="8:10" x14ac:dyDescent="0.3">
      <c r="H127" s="196" t="s">
        <v>156</v>
      </c>
      <c r="I127" s="214" t="str">
        <f>IFERROR(VLOOKUP(H127,$B$3:$F$62,5,FALSE),"")</f>
        <v/>
      </c>
      <c r="J127" s="200"/>
    </row>
    <row r="128" spans="8:10" x14ac:dyDescent="0.3">
      <c r="H128" s="196" t="s">
        <v>64</v>
      </c>
      <c r="I128" s="214">
        <f>IFERROR(VLOOKUP(H128,$B$3:$F$62,5,FALSE),"")</f>
        <v>0.30599999999999999</v>
      </c>
      <c r="J128" s="200"/>
    </row>
    <row r="129" spans="8:10" x14ac:dyDescent="0.3">
      <c r="H129" s="196" t="s">
        <v>24</v>
      </c>
      <c r="I129" s="214">
        <f>IFERROR(VLOOKUP(H129,$B$3:$F$62,5,FALSE),"")</f>
        <v>0.53129999999999999</v>
      </c>
      <c r="J129" s="200"/>
    </row>
    <row r="130" spans="8:10" x14ac:dyDescent="0.3">
      <c r="H130" s="196" t="s">
        <v>34</v>
      </c>
      <c r="I130" s="214">
        <f>IFERROR(VLOOKUP(H130,$B$3:$F$62,5,FALSE),"")</f>
        <v>0.63449999999999995</v>
      </c>
      <c r="J130" s="200"/>
    </row>
    <row r="131" spans="8:10" x14ac:dyDescent="0.3">
      <c r="H131" s="196" t="s">
        <v>157</v>
      </c>
      <c r="I131" s="214" t="str">
        <f>IFERROR(VLOOKUP(H131,$B$3:$F$62,5,FALSE),"")</f>
        <v/>
      </c>
      <c r="J131" s="200"/>
    </row>
    <row r="132" spans="8:10" x14ac:dyDescent="0.3">
      <c r="H132" s="196" t="s">
        <v>158</v>
      </c>
      <c r="I132" s="214" t="str">
        <f>IFERROR(VLOOKUP(H132,$B$3:$F$62,5,FALSE),"")</f>
        <v/>
      </c>
      <c r="J132" s="200"/>
    </row>
    <row r="133" spans="8:10" x14ac:dyDescent="0.3">
      <c r="H133" s="196" t="s">
        <v>159</v>
      </c>
      <c r="I133" s="214" t="str">
        <f>IFERROR(VLOOKUP(H133,$B$3:$F$62,5,FALSE),"")</f>
        <v/>
      </c>
      <c r="J133" s="200"/>
    </row>
    <row r="134" spans="8:10" x14ac:dyDescent="0.3">
      <c r="H134" s="196" t="s">
        <v>160</v>
      </c>
      <c r="I134" s="214" t="str">
        <f>IFERROR(VLOOKUP(H134,$B$3:$F$62,5,FALSE),"")</f>
        <v/>
      </c>
      <c r="J134" s="200"/>
    </row>
    <row r="135" spans="8:10" x14ac:dyDescent="0.3">
      <c r="H135" s="196" t="s">
        <v>50</v>
      </c>
      <c r="I135" s="214">
        <f>IFERROR(VLOOKUP(H135,$B$3:$F$62,5,FALSE),"")</f>
        <v>0.15</v>
      </c>
      <c r="J135" s="200"/>
    </row>
    <row r="136" spans="8:10" x14ac:dyDescent="0.3">
      <c r="H136" s="196" t="s">
        <v>161</v>
      </c>
      <c r="I136" s="214" t="str">
        <f>IFERROR(VLOOKUP(H136,$B$3:$F$62,5,FALSE),"")</f>
        <v/>
      </c>
      <c r="J136" s="200"/>
    </row>
    <row r="137" spans="8:10" x14ac:dyDescent="0.3">
      <c r="H137" s="196" t="s">
        <v>162</v>
      </c>
      <c r="I137" s="214" t="str">
        <f>IFERROR(VLOOKUP(H137,$B$3:$F$62,5,FALSE),"")</f>
        <v/>
      </c>
      <c r="J137" s="200"/>
    </row>
    <row r="138" spans="8:10" x14ac:dyDescent="0.3">
      <c r="H138" s="196" t="s">
        <v>7</v>
      </c>
      <c r="I138" s="214" t="str">
        <f>IFERROR(VLOOKUP(H138,$B$3:$F$62,5,FALSE),"")</f>
        <v/>
      </c>
      <c r="J138" s="200"/>
    </row>
    <row r="139" spans="8:10" x14ac:dyDescent="0.3">
      <c r="H139" s="196" t="s">
        <v>27</v>
      </c>
      <c r="I139" s="214">
        <f>IFERROR(VLOOKUP(H139,$B$3:$F$62,5,FALSE),"")</f>
        <v>0.4899</v>
      </c>
      <c r="J139" s="200"/>
    </row>
    <row r="140" spans="8:10" x14ac:dyDescent="0.3">
      <c r="H140" s="196" t="s">
        <v>163</v>
      </c>
      <c r="I140" s="214" t="str">
        <f>IFERROR(VLOOKUP(H140,$B$3:$F$62,5,FALSE),"")</f>
        <v/>
      </c>
      <c r="J140" s="200"/>
    </row>
    <row r="141" spans="8:10" x14ac:dyDescent="0.3">
      <c r="H141" s="196" t="s">
        <v>164</v>
      </c>
      <c r="I141" s="214" t="str">
        <f>IFERROR(VLOOKUP(H141,$B$3:$F$62,5,FALSE),"")</f>
        <v/>
      </c>
      <c r="J141" s="200"/>
    </row>
    <row r="142" spans="8:10" x14ac:dyDescent="0.3">
      <c r="H142" s="196" t="s">
        <v>165</v>
      </c>
      <c r="I142" s="214" t="str">
        <f>IFERROR(VLOOKUP(H142,$B$3:$F$62,5,FALSE),"")</f>
        <v/>
      </c>
      <c r="J142" s="200"/>
    </row>
    <row r="143" spans="8:10" x14ac:dyDescent="0.3">
      <c r="H143" s="196" t="s">
        <v>166</v>
      </c>
      <c r="I143" s="214" t="str">
        <f>IFERROR(VLOOKUP(H143,$B$3:$F$62,5,FALSE),"")</f>
        <v/>
      </c>
      <c r="J143" s="200"/>
    </row>
    <row r="144" spans="8:10" x14ac:dyDescent="0.3">
      <c r="H144" s="196" t="s">
        <v>135</v>
      </c>
      <c r="I144" s="214">
        <f>IFERROR(VLOOKUP(H144,$B$3:$F$62,5,FALSE),"")</f>
        <v>0.92349999999999999</v>
      </c>
      <c r="J144" s="200"/>
    </row>
    <row r="145" spans="8:10" x14ac:dyDescent="0.3">
      <c r="H145" s="196" t="s">
        <v>123</v>
      </c>
      <c r="I145" s="214">
        <f>IFERROR(VLOOKUP(H145,$B$3:$F$62,5,FALSE),"")</f>
        <v>0.78769999999999996</v>
      </c>
      <c r="J145" s="200"/>
    </row>
    <row r="146" spans="8:10" x14ac:dyDescent="0.3">
      <c r="H146" s="196" t="s">
        <v>125</v>
      </c>
      <c r="I146" s="214">
        <f>IFERROR(VLOOKUP(H146,$B$3:$F$62,5,FALSE),"")</f>
        <v>0.15160000000000001</v>
      </c>
      <c r="J146" s="200"/>
    </row>
    <row r="147" spans="8:10" x14ac:dyDescent="0.3">
      <c r="H147" s="196" t="s">
        <v>167</v>
      </c>
      <c r="I147" s="214" t="str">
        <f>IFERROR(VLOOKUP(H147,$B$3:$F$62,5,FALSE),"")</f>
        <v/>
      </c>
      <c r="J147" s="200"/>
    </row>
    <row r="148" spans="8:10" x14ac:dyDescent="0.3">
      <c r="H148" s="196" t="s">
        <v>65</v>
      </c>
      <c r="I148" s="214">
        <f>IFERROR(VLOOKUP(H148,$B$3:$F$62,5,FALSE),"")</f>
        <v>0.29759999999999998</v>
      </c>
      <c r="J148" s="200"/>
    </row>
    <row r="149" spans="8:10" x14ac:dyDescent="0.3">
      <c r="H149" s="196" t="s">
        <v>41</v>
      </c>
      <c r="I149" s="214">
        <f>IFERROR(VLOOKUP(H149,$B$3:$F$62,5,FALSE),"")</f>
        <v>0.9909</v>
      </c>
      <c r="J149" s="200"/>
    </row>
    <row r="150" spans="8:10" x14ac:dyDescent="0.3">
      <c r="H150" s="196" t="s">
        <v>42</v>
      </c>
      <c r="I150" s="214">
        <f>IFERROR(VLOOKUP(H150,$B$3:$F$62,5,FALSE),"")</f>
        <v>7.8100000000000003E-2</v>
      </c>
      <c r="J150" s="200"/>
    </row>
    <row r="151" spans="8:10" x14ac:dyDescent="0.3">
      <c r="H151" s="196" t="s">
        <v>29</v>
      </c>
      <c r="I151" s="214">
        <f>IFERROR(VLOOKUP(H151,$B$3:$F$62,5,FALSE),"")</f>
        <v>6.0299999999999999E-2</v>
      </c>
      <c r="J151" s="200"/>
    </row>
    <row r="152" spans="8:10" x14ac:dyDescent="0.3">
      <c r="H152" s="196" t="s">
        <v>16</v>
      </c>
      <c r="I152" s="214">
        <f>IFERROR(VLOOKUP(H152,$B$3:$F$62,5,FALSE),"")</f>
        <v>0.71099999999999997</v>
      </c>
      <c r="J152" s="200"/>
    </row>
    <row r="153" spans="8:10" x14ac:dyDescent="0.3">
      <c r="H153" s="196" t="s">
        <v>168</v>
      </c>
      <c r="I153" s="214" t="str">
        <f>IFERROR(VLOOKUP(H153,$B$3:$F$62,5,FALSE),"")</f>
        <v/>
      </c>
      <c r="J153" s="200"/>
    </row>
    <row r="154" spans="8:10" x14ac:dyDescent="0.3">
      <c r="H154" s="196" t="s">
        <v>18</v>
      </c>
      <c r="I154" s="214">
        <f>IFERROR(VLOOKUP(H154,$B$3:$F$62,5,FALSE),"")</f>
        <v>0.96409999999999996</v>
      </c>
      <c r="J154" s="200"/>
    </row>
    <row r="155" spans="8:10" x14ac:dyDescent="0.3">
      <c r="H155" s="196" t="s">
        <v>45</v>
      </c>
      <c r="I155" s="214">
        <f>IFERROR(VLOOKUP(H155,$B$3:$F$62,5,FALSE),"")</f>
        <v>1.8800000000000001E-2</v>
      </c>
      <c r="J155" s="200"/>
    </row>
    <row r="156" spans="8:10" x14ac:dyDescent="0.3">
      <c r="H156" s="196" t="s">
        <v>53</v>
      </c>
      <c r="I156" s="214">
        <f>IFERROR(VLOOKUP(H156,$B$3:$F$62,5,FALSE),"")</f>
        <v>0.45419999999999999</v>
      </c>
      <c r="J156" s="200"/>
    </row>
    <row r="157" spans="8:10" x14ac:dyDescent="0.3">
      <c r="H157" s="196" t="s">
        <v>187</v>
      </c>
      <c r="I157" s="214" t="str">
        <f>IFERROR(VLOOKUP(H157,$B$3:$F$62,5,FALSE),"")</f>
        <v/>
      </c>
      <c r="J157" s="200"/>
    </row>
    <row r="158" spans="8:10" x14ac:dyDescent="0.3">
      <c r="H158" s="196" t="s">
        <v>52</v>
      </c>
      <c r="I158" s="214">
        <f>IFERROR(VLOOKUP(H158,$B$3:$F$62,5,FALSE),"")</f>
        <v>0.81640000000000001</v>
      </c>
      <c r="J158" s="200"/>
    </row>
    <row r="159" spans="8:10" x14ac:dyDescent="0.3">
      <c r="H159" s="196" t="s">
        <v>55</v>
      </c>
      <c r="I159" s="214">
        <f>IFERROR(VLOOKUP(H159,$B$3:$F$62,5,FALSE),"")</f>
        <v>0.84370000000000001</v>
      </c>
      <c r="J159" s="200"/>
    </row>
    <row r="160" spans="8:10" x14ac:dyDescent="0.3">
      <c r="H160" s="196" t="s">
        <v>169</v>
      </c>
      <c r="I160" s="214" t="str">
        <f>IFERROR(VLOOKUP(H160,$B$3:$F$62,5,FALSE),"")</f>
        <v/>
      </c>
      <c r="J160" s="200"/>
    </row>
    <row r="161" spans="8:10" x14ac:dyDescent="0.3">
      <c r="H161" s="196" t="s">
        <v>213</v>
      </c>
      <c r="I161" s="214" t="str">
        <f>IFERROR(VLOOKUP(H161,$B$3:$F$62,5,FALSE),"")</f>
        <v/>
      </c>
      <c r="J161" s="200"/>
    </row>
    <row r="162" spans="8:10" x14ac:dyDescent="0.3">
      <c r="H162" s="196" t="s">
        <v>214</v>
      </c>
      <c r="I162" s="214" t="str">
        <f>IFERROR(VLOOKUP(H162,$B$3:$F$62,5,FALSE),"")</f>
        <v/>
      </c>
      <c r="J162" s="200"/>
    </row>
    <row r="163" spans="8:10" x14ac:dyDescent="0.3">
      <c r="H163" s="196"/>
      <c r="I163" s="214" t="str">
        <f>IFERROR(VLOOKUP(H163,$B$3:$F$62,5,FALSE),"")</f>
        <v/>
      </c>
      <c r="J163" s="200"/>
    </row>
    <row r="164" spans="8:10" x14ac:dyDescent="0.3">
      <c r="H164" s="196"/>
      <c r="I164" s="214" t="str">
        <f>IFERROR(VLOOKUP(H164,$B$3:$F$62,5,FALSE),"")</f>
        <v/>
      </c>
      <c r="J164" s="200"/>
    </row>
    <row r="165" spans="8:10" x14ac:dyDescent="0.3">
      <c r="H165" s="200" t="s">
        <v>79</v>
      </c>
      <c r="I165" s="214" t="str">
        <f>IFERROR(VLOOKUP(H165,$B$3:$F$62,5,FALSE),"")</f>
        <v/>
      </c>
      <c r="J165" s="209">
        <f>SUM(I165:I194)</f>
        <v>1.7999999999999998</v>
      </c>
    </row>
    <row r="166" spans="8:10" x14ac:dyDescent="0.3">
      <c r="H166" s="196" t="s">
        <v>170</v>
      </c>
      <c r="I166" s="214" t="str">
        <f>IFERROR(VLOOKUP(H166,$B$3:$F$62,5,FALSE),"")</f>
        <v/>
      </c>
      <c r="J166" s="200"/>
    </row>
    <row r="167" spans="8:10" x14ac:dyDescent="0.3">
      <c r="H167" s="196" t="s">
        <v>143</v>
      </c>
      <c r="I167" s="214" t="str">
        <f>IFERROR(VLOOKUP(H167,$B$3:$F$62,5,FALSE),"")</f>
        <v/>
      </c>
      <c r="J167" s="200"/>
    </row>
    <row r="168" spans="8:10" x14ac:dyDescent="0.3">
      <c r="H168" s="196" t="s">
        <v>171</v>
      </c>
      <c r="I168" s="214" t="str">
        <f>IFERROR(VLOOKUP(H168,$B$3:$F$62,5,FALSE),"")</f>
        <v/>
      </c>
      <c r="J168" s="200"/>
    </row>
    <row r="169" spans="8:10" x14ac:dyDescent="0.3">
      <c r="H169" s="196" t="s">
        <v>141</v>
      </c>
      <c r="I169" s="214">
        <f>IFERROR(VLOOKUP(H169,$B$3:$F$62,5,FALSE),"")</f>
        <v>8.4599999999999995E-2</v>
      </c>
      <c r="J169" s="200"/>
    </row>
    <row r="170" spans="8:10" x14ac:dyDescent="0.3">
      <c r="H170" s="196" t="s">
        <v>172</v>
      </c>
      <c r="I170" s="214" t="str">
        <f>IFERROR(VLOOKUP(H170,$B$3:$F$62,5,FALSE),"")</f>
        <v/>
      </c>
      <c r="J170" s="200"/>
    </row>
    <row r="171" spans="8:10" x14ac:dyDescent="0.3">
      <c r="H171" s="196" t="s">
        <v>173</v>
      </c>
      <c r="I171" s="214" t="str">
        <f>IFERROR(VLOOKUP(H171,$B$3:$F$62,5,FALSE),"")</f>
        <v/>
      </c>
      <c r="J171" s="200"/>
    </row>
    <row r="172" spans="8:10" x14ac:dyDescent="0.3">
      <c r="H172" s="196" t="s">
        <v>174</v>
      </c>
      <c r="I172" s="214" t="str">
        <f>IFERROR(VLOOKUP(H172,$B$3:$F$62,5,FALSE),"")</f>
        <v/>
      </c>
      <c r="J172" s="200"/>
    </row>
    <row r="173" spans="8:10" x14ac:dyDescent="0.3">
      <c r="H173" s="196" t="s">
        <v>175</v>
      </c>
      <c r="I173" s="214" t="str">
        <f>IFERROR(VLOOKUP(H173,$B$3:$F$62,5,FALSE),"")</f>
        <v/>
      </c>
      <c r="J173" s="200"/>
    </row>
    <row r="174" spans="8:10" x14ac:dyDescent="0.3">
      <c r="H174" s="196" t="s">
        <v>176</v>
      </c>
      <c r="I174" s="214" t="str">
        <f>IFERROR(VLOOKUP(H174,$B$3:$F$62,5,FALSE),"")</f>
        <v/>
      </c>
      <c r="J174" s="200"/>
    </row>
    <row r="175" spans="8:10" x14ac:dyDescent="0.3">
      <c r="H175" s="196" t="s">
        <v>186</v>
      </c>
      <c r="I175" s="214" t="str">
        <f>IFERROR(VLOOKUP(H175,$B$3:$F$62,5,FALSE),"")</f>
        <v/>
      </c>
      <c r="J175" s="200"/>
    </row>
    <row r="176" spans="8:10" x14ac:dyDescent="0.3">
      <c r="H176" s="196" t="s">
        <v>185</v>
      </c>
      <c r="I176" s="214" t="str">
        <f>IFERROR(VLOOKUP(H176,$B$3:$F$62,5,FALSE),"")</f>
        <v/>
      </c>
      <c r="J176" s="200"/>
    </row>
    <row r="177" spans="8:10" x14ac:dyDescent="0.3">
      <c r="H177" s="196" t="s">
        <v>137</v>
      </c>
      <c r="I177" s="214">
        <f>IFERROR(VLOOKUP(H177,$B$3:$F$62,5,FALSE),"")</f>
        <v>0.98529999999999995</v>
      </c>
      <c r="J177" s="200"/>
    </row>
    <row r="178" spans="8:10" x14ac:dyDescent="0.3">
      <c r="H178" s="196" t="s">
        <v>177</v>
      </c>
      <c r="I178" s="214" t="str">
        <f>IFERROR(VLOOKUP(H178,$B$3:$F$62,5,FALSE),"")</f>
        <v/>
      </c>
      <c r="J178" s="200"/>
    </row>
    <row r="179" spans="8:10" x14ac:dyDescent="0.3">
      <c r="H179" s="196" t="s">
        <v>178</v>
      </c>
      <c r="I179" s="214" t="str">
        <f>IFERROR(VLOOKUP(H179,$B$3:$F$62,5,FALSE),"")</f>
        <v/>
      </c>
      <c r="J179" s="200"/>
    </row>
    <row r="180" spans="8:10" x14ac:dyDescent="0.3">
      <c r="H180" s="196" t="s">
        <v>179</v>
      </c>
      <c r="I180" s="214" t="str">
        <f>IFERROR(VLOOKUP(H180,$B$3:$F$62,5,FALSE),"")</f>
        <v/>
      </c>
      <c r="J180" s="200"/>
    </row>
    <row r="181" spans="8:10" x14ac:dyDescent="0.3">
      <c r="H181" s="196" t="s">
        <v>180</v>
      </c>
      <c r="I181" s="214" t="str">
        <f>IFERROR(VLOOKUP(H181,$B$3:$F$62,5,FALSE),"")</f>
        <v/>
      </c>
      <c r="J181" s="200"/>
    </row>
    <row r="182" spans="8:10" x14ac:dyDescent="0.3">
      <c r="H182" s="196" t="s">
        <v>139</v>
      </c>
      <c r="I182" s="214">
        <f>IFERROR(VLOOKUP(H182,$B$3:$F$62,5,FALSE),"")</f>
        <v>0.73009999999999997</v>
      </c>
      <c r="J182" s="200"/>
    </row>
    <row r="183" spans="8:10" x14ac:dyDescent="0.3">
      <c r="H183" s="196" t="s">
        <v>181</v>
      </c>
      <c r="I183" s="214" t="str">
        <f>IFERROR(VLOOKUP(H183,$B$3:$F$62,5,FALSE),"")</f>
        <v/>
      </c>
      <c r="J183" s="200"/>
    </row>
    <row r="184" spans="8:10" x14ac:dyDescent="0.3">
      <c r="H184" s="196" t="s">
        <v>182</v>
      </c>
      <c r="I184" s="214" t="str">
        <f>IFERROR(VLOOKUP(H184,$B$3:$F$62,5,FALSE),"")</f>
        <v/>
      </c>
      <c r="J184" s="200"/>
    </row>
    <row r="185" spans="8:10" x14ac:dyDescent="0.3">
      <c r="H185" s="196"/>
      <c r="I185" s="214" t="str">
        <f>IFERROR(VLOOKUP(H185,$B$3:$F$62,5,FALSE),"")</f>
        <v/>
      </c>
      <c r="J185" s="200"/>
    </row>
    <row r="186" spans="8:10" x14ac:dyDescent="0.3">
      <c r="H186" s="196"/>
      <c r="I186" s="214" t="str">
        <f>IFERROR(VLOOKUP(H186,$B$3:$F$62,5,FALSE),"")</f>
        <v/>
      </c>
      <c r="J186" s="200"/>
    </row>
    <row r="187" spans="8:10" x14ac:dyDescent="0.3">
      <c r="H187" s="196"/>
      <c r="I187" s="214" t="str">
        <f>IFERROR(VLOOKUP(H187,$B$3:$F$62,5,FALSE),"")</f>
        <v/>
      </c>
      <c r="J187" s="200"/>
    </row>
    <row r="188" spans="8:10" x14ac:dyDescent="0.3">
      <c r="H188" s="196"/>
      <c r="I188" s="214" t="str">
        <f>IFERROR(VLOOKUP(H188,$B$3:$F$62,5,FALSE),"")</f>
        <v/>
      </c>
      <c r="J188" s="200"/>
    </row>
    <row r="189" spans="8:10" x14ac:dyDescent="0.3">
      <c r="H189" s="196"/>
      <c r="I189" s="214" t="str">
        <f>IFERROR(VLOOKUP(H189,$B$3:$F$62,5,FALSE),"")</f>
        <v/>
      </c>
      <c r="J189" s="200"/>
    </row>
    <row r="190" spans="8:10" x14ac:dyDescent="0.3">
      <c r="H190" s="196"/>
      <c r="I190" s="214" t="str">
        <f>IFERROR(VLOOKUP(H190,$B$3:$F$62,5,FALSE),"")</f>
        <v/>
      </c>
      <c r="J190" s="200"/>
    </row>
    <row r="191" spans="8:10" x14ac:dyDescent="0.3">
      <c r="H191" s="196"/>
      <c r="I191" s="214" t="str">
        <f>IFERROR(VLOOKUP(H191,$B$3:$F$62,5,FALSE),"")</f>
        <v/>
      </c>
      <c r="J191" s="200"/>
    </row>
    <row r="192" spans="8:10" x14ac:dyDescent="0.3">
      <c r="H192" s="196"/>
      <c r="I192" s="214" t="str">
        <f>IFERROR(VLOOKUP(H192,$B$3:$F$62,5,FALSE),"")</f>
        <v/>
      </c>
      <c r="J192" s="200"/>
    </row>
    <row r="193" spans="8:10" x14ac:dyDescent="0.3">
      <c r="H193" s="196"/>
      <c r="I193" s="214" t="str">
        <f>IFERROR(VLOOKUP(H193,$B$3:$F$62,5,FALSE),"")</f>
        <v/>
      </c>
      <c r="J193" s="200"/>
    </row>
    <row r="194" spans="8:10" x14ac:dyDescent="0.3">
      <c r="H194" s="196"/>
      <c r="I194" s="214" t="str">
        <f>IFERROR(VLOOKUP(H194,$B$3:$F$62,5,FALSE),"")</f>
        <v/>
      </c>
      <c r="J194" s="200"/>
    </row>
    <row r="195" spans="8:10" x14ac:dyDescent="0.3">
      <c r="H195" s="200" t="s">
        <v>80</v>
      </c>
      <c r="I195" s="214" t="str">
        <f>IFERROR(VLOOKUP(H195,$B$3:$F$62,5,FALSE),"")</f>
        <v/>
      </c>
      <c r="J195" s="209">
        <f>SUM(I195:I205)</f>
        <v>0</v>
      </c>
    </row>
    <row r="196" spans="8:10" x14ac:dyDescent="0.3">
      <c r="H196" s="196"/>
      <c r="I196" s="214" t="str">
        <f>IFERROR(VLOOKUP(H196,$B$3:$F$62,5,FALSE),"")</f>
        <v/>
      </c>
      <c r="J196" s="196"/>
    </row>
    <row r="197" spans="8:10" x14ac:dyDescent="0.3">
      <c r="H197" s="196"/>
      <c r="I197" s="214" t="str">
        <f>IFERROR(VLOOKUP(H197,$B$3:$F$62,5,FALSE),"")</f>
        <v/>
      </c>
      <c r="J197" s="196"/>
    </row>
    <row r="198" spans="8:10" x14ac:dyDescent="0.3">
      <c r="H198" s="196"/>
      <c r="I198" s="214" t="str">
        <f>IFERROR(VLOOKUP(H198,$B$3:$F$62,5,FALSE),"")</f>
        <v/>
      </c>
      <c r="J198" s="196"/>
    </row>
    <row r="199" spans="8:10" x14ac:dyDescent="0.3">
      <c r="H199" s="196"/>
      <c r="I199" s="214" t="str">
        <f>IFERROR(VLOOKUP(H199,$B$3:$F$62,5,FALSE),"")</f>
        <v/>
      </c>
      <c r="J199" s="196"/>
    </row>
    <row r="200" spans="8:10" x14ac:dyDescent="0.3">
      <c r="H200" s="196"/>
      <c r="I200" s="214" t="str">
        <f>IFERROR(VLOOKUP(H200,$B$3:$F$62,5,FALSE),"")</f>
        <v/>
      </c>
      <c r="J200" s="196"/>
    </row>
    <row r="201" spans="8:10" x14ac:dyDescent="0.3">
      <c r="H201" s="196"/>
      <c r="I201" s="214" t="str">
        <f>IFERROR(VLOOKUP(H201,$B$3:$F$62,5,FALSE),"")</f>
        <v/>
      </c>
      <c r="J201" s="196"/>
    </row>
    <row r="202" spans="8:10" x14ac:dyDescent="0.3">
      <c r="H202" s="196"/>
      <c r="I202" s="214" t="str">
        <f>IFERROR(VLOOKUP(H202,$B$3:$F$62,5,FALSE),"")</f>
        <v/>
      </c>
      <c r="J202" s="196"/>
    </row>
    <row r="203" spans="8:10" x14ac:dyDescent="0.3">
      <c r="H203" s="196"/>
      <c r="I203" s="214" t="str">
        <f>IFERROR(VLOOKUP(H203,$B$3:$F$62,5,FALSE),"")</f>
        <v/>
      </c>
      <c r="J203" s="196"/>
    </row>
    <row r="204" spans="8:10" x14ac:dyDescent="0.3">
      <c r="H204" s="196"/>
      <c r="I204" s="214" t="str">
        <f>IFERROR(VLOOKUP(H204,$B$3:$F$62,5,FALSE),"")</f>
        <v/>
      </c>
      <c r="J204" s="196"/>
    </row>
    <row r="205" spans="8:10" x14ac:dyDescent="0.3">
      <c r="H205" s="196"/>
      <c r="I205" s="214" t="str">
        <f>IFERROR(VLOOKUP(H205,$B$3:$F$62,5,FALSE),"")</f>
        <v/>
      </c>
      <c r="J205" s="196"/>
    </row>
    <row r="206" spans="8:10" x14ac:dyDescent="0.3">
      <c r="I206" s="214" t="str">
        <f>IFERROR(VLOOKUP(H206,$B$3:$F$62,5,FALSE),"")</f>
        <v/>
      </c>
    </row>
    <row r="207" spans="8:10" x14ac:dyDescent="0.3">
      <c r="I207" s="214" t="str">
        <f>IFERROR(VLOOKUP(H207,$B$3:$F$62,5,FALSE),"")</f>
        <v/>
      </c>
    </row>
    <row r="208" spans="8:10" x14ac:dyDescent="0.3">
      <c r="I208" s="214" t="str">
        <f>IFERROR(VLOOKUP(H208,$B$3:$F$62,5,FALSE),"")</f>
        <v/>
      </c>
    </row>
    <row r="209" spans="9:9" x14ac:dyDescent="0.3">
      <c r="I209" s="214" t="str">
        <f>IFERROR(VLOOKUP(H209,$B$3:$F$62,5,FALSE),"")</f>
        <v/>
      </c>
    </row>
    <row r="210" spans="9:9" x14ac:dyDescent="0.3">
      <c r="I210" s="214" t="str">
        <f>IFERROR(VLOOKUP(H210,$B$3:$F$62,5,FALSE),"")</f>
        <v/>
      </c>
    </row>
    <row r="211" spans="9:9" x14ac:dyDescent="0.3">
      <c r="I211" s="214" t="str">
        <f>IFERROR(VLOOKUP(H211,$B$3:$F$62,5,FALSE),"")</f>
        <v/>
      </c>
    </row>
    <row r="212" spans="9:9" x14ac:dyDescent="0.3">
      <c r="I212" s="214" t="str">
        <f>IFERROR(VLOOKUP(H212,$B$3:$F$62,5,FALSE),"")</f>
        <v/>
      </c>
    </row>
    <row r="213" spans="9:9" x14ac:dyDescent="0.3">
      <c r="I213" s="214" t="str">
        <f>IFERROR(VLOOKUP(H213,$B$3:$F$62,5,FALSE),"")</f>
        <v/>
      </c>
    </row>
    <row r="214" spans="9:9" x14ac:dyDescent="0.3">
      <c r="I214" s="214" t="str">
        <f>IFERROR(VLOOKUP(H214,$B$3:$F$62,5,FALSE),"")</f>
        <v/>
      </c>
    </row>
    <row r="215" spans="9:9" x14ac:dyDescent="0.3">
      <c r="I215" s="214" t="str">
        <f>IFERROR(VLOOKUP(H215,$B$3:$F$62,5,FALSE),"")</f>
        <v/>
      </c>
    </row>
    <row r="216" spans="9:9" x14ac:dyDescent="0.3">
      <c r="I216" s="214" t="str">
        <f>IFERROR(VLOOKUP(H216,$B$3:$F$62,5,FALSE),"")</f>
        <v/>
      </c>
    </row>
    <row r="217" spans="9:9" x14ac:dyDescent="0.3">
      <c r="I217" s="214" t="str">
        <f>IFERROR(VLOOKUP(H217,$B$3:$F$62,5,FALSE),"")</f>
        <v/>
      </c>
    </row>
    <row r="218" spans="9:9" x14ac:dyDescent="0.3">
      <c r="I218" s="214" t="str">
        <f>IFERROR(VLOOKUP(H218,$B$3:$F$62,5,FALSE),"")</f>
        <v/>
      </c>
    </row>
    <row r="219" spans="9:9" x14ac:dyDescent="0.3">
      <c r="I219" s="214" t="str">
        <f>IFERROR(VLOOKUP(H219,$B$3:$F$62,5,FALSE),"")</f>
        <v/>
      </c>
    </row>
    <row r="220" spans="9:9" x14ac:dyDescent="0.3">
      <c r="I220" s="214" t="str">
        <f>IFERROR(VLOOKUP(H220,$B$3:$F$62,5,FALSE),"")</f>
        <v/>
      </c>
    </row>
    <row r="221" spans="9:9" x14ac:dyDescent="0.3">
      <c r="I221" s="214" t="str">
        <f>IFERROR(VLOOKUP(H221,$B$3:$F$62,5,FALSE),"")</f>
        <v/>
      </c>
    </row>
    <row r="222" spans="9:9" x14ac:dyDescent="0.3">
      <c r="I222" s="214" t="str">
        <f>IFERROR(VLOOKUP(H222,$B$3:$F$62,5,FALSE),"")</f>
        <v/>
      </c>
    </row>
    <row r="223" spans="9:9" x14ac:dyDescent="0.3">
      <c r="I223" s="214" t="str">
        <f>IFERROR(VLOOKUP(H223,$B$3:$F$62,5,FALSE),"")</f>
        <v/>
      </c>
    </row>
    <row r="224" spans="9:9" x14ac:dyDescent="0.3">
      <c r="I224" s="214" t="str">
        <f>IFERROR(VLOOKUP(H224,$B$3:$F$62,5,FALSE),"")</f>
        <v/>
      </c>
    </row>
    <row r="225" spans="9:9" x14ac:dyDescent="0.3">
      <c r="I225" s="214" t="str">
        <f>IFERROR(VLOOKUP(H225,$B$3:$F$62,5,FALSE),"")</f>
        <v/>
      </c>
    </row>
    <row r="226" spans="9:9" x14ac:dyDescent="0.3">
      <c r="I226" s="214" t="str">
        <f>IFERROR(VLOOKUP(H226,$B$3:$F$62,5,FALSE),"")</f>
        <v/>
      </c>
    </row>
    <row r="227" spans="9:9" x14ac:dyDescent="0.3">
      <c r="I227" s="214" t="str">
        <f>IFERROR(VLOOKUP(H227,$B$3:$F$62,5,FALSE),"")</f>
        <v/>
      </c>
    </row>
    <row r="228" spans="9:9" x14ac:dyDescent="0.3">
      <c r="I228" s="214" t="str">
        <f>IFERROR(VLOOKUP(H228,$B$3:$F$62,5,FALSE),"")</f>
        <v/>
      </c>
    </row>
    <row r="229" spans="9:9" x14ac:dyDescent="0.3">
      <c r="I229" s="214" t="str">
        <f>IFERROR(VLOOKUP(H229,$B$3:$F$62,5,FALSE),"")</f>
        <v/>
      </c>
    </row>
    <row r="230" spans="9:9" x14ac:dyDescent="0.3">
      <c r="I230" s="214" t="str">
        <f>IFERROR(VLOOKUP(H230,$B$3:$F$62,5,FALSE),"")</f>
        <v/>
      </c>
    </row>
    <row r="231" spans="9:9" x14ac:dyDescent="0.3">
      <c r="I231" s="214" t="str">
        <f>IFERROR(VLOOKUP(H231,$B$3:$F$62,5,FALSE),"")</f>
        <v/>
      </c>
    </row>
    <row r="232" spans="9:9" x14ac:dyDescent="0.3">
      <c r="I232" s="214" t="str">
        <f>IFERROR(VLOOKUP(H232,$B$3:$F$62,5,FALSE),"")</f>
        <v/>
      </c>
    </row>
    <row r="233" spans="9:9" x14ac:dyDescent="0.3">
      <c r="I233" s="214" t="str">
        <f>IFERROR(VLOOKUP(H233,$B$3:$F$62,5,FALSE),"")</f>
        <v/>
      </c>
    </row>
    <row r="234" spans="9:9" x14ac:dyDescent="0.3">
      <c r="I234" s="214" t="str">
        <f>IFERROR(VLOOKUP(H234,$B$3:$F$62,5,FALSE),"")</f>
        <v/>
      </c>
    </row>
    <row r="235" spans="9:9" x14ac:dyDescent="0.3">
      <c r="I235" s="214" t="str">
        <f>IFERROR(VLOOKUP(H235,$B$3:$F$62,5,FALSE),"")</f>
        <v/>
      </c>
    </row>
    <row r="236" spans="9:9" x14ac:dyDescent="0.3">
      <c r="I236" s="214" t="str">
        <f>IFERROR(VLOOKUP(H236,$B$3:$F$62,5,FALSE),"")</f>
        <v/>
      </c>
    </row>
    <row r="237" spans="9:9" x14ac:dyDescent="0.3">
      <c r="I237" s="214" t="str">
        <f>IFERROR(VLOOKUP(H237,$B$3:$F$62,5,FALSE),"")</f>
        <v/>
      </c>
    </row>
    <row r="238" spans="9:9" x14ac:dyDescent="0.3">
      <c r="I238" s="214" t="str">
        <f>IFERROR(VLOOKUP(H238,$B$3:$F$62,5,FALSE),"")</f>
        <v/>
      </c>
    </row>
    <row r="239" spans="9:9" x14ac:dyDescent="0.3">
      <c r="I239" s="214" t="str">
        <f>IFERROR(VLOOKUP(H239,$B$3:$F$62,5,FALSE),"")</f>
        <v/>
      </c>
    </row>
    <row r="240" spans="9:9" x14ac:dyDescent="0.3">
      <c r="I240" s="214" t="str">
        <f>IFERROR(VLOOKUP(H240,$B$3:$F$62,5,FALSE),"")</f>
        <v/>
      </c>
    </row>
    <row r="241" spans="9:9" x14ac:dyDescent="0.3">
      <c r="I241" s="214" t="str">
        <f>IFERROR(VLOOKUP(H241,$B$3:$F$62,5,FALSE),"")</f>
        <v/>
      </c>
    </row>
    <row r="242" spans="9:9" x14ac:dyDescent="0.3">
      <c r="I242" s="214" t="str">
        <f>IFERROR(VLOOKUP(H242,$B$3:$F$62,5,FALSE),"")</f>
        <v/>
      </c>
    </row>
    <row r="243" spans="9:9" x14ac:dyDescent="0.3">
      <c r="I243" s="214" t="str">
        <f>IFERROR(VLOOKUP(H243,$B$3:$F$62,5,FALSE),"")</f>
        <v/>
      </c>
    </row>
    <row r="244" spans="9:9" x14ac:dyDescent="0.3">
      <c r="I244" s="214" t="str">
        <f>IFERROR(VLOOKUP(H244,$B$3:$F$62,5,FALSE),"")</f>
        <v/>
      </c>
    </row>
    <row r="245" spans="9:9" x14ac:dyDescent="0.3">
      <c r="I245" s="214" t="str">
        <f>IFERROR(VLOOKUP(H245,$B$3:$F$62,5,FALSE),"")</f>
        <v/>
      </c>
    </row>
    <row r="246" spans="9:9" x14ac:dyDescent="0.3">
      <c r="I246" s="214" t="str">
        <f>IFERROR(VLOOKUP(H246,$B$3:$F$62,5,FALSE),"")</f>
        <v/>
      </c>
    </row>
    <row r="247" spans="9:9" x14ac:dyDescent="0.3">
      <c r="I247" s="214" t="str">
        <f>IFERROR(VLOOKUP(H247,$B$3:$F$62,5,FALSE),"")</f>
        <v/>
      </c>
    </row>
    <row r="248" spans="9:9" x14ac:dyDescent="0.3">
      <c r="I248" s="214" t="str">
        <f>IFERROR(VLOOKUP(H248,$B$3:$F$62,5,FALSE),"")</f>
        <v/>
      </c>
    </row>
    <row r="249" spans="9:9" x14ac:dyDescent="0.3">
      <c r="I249" s="214" t="str">
        <f>IFERROR(VLOOKUP(H249,$B$3:$F$62,5,FALSE),"")</f>
        <v/>
      </c>
    </row>
    <row r="250" spans="9:9" x14ac:dyDescent="0.3">
      <c r="I250" s="214" t="str">
        <f>IFERROR(VLOOKUP(H250,$B$3:$F$62,5,FALSE),"")</f>
        <v/>
      </c>
    </row>
    <row r="251" spans="9:9" x14ac:dyDescent="0.3">
      <c r="I251" s="214" t="str">
        <f>IFERROR(VLOOKUP(H251,$B$3:$F$62,5,FALSE),"")</f>
        <v/>
      </c>
    </row>
    <row r="252" spans="9:9" x14ac:dyDescent="0.3">
      <c r="I252" s="214" t="str">
        <f>IFERROR(VLOOKUP(H252,$B$3:$F$62,5,FALSE),"")</f>
        <v/>
      </c>
    </row>
    <row r="253" spans="9:9" x14ac:dyDescent="0.3">
      <c r="I253" s="214" t="str">
        <f>IFERROR(VLOOKUP(H253,$B$3:$F$62,5,FALSE),"")</f>
        <v/>
      </c>
    </row>
    <row r="254" spans="9:9" x14ac:dyDescent="0.3">
      <c r="I254" s="214" t="str">
        <f>IFERROR(VLOOKUP(H254,$B$3:$F$62,5,FALSE),"")</f>
        <v/>
      </c>
    </row>
    <row r="255" spans="9:9" x14ac:dyDescent="0.3">
      <c r="I255" s="214" t="str">
        <f>IFERROR(VLOOKUP(H255,$B$3:$F$62,5,FALSE),"")</f>
        <v/>
      </c>
    </row>
    <row r="256" spans="9:9" x14ac:dyDescent="0.3">
      <c r="I256" s="214" t="str">
        <f>IFERROR(VLOOKUP(H256,$B$3:$F$62,5,FALSE),"")</f>
        <v/>
      </c>
    </row>
    <row r="257" spans="9:9" x14ac:dyDescent="0.3">
      <c r="I257" s="214" t="str">
        <f>IFERROR(VLOOKUP(H257,$B$3:$F$62,5,FALSE),"")</f>
        <v/>
      </c>
    </row>
    <row r="258" spans="9:9" x14ac:dyDescent="0.3">
      <c r="I258" s="214" t="str">
        <f>IFERROR(VLOOKUP(H258,$B$3:$F$62,5,FALSE),"")</f>
        <v/>
      </c>
    </row>
    <row r="259" spans="9:9" x14ac:dyDescent="0.3">
      <c r="I259" s="214" t="str">
        <f>IFERROR(VLOOKUP(H259,$B$3:$F$62,5,FALSE),"")</f>
        <v/>
      </c>
    </row>
    <row r="260" spans="9:9" x14ac:dyDescent="0.3">
      <c r="I260" s="214" t="str">
        <f>IFERROR(VLOOKUP(H260,$B$3:$F$62,5,FALSE),"")</f>
        <v/>
      </c>
    </row>
    <row r="261" spans="9:9" x14ac:dyDescent="0.3">
      <c r="I261" s="214" t="str">
        <f>IFERROR(VLOOKUP(H261,$B$3:$F$62,5,FALSE),"")</f>
        <v/>
      </c>
    </row>
    <row r="262" spans="9:9" x14ac:dyDescent="0.3">
      <c r="I262" s="214" t="str">
        <f>IFERROR(VLOOKUP(H262,$B$3:$F$62,5,FALSE),"")</f>
        <v/>
      </c>
    </row>
    <row r="263" spans="9:9" x14ac:dyDescent="0.3">
      <c r="I263" s="214" t="str">
        <f>IFERROR(VLOOKUP(H263,$B$3:$F$62,5,FALSE),"")</f>
        <v/>
      </c>
    </row>
    <row r="264" spans="9:9" x14ac:dyDescent="0.3">
      <c r="I264" s="214" t="str">
        <f>IFERROR(VLOOKUP(H264,$B$3:$F$62,5,FALSE),"")</f>
        <v/>
      </c>
    </row>
    <row r="265" spans="9:9" x14ac:dyDescent="0.3">
      <c r="I265" s="214" t="str">
        <f>IFERROR(VLOOKUP(H265,$B$3:$F$62,5,FALSE),"")</f>
        <v/>
      </c>
    </row>
  </sheetData>
  <customSheetViews>
    <customSheetView guid="{5C7B38D6-29D9-4C20-A92E-817BB499D35F}" scale="92">
      <selection activeCell="E3" sqref="E3:E65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B215E-EF56-4CCC-9805-B792065F53EF}">
  <sheetPr codeName="Sheet3"/>
  <dimension ref="B1:R265"/>
  <sheetViews>
    <sheetView zoomScale="55" zoomScaleNormal="55" workbookViewId="0">
      <selection activeCell="I34" sqref="I1:I1048576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4" x14ac:dyDescent="0.3">
      <c r="B1" t="s">
        <v>58</v>
      </c>
      <c r="C1" t="s">
        <v>59</v>
      </c>
    </row>
    <row r="2" spans="2:14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3"/>
      <c r="L2" s="111" t="s">
        <v>69</v>
      </c>
      <c r="M2" s="112" t="s">
        <v>204</v>
      </c>
      <c r="N2" s="112" t="s">
        <v>204</v>
      </c>
    </row>
    <row r="3" spans="2:14" s="1" customFormat="1" x14ac:dyDescent="0.3">
      <c r="B3" s="40" t="s">
        <v>84</v>
      </c>
      <c r="C3" s="41" t="s">
        <v>108</v>
      </c>
      <c r="D3" s="42">
        <v>0.87849999999999995</v>
      </c>
      <c r="E3" s="24">
        <f>IF(B3="MDZ140R","",IFERROR((SUMIF($B$3:$B$64,"MDZ140R",$F$3:$F$64)*INDEX($Q$20:$Q$74,MATCH(B3,$N$20:$N$74,0))),""))</f>
        <v>0.24057373199999998</v>
      </c>
      <c r="F3" s="42">
        <f>IF(D3="","",D3+ IF(E3="",0,E3))</f>
        <v>1.1190737319999999</v>
      </c>
      <c r="H3" s="202" t="s">
        <v>71</v>
      </c>
      <c r="I3" s="214" t="str">
        <f>IFERROR(VLOOKUP(H3,$B$3:$F$62,5,FALSE),"")</f>
        <v/>
      </c>
      <c r="J3" s="203">
        <f>SUM(I3:I21)</f>
        <v>3.0789262439999998</v>
      </c>
      <c r="L3" s="80" t="s">
        <v>70</v>
      </c>
      <c r="M3" s="114">
        <f>VLOOKUP(L3,$H$3:$J$205,3,FALSE)</f>
        <v>9.8799999999999999E-2</v>
      </c>
      <c r="N3" s="138">
        <f>(M3/$M$14)</f>
        <v>6.0203099964227834E-3</v>
      </c>
    </row>
    <row r="4" spans="2:14" s="1" customFormat="1" x14ac:dyDescent="0.3">
      <c r="B4" s="40" t="s">
        <v>85</v>
      </c>
      <c r="C4" s="41" t="s">
        <v>194</v>
      </c>
      <c r="D4" s="42">
        <v>0.8155</v>
      </c>
      <c r="E4" s="24" t="str">
        <f>IF(B4="MDZ140R","",IFERROR((SUMIF($B$3:$B$64,"MDZ140R",$F$3:$F$64)*INDEX($Q$20:$Q$74,MATCH(B4,$N$20:$N$74,0))),""))</f>
        <v/>
      </c>
      <c r="F4" s="42">
        <f t="shared" ref="F4:F74" si="0">IF(D4="","",D4+ IF(E4="",0,E4))</f>
        <v>0.8155</v>
      </c>
      <c r="H4" s="192" t="s">
        <v>46</v>
      </c>
      <c r="I4" s="214">
        <f>IFERROR(VLOOKUP(H4,$B$3:$F$62,5,FALSE),"")</f>
        <v>0.95349124399999996</v>
      </c>
      <c r="J4" s="204"/>
      <c r="L4" s="56" t="s">
        <v>71</v>
      </c>
      <c r="M4" s="114">
        <f>VLOOKUP(L4,$H$3:$J$205,3,FALSE)</f>
        <v>3.0789262439999998</v>
      </c>
      <c r="N4" s="138">
        <f t="shared" ref="N4:N13" si="1">(M4/$M$14)</f>
        <v>0.18761225146762806</v>
      </c>
    </row>
    <row r="5" spans="2:14" s="1" customFormat="1" x14ac:dyDescent="0.3">
      <c r="B5" s="40" t="s">
        <v>46</v>
      </c>
      <c r="C5" s="41" t="s">
        <v>47</v>
      </c>
      <c r="D5" s="42">
        <v>0.87329999999999997</v>
      </c>
      <c r="E5" s="24">
        <f>IF(B5="MDZ140R","",IFERROR((SUMIF($B$3:$B$64,"MDZ140R",$F$3:$F$64)*INDEX($Q$20:$Q$74,MATCH(B5,$N$20:$N$74,0))),""))</f>
        <v>8.0191244000000009E-2</v>
      </c>
      <c r="F5" s="42">
        <f t="shared" si="0"/>
        <v>0.95349124399999996</v>
      </c>
      <c r="H5" s="192" t="s">
        <v>86</v>
      </c>
      <c r="I5" s="214" t="str">
        <f>IFERROR(VLOOKUP(H5,$B$3:$F$62,5,FALSE),"")</f>
        <v/>
      </c>
      <c r="J5" s="204"/>
      <c r="L5" s="80" t="s">
        <v>72</v>
      </c>
      <c r="M5" s="114">
        <f>VLOOKUP(L5,$H$3:$J$205,3,FALSE)</f>
        <v>0.41917500000000002</v>
      </c>
      <c r="N5" s="138">
        <f t="shared" si="1"/>
        <v>2.5542140108810934E-2</v>
      </c>
    </row>
    <row r="6" spans="2:14" s="1" customFormat="1" x14ac:dyDescent="0.3">
      <c r="B6" s="40" t="s">
        <v>36</v>
      </c>
      <c r="C6" s="41" t="s">
        <v>37</v>
      </c>
      <c r="D6" s="42">
        <v>0.11749999999999999</v>
      </c>
      <c r="E6" s="24" t="str">
        <f>IF(B6="MDZ140R","",IFERROR((SUMIF($B$3:$B$64,"MDZ140R",$F$3:$F$64)*INDEX($Q$20:$Q$74,MATCH(B6,$N$20:$N$74,0))),""))</f>
        <v/>
      </c>
      <c r="F6" s="42">
        <f t="shared" si="0"/>
        <v>0.11749999999999999</v>
      </c>
      <c r="H6" s="192" t="s">
        <v>36</v>
      </c>
      <c r="I6" s="211">
        <v>0.36880000000000002</v>
      </c>
      <c r="J6" s="204"/>
      <c r="L6" s="56" t="s">
        <v>73</v>
      </c>
      <c r="M6" s="114">
        <f>VLOOKUP(L6,$H$3:$J$205,3,FALSE)</f>
        <v>1.3525534779999999</v>
      </c>
      <c r="N6" s="138">
        <f t="shared" si="1"/>
        <v>8.2416915225706502E-2</v>
      </c>
    </row>
    <row r="7" spans="2:14" s="1" customFormat="1" x14ac:dyDescent="0.3">
      <c r="B7" s="40" t="s">
        <v>13</v>
      </c>
      <c r="C7" s="41" t="s">
        <v>68</v>
      </c>
      <c r="D7" s="42">
        <v>0.1976</v>
      </c>
      <c r="E7" s="24" t="str">
        <f>IF(B7="MDZ140R","",IFERROR((SUMIF($B$3:$B$64,"MDZ140R",$F$3:$F$64)*INDEX($Q$20:$Q$74,MATCH(B7,$N$20:$N$74,0))),""))</f>
        <v/>
      </c>
      <c r="F7" s="42">
        <f t="shared" si="0"/>
        <v>0.1976</v>
      </c>
      <c r="H7" s="192" t="s">
        <v>87</v>
      </c>
      <c r="I7" s="212">
        <v>0.13972499999999999</v>
      </c>
      <c r="J7" s="204"/>
      <c r="L7" s="80" t="s">
        <v>74</v>
      </c>
      <c r="M7" s="114">
        <f>VLOOKUP(L7,$H$3:$J$205,3,FALSE)</f>
        <v>5.646875E-3</v>
      </c>
      <c r="N7" s="138">
        <f t="shared" si="1"/>
        <v>3.4408844140738768E-4</v>
      </c>
    </row>
    <row r="8" spans="2:14" s="1" customFormat="1" x14ac:dyDescent="0.3">
      <c r="B8" s="40" t="s">
        <v>31</v>
      </c>
      <c r="C8" s="41" t="s">
        <v>67</v>
      </c>
      <c r="D8" s="42">
        <v>0.71499999999999997</v>
      </c>
      <c r="E8" s="24" t="str">
        <f>IF(B8="MDZ140R","",IFERROR((SUMIF($B$3:$B$64,"MDZ140R",$F$3:$F$64)*INDEX($Q$20:$Q$74,MATCH(B8,$N$20:$N$74,0))),""))</f>
        <v/>
      </c>
      <c r="F8" s="42">
        <f t="shared" si="0"/>
        <v>0.71499999999999997</v>
      </c>
      <c r="H8" s="192" t="s">
        <v>88</v>
      </c>
      <c r="I8" s="214" t="str">
        <f>IFERROR(VLOOKUP(H8,$B$3:$F$62,5,FALSE),"")</f>
        <v/>
      </c>
      <c r="J8" s="204"/>
      <c r="L8" s="56" t="s">
        <v>75</v>
      </c>
      <c r="M8" s="114">
        <f>VLOOKUP(L8,$H$3:$J$205,3,FALSE)</f>
        <v>0.69840000000000002</v>
      </c>
      <c r="N8" s="138">
        <f t="shared" si="1"/>
        <v>4.2556523294551334E-2</v>
      </c>
    </row>
    <row r="9" spans="2:14" s="1" customFormat="1" x14ac:dyDescent="0.3">
      <c r="B9" s="40" t="s">
        <v>90</v>
      </c>
      <c r="C9" s="41" t="s">
        <v>195</v>
      </c>
      <c r="D9" s="42">
        <v>0.30009999999999998</v>
      </c>
      <c r="E9" s="24" t="str">
        <f>IF(B9="MDZ140R","",IFERROR((SUMIF($B$3:$B$64,"MDZ140R",$F$3:$F$64)*INDEX($Q$20:$Q$74,MATCH(B9,$N$20:$N$74,0))),""))</f>
        <v/>
      </c>
      <c r="F9" s="42">
        <f t="shared" si="0"/>
        <v>0.30009999999999998</v>
      </c>
      <c r="H9" s="192" t="s">
        <v>89</v>
      </c>
      <c r="I9" s="214" t="str">
        <f>IFERROR(VLOOKUP(H9,$B$3:$F$62,5,FALSE),"")</f>
        <v/>
      </c>
      <c r="J9" s="204"/>
      <c r="L9" s="80" t="s">
        <v>76</v>
      </c>
      <c r="M9" s="114">
        <f>VLOOKUP(L9,$H$3:$J$205,3,FALSE)</f>
        <v>0</v>
      </c>
      <c r="N9" s="138">
        <f t="shared" si="1"/>
        <v>0</v>
      </c>
    </row>
    <row r="10" spans="2:14" s="1" customFormat="1" x14ac:dyDescent="0.3">
      <c r="B10" s="40" t="s">
        <v>44</v>
      </c>
      <c r="C10" s="41" t="s">
        <v>146</v>
      </c>
      <c r="D10" s="42">
        <v>0.6673</v>
      </c>
      <c r="E10" s="24" t="str">
        <f>IF(B10="MDZ140R","",IFERROR((SUMIF($B$3:$B$64,"MDZ140R",$F$3:$F$64)*INDEX($Q$20:$Q$74,MATCH(B10,$N$20:$N$74,0))),""))</f>
        <v/>
      </c>
      <c r="F10" s="42">
        <f t="shared" si="0"/>
        <v>0.6673</v>
      </c>
      <c r="H10" s="192" t="s">
        <v>13</v>
      </c>
      <c r="I10" s="211">
        <v>9.8799999999999999E-2</v>
      </c>
      <c r="J10" s="204"/>
      <c r="L10" s="56" t="s">
        <v>77</v>
      </c>
      <c r="M10" s="114">
        <f>VLOOKUP(L10,$H$3:$J$205,3,FALSE)</f>
        <v>9.3647057935000007</v>
      </c>
      <c r="N10" s="138">
        <f t="shared" si="1"/>
        <v>0.57063190184378954</v>
      </c>
    </row>
    <row r="11" spans="2:14" s="1" customFormat="1" x14ac:dyDescent="0.3">
      <c r="B11" s="40" t="s">
        <v>38</v>
      </c>
      <c r="C11" s="41" t="s">
        <v>39</v>
      </c>
      <c r="D11" s="42">
        <v>0.66700000000000004</v>
      </c>
      <c r="E11" s="24" t="str">
        <f>IF(B11="MDZ140R","",IFERROR((SUMIF($B$3:$B$64,"MDZ140R",$F$3:$F$64)*INDEX($Q$20:$Q$74,MATCH(B11,$N$20:$N$74,0))),""))</f>
        <v/>
      </c>
      <c r="F11" s="42">
        <f t="shared" si="0"/>
        <v>0.66700000000000004</v>
      </c>
      <c r="H11" s="192" t="s">
        <v>31</v>
      </c>
      <c r="I11" s="214">
        <f>IFERROR(VLOOKUP(H11,$B$3:$F$62,5,FALSE),"")</f>
        <v>0.71499999999999997</v>
      </c>
      <c r="J11" s="204"/>
      <c r="L11" s="80" t="s">
        <v>78</v>
      </c>
      <c r="M11" s="114">
        <f>VLOOKUP(L11,$H$3:$J$205,3,FALSE)</f>
        <v>0.3899076615</v>
      </c>
      <c r="N11" s="138">
        <f t="shared" si="1"/>
        <v>2.3758754981885434E-2</v>
      </c>
    </row>
    <row r="12" spans="2:14" s="1" customFormat="1" x14ac:dyDescent="0.3">
      <c r="B12" s="40" t="s">
        <v>9</v>
      </c>
      <c r="C12" s="41" t="s">
        <v>10</v>
      </c>
      <c r="D12" s="42">
        <v>2.9100000000000001E-2</v>
      </c>
      <c r="E12" s="24">
        <f>IF(B12="MDZ140R","",IFERROR((SUMIF($B$3:$B$64,"MDZ140R",$F$3:$F$64)*INDEX($Q$20:$Q$74,MATCH(B12,$N$20:$N$74,0))),""))</f>
        <v>0.19245910299999999</v>
      </c>
      <c r="F12" s="42">
        <f t="shared" si="0"/>
        <v>0.22155910299999998</v>
      </c>
      <c r="H12" s="192" t="s">
        <v>90</v>
      </c>
      <c r="I12" s="214">
        <f>IFERROR(VLOOKUP(H12,$B$3:$F$62,5,FALSE),"")</f>
        <v>0.30009999999999998</v>
      </c>
      <c r="J12" s="204"/>
      <c r="L12" s="56" t="s">
        <v>79</v>
      </c>
      <c r="M12" s="114">
        <f>VLOOKUP(L12,$H$3:$J$205,3,FALSE)</f>
        <v>1.0030000000000001</v>
      </c>
      <c r="N12" s="138">
        <f t="shared" si="1"/>
        <v>6.1117114639798097E-2</v>
      </c>
    </row>
    <row r="13" spans="2:14" s="1" customFormat="1" x14ac:dyDescent="0.3">
      <c r="B13" s="40" t="s">
        <v>119</v>
      </c>
      <c r="C13" s="41" t="s">
        <v>120</v>
      </c>
      <c r="D13" s="42">
        <v>0.51849999999999996</v>
      </c>
      <c r="E13" s="24" t="str">
        <f>IF(B13="MDZ140R","",IFERROR((SUMIF($B$3:$B$64,"MDZ140R",$F$3:$F$64)*INDEX($Q$20:$Q$74,MATCH(B13,$N$20:$N$74,0))),""))</f>
        <v/>
      </c>
      <c r="F13" s="42">
        <f t="shared" si="0"/>
        <v>0.51849999999999996</v>
      </c>
      <c r="H13" s="192" t="s">
        <v>91</v>
      </c>
      <c r="I13" s="214" t="str">
        <f>IFERROR(VLOOKUP(H13,$B$3:$F$62,5,FALSE),"")</f>
        <v/>
      </c>
      <c r="J13" s="204"/>
      <c r="L13" s="80" t="s">
        <v>80</v>
      </c>
      <c r="M13" s="114">
        <f>VLOOKUP(L13,$H$3:$J$205,3,FALSE)</f>
        <v>0</v>
      </c>
      <c r="N13" s="138">
        <f t="shared" si="1"/>
        <v>0</v>
      </c>
    </row>
    <row r="14" spans="2:14" s="1" customFormat="1" x14ac:dyDescent="0.3">
      <c r="B14" s="40" t="s">
        <v>11</v>
      </c>
      <c r="C14" s="41" t="s">
        <v>190</v>
      </c>
      <c r="D14" s="42">
        <v>0.17050000000000001</v>
      </c>
      <c r="E14" s="24" t="str">
        <f>IF(B14="MDZ140R","",IFERROR((SUMIF($B$3:$B$64,"MDZ140R",$F$3:$F$64)*INDEX($Q$20:$Q$74,MATCH(B14,$N$20:$N$74,0))),""))</f>
        <v/>
      </c>
      <c r="F14" s="42">
        <f t="shared" si="0"/>
        <v>0.17050000000000001</v>
      </c>
      <c r="H14" s="192" t="s">
        <v>92</v>
      </c>
      <c r="I14" s="214" t="str">
        <f>IFERROR(VLOOKUP(H14,$B$3:$F$62,5,FALSE),"")</f>
        <v/>
      </c>
      <c r="J14" s="204"/>
      <c r="L14" s="119" t="s">
        <v>81</v>
      </c>
      <c r="M14" s="120">
        <f>SUM(M3:M13)</f>
        <v>16.411115052</v>
      </c>
      <c r="N14" s="121">
        <f>SUM(N3:N13)</f>
        <v>1</v>
      </c>
    </row>
    <row r="15" spans="2:14" s="1" customFormat="1" x14ac:dyDescent="0.3">
      <c r="B15" s="40" t="s">
        <v>14</v>
      </c>
      <c r="C15" s="41" t="s">
        <v>15</v>
      </c>
      <c r="D15" s="42">
        <v>9.5100000000000004E-2</v>
      </c>
      <c r="E15" s="24">
        <f>IF(B15="MDZ140R","",IFERROR((SUMIF($B$3:$B$64,"MDZ140R",$F$3:$F$64)*INDEX($Q$20:$Q$74,MATCH(B15,$N$20:$N$74,0))),""))</f>
        <v>1.6038014E-2</v>
      </c>
      <c r="F15" s="42">
        <f t="shared" si="0"/>
        <v>0.11113801400000001</v>
      </c>
      <c r="H15" s="192" t="s">
        <v>93</v>
      </c>
      <c r="I15" s="214">
        <v>0.50300999999999996</v>
      </c>
      <c r="J15" s="204"/>
      <c r="L15" s="122" t="s">
        <v>82</v>
      </c>
      <c r="M15" s="120">
        <f>SUM(M3,M5,M7,M9,M11,M13)</f>
        <v>0.91352953650000013</v>
      </c>
      <c r="N15" s="123">
        <f>SUM(N13,N11,N9,N7,N5,N3)</f>
        <v>5.566529352852654E-2</v>
      </c>
    </row>
    <row r="16" spans="2:14" s="1" customFormat="1" x14ac:dyDescent="0.3">
      <c r="B16" s="40" t="s">
        <v>60</v>
      </c>
      <c r="C16" s="41" t="s">
        <v>4</v>
      </c>
      <c r="D16" s="42">
        <v>0.77339999999999998</v>
      </c>
      <c r="E16" s="24">
        <f>IF(B16="MDZ140R","",IFERROR((SUMIF($B$3:$B$64,"MDZ140R",$F$3:$F$64)*INDEX($Q$20:$Q$74,MATCH(B16,$N$20:$N$74,0))),""))</f>
        <v>6.4153229999999997E-3</v>
      </c>
      <c r="F16" s="42">
        <f t="shared" si="0"/>
        <v>0.779815323</v>
      </c>
      <c r="H16" s="192" t="s">
        <v>94</v>
      </c>
      <c r="I16" s="214" t="str">
        <f>IFERROR(VLOOKUP(H16,$B$3:$F$62,5,FALSE),"")</f>
        <v/>
      </c>
      <c r="J16" s="204"/>
    </row>
    <row r="17" spans="2:18" s="1" customFormat="1" x14ac:dyDescent="0.3">
      <c r="B17" s="40" t="s">
        <v>61</v>
      </c>
      <c r="C17" s="41" t="s">
        <v>5</v>
      </c>
      <c r="D17" s="42">
        <v>0.27850000000000003</v>
      </c>
      <c r="E17" s="24">
        <f>IF(B17="MDZ140R","",IFERROR((SUMIF($B$3:$B$64,"MDZ140R",$F$3:$F$64)*INDEX($Q$20:$Q$74,MATCH(B17,$N$20:$N$74,0))),""))</f>
        <v>6.4153229999999997E-3</v>
      </c>
      <c r="F17" s="42">
        <f t="shared" si="0"/>
        <v>0.284915323</v>
      </c>
      <c r="H17" s="192" t="s">
        <v>95</v>
      </c>
      <c r="I17" s="214" t="str">
        <f>IFERROR(VLOOKUP(H17,$B$3:$F$62,5,FALSE),"")</f>
        <v/>
      </c>
      <c r="J17" s="204"/>
    </row>
    <row r="18" spans="2:18" s="1" customFormat="1" x14ac:dyDescent="0.3">
      <c r="B18" s="40" t="s">
        <v>114</v>
      </c>
      <c r="C18" s="41" t="s">
        <v>115</v>
      </c>
      <c r="D18" s="42">
        <v>0.52759999999999996</v>
      </c>
      <c r="E18" s="24" t="str">
        <f>IF(B18="MDZ140R","",IFERROR((SUMIF($B$3:$B$64,"MDZ140R",$F$3:$F$64)*INDEX($Q$20:$Q$74,MATCH(B18,$N$20:$N$74,0))),""))</f>
        <v/>
      </c>
      <c r="F18" s="42">
        <f t="shared" si="0"/>
        <v>0.52759999999999996</v>
      </c>
      <c r="H18" s="192" t="s">
        <v>96</v>
      </c>
      <c r="I18" s="214" t="str">
        <f>IFERROR(VLOOKUP(H18,$B$3:$F$62,5,FALSE),"")</f>
        <v/>
      </c>
      <c r="J18" s="198"/>
    </row>
    <row r="19" spans="2:18" s="1" customFormat="1" x14ac:dyDescent="0.3">
      <c r="B19" s="40" t="s">
        <v>116</v>
      </c>
      <c r="C19" s="41" t="s">
        <v>117</v>
      </c>
      <c r="D19" s="42">
        <v>0.87019999999999997</v>
      </c>
      <c r="E19" s="24" t="str">
        <f>IF(B19="MDZ140R","",IFERROR((SUMIF($B$3:$B$64,"MDZ140R",$F$3:$F$64)*INDEX($Q$20:$Q$74,MATCH(B19,$N$20:$N$74,0))),""))</f>
        <v/>
      </c>
      <c r="F19" s="42">
        <f t="shared" si="0"/>
        <v>0.87019999999999997</v>
      </c>
      <c r="H19" s="192" t="s">
        <v>97</v>
      </c>
      <c r="I19" s="214" t="str">
        <f>IFERROR(VLOOKUP(H19,$B$3:$F$62,5,FALSE),"")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62</v>
      </c>
      <c r="C20" s="41" t="s">
        <v>6</v>
      </c>
      <c r="D20" s="42">
        <v>0.44130000000000003</v>
      </c>
      <c r="E20" s="24" t="str">
        <f>IF(B20="MDZ140R","",IFERROR((SUMIF($B$3:$B$64,"MDZ140R",$F$3:$F$64)*INDEX($Q$20:$Q$74,MATCH(B20,$N$20:$N$74,0))),""))</f>
        <v/>
      </c>
      <c r="F20" s="42">
        <f t="shared" si="0"/>
        <v>0.44130000000000003</v>
      </c>
      <c r="H20" s="192" t="s">
        <v>98</v>
      </c>
      <c r="I20" s="214" t="str">
        <f>IFERROR(VLOOKUP(H20,$B$3:$F$62,5,FALSE),"")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48</v>
      </c>
      <c r="C21" s="41" t="s">
        <v>49</v>
      </c>
      <c r="D21" s="42">
        <v>0.81100000000000005</v>
      </c>
      <c r="E21" s="24" t="str">
        <f>IF(B21="MDZ140R","",IFERROR((SUMIF($B$3:$B$64,"MDZ140R",$F$3:$F$64)*INDEX($Q$20:$Q$74,MATCH(B21,$N$20:$N$74,0))),""))</f>
        <v/>
      </c>
      <c r="F21" s="42">
        <f t="shared" si="0"/>
        <v>0.81100000000000005</v>
      </c>
      <c r="H21" s="192" t="s">
        <v>99</v>
      </c>
      <c r="I21" s="214" t="str">
        <f>IFERROR(VLOOKUP(H21,$B$3:$F$62,5,FALSE),"")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63</v>
      </c>
      <c r="C22" s="41" t="s">
        <v>23</v>
      </c>
      <c r="D22" s="42">
        <v>4.6699999999999998E-2</v>
      </c>
      <c r="E22" s="24">
        <f>IF(B22="MDZ140R","",IFERROR((SUMIF($B$3:$B$64,"MDZ140R",$F$3:$F$64)*INDEX($Q$20:$Q$74,MATCH(B22,$N$20:$N$74,0))),""))</f>
        <v>3.2073679999999999E-3</v>
      </c>
      <c r="F22" s="42">
        <f t="shared" si="0"/>
        <v>4.9907368000000001E-2</v>
      </c>
      <c r="H22" s="197" t="s">
        <v>70</v>
      </c>
      <c r="I22" s="214" t="str">
        <f>IFERROR(VLOOKUP(H22,$B$3:$F$62,5,FALSE),"")</f>
        <v/>
      </c>
      <c r="J22" s="198">
        <f>SUM(I22:I33)</f>
        <v>9.8799999999999999E-2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 t="s">
        <v>336</v>
      </c>
      <c r="I23" s="217">
        <v>9.8799999999999999E-2</v>
      </c>
      <c r="J23" s="186"/>
      <c r="L23" s="183"/>
      <c r="M23" s="183"/>
      <c r="N23" s="183"/>
      <c r="O23" s="183"/>
      <c r="P23" s="185"/>
      <c r="Q23" s="186"/>
      <c r="R23" s="183"/>
    </row>
    <row r="24" spans="2:18" s="1" customFormat="1" x14ac:dyDescent="0.3">
      <c r="B24" s="40" t="s">
        <v>64</v>
      </c>
      <c r="C24" s="41" t="s">
        <v>25</v>
      </c>
      <c r="D24" s="42">
        <v>0.24640000000000001</v>
      </c>
      <c r="E24" s="24">
        <f>IF(B24="MDZ140R","",IFERROR((SUMIF($B$3:$B$64,"MDZ140R",$F$3:$F$64)*INDEX($Q$20:$Q$74,MATCH(B24,$N$20:$N$74,0))),""))</f>
        <v>9.6226910000000009E-3</v>
      </c>
      <c r="F24" s="42">
        <f t="shared" si="0"/>
        <v>0.25602269100000002</v>
      </c>
      <c r="H24" s="192"/>
      <c r="I24" s="214" t="str">
        <f>IFERROR(VLOOKUP(H24,$B$3:$F$62,5,FALSE),"")</f>
        <v/>
      </c>
      <c r="J24" s="204"/>
      <c r="L24" s="56"/>
      <c r="M24" s="56"/>
      <c r="N24" s="56" t="s">
        <v>14</v>
      </c>
      <c r="O24" s="56" t="s">
        <v>15</v>
      </c>
      <c r="P24" s="125">
        <v>5</v>
      </c>
      <c r="Q24" s="126">
        <v>2.7321999999999999E-2</v>
      </c>
      <c r="R24" s="56"/>
    </row>
    <row r="25" spans="2:18" s="1" customFormat="1" x14ac:dyDescent="0.3">
      <c r="B25" s="40" t="s">
        <v>24</v>
      </c>
      <c r="C25" s="41" t="s">
        <v>26</v>
      </c>
      <c r="D25" s="42">
        <v>0.1106</v>
      </c>
      <c r="E25" s="24">
        <f>IF(B25="MDZ140R","",IFERROR((SUMIF($B$3:$B$64,"MDZ140R",$F$3:$F$64)*INDEX($Q$20:$Q$74,MATCH(B25,$N$20:$N$74,0))),""))</f>
        <v>3.2073679999999999E-3</v>
      </c>
      <c r="F25" s="42">
        <f t="shared" si="0"/>
        <v>0.11380736800000001</v>
      </c>
      <c r="H25" s="192"/>
      <c r="I25" s="214" t="str">
        <f>IFERROR(VLOOKUP(H25,$B$3:$F$62,5,FALSE),"")</f>
        <v/>
      </c>
      <c r="J25" s="204"/>
      <c r="L25" s="56"/>
      <c r="M25" s="56"/>
      <c r="N25" s="56" t="s">
        <v>60</v>
      </c>
      <c r="O25" s="56" t="s">
        <v>4</v>
      </c>
      <c r="P25" s="125">
        <v>2</v>
      </c>
      <c r="Q25" s="126">
        <v>1.0928999999999999E-2</v>
      </c>
      <c r="R25" s="56"/>
    </row>
    <row r="26" spans="2:18" s="1" customFormat="1" x14ac:dyDescent="0.3">
      <c r="B26" s="40" t="s">
        <v>34</v>
      </c>
      <c r="C26" s="41" t="s">
        <v>35</v>
      </c>
      <c r="D26" s="42">
        <v>0.37340000000000001</v>
      </c>
      <c r="E26" s="24">
        <f>IF(B26="MDZ140R","",IFERROR((SUMIF($B$3:$B$64,"MDZ140R",$F$3:$F$64)*INDEX($Q$20:$Q$74,MATCH(B26,$N$20:$N$74,0))),""))</f>
        <v>6.4153229999999997E-3</v>
      </c>
      <c r="F26" s="42">
        <f t="shared" si="0"/>
        <v>0.37981532299999998</v>
      </c>
      <c r="H26" s="192"/>
      <c r="I26" s="214" t="str">
        <f>IFERROR(VLOOKUP(H26,$B$3:$F$62,5,FALSE),"")</f>
        <v/>
      </c>
      <c r="J26" s="204"/>
      <c r="L26" s="56"/>
      <c r="M26" s="56"/>
      <c r="N26" s="56" t="s">
        <v>61</v>
      </c>
      <c r="O26" s="56" t="s">
        <v>5</v>
      </c>
      <c r="P26" s="125">
        <v>2</v>
      </c>
      <c r="Q26" s="126">
        <v>1.0928999999999999E-2</v>
      </c>
      <c r="R26" s="56"/>
    </row>
    <row r="27" spans="2:18" s="1" customFormat="1" x14ac:dyDescent="0.3">
      <c r="B27" s="40" t="s">
        <v>7</v>
      </c>
      <c r="C27" s="41" t="s">
        <v>8</v>
      </c>
      <c r="D27" s="42">
        <v>0.1221</v>
      </c>
      <c r="E27" s="24">
        <f>IF(B27="MDZ140R","",IFERROR((SUMIF($B$3:$B$64,"MDZ140R",$F$3:$F$64)*INDEX($Q$20:$Q$74,MATCH(B27,$N$20:$N$74,0))),""))</f>
        <v>3.2073679999999999E-3</v>
      </c>
      <c r="F27" s="42">
        <f t="shared" si="0"/>
        <v>0.125307368</v>
      </c>
      <c r="H27" s="192"/>
      <c r="I27" s="214" t="str">
        <f>IFERROR(VLOOKUP(H27,$B$3:$F$62,5,FALSE),"")</f>
        <v/>
      </c>
      <c r="J27" s="204"/>
      <c r="L27" s="56"/>
      <c r="M27" s="56"/>
      <c r="N27" s="56" t="s">
        <v>18</v>
      </c>
      <c r="O27" s="56" t="s">
        <v>110</v>
      </c>
      <c r="P27" s="125">
        <v>4</v>
      </c>
      <c r="Q27" s="126">
        <v>2.1857999999999999E-2</v>
      </c>
      <c r="R27" s="56"/>
    </row>
    <row r="28" spans="2:18" s="1" customFormat="1" x14ac:dyDescent="0.3">
      <c r="B28" s="40" t="s">
        <v>27</v>
      </c>
      <c r="C28" s="41" t="s">
        <v>28</v>
      </c>
      <c r="D28" s="42">
        <v>0.58740000000000003</v>
      </c>
      <c r="E28" s="24">
        <f>IF(B28="MDZ140R","",IFERROR((SUMIF($B$3:$B$64,"MDZ140R",$F$3:$F$64)*INDEX($Q$20:$Q$74,MATCH(B28,$N$20:$N$74,0))),""))</f>
        <v>3.2073679999999999E-3</v>
      </c>
      <c r="F28" s="42">
        <f t="shared" si="0"/>
        <v>0.59060736800000002</v>
      </c>
      <c r="H28" s="192"/>
      <c r="I28" s="214" t="str">
        <f>IFERROR(VLOOKUP(H28,$B$3:$F$62,5,FALSE),"")</f>
        <v/>
      </c>
      <c r="J28" s="204"/>
      <c r="L28" s="56"/>
      <c r="M28" s="56"/>
      <c r="N28" s="56" t="s">
        <v>24</v>
      </c>
      <c r="O28" s="56" t="s">
        <v>111</v>
      </c>
      <c r="P28" s="125">
        <v>1</v>
      </c>
      <c r="Q28" s="126">
        <v>5.4640000000000001E-3</v>
      </c>
      <c r="R28" s="56"/>
    </row>
    <row r="29" spans="2:18" s="1" customFormat="1" x14ac:dyDescent="0.3">
      <c r="B29" s="40" t="s">
        <v>165</v>
      </c>
      <c r="C29" s="41" t="s">
        <v>198</v>
      </c>
      <c r="D29" s="42">
        <v>0.20269999999999999</v>
      </c>
      <c r="E29" s="24" t="str">
        <f>IF(B29="MDZ140R","",IFERROR((SUMIF($B$3:$B$64,"MDZ140R",$F$3:$F$64)*INDEX($Q$20:$Q$74,MATCH(B29,$N$20:$N$74,0))),""))</f>
        <v/>
      </c>
      <c r="F29" s="42">
        <f t="shared" si="0"/>
        <v>0.20269999999999999</v>
      </c>
      <c r="H29" s="192"/>
      <c r="I29" s="214" t="str">
        <f>IFERROR(VLOOKUP(H29,$B$3:$F$62,5,FALSE),"")</f>
        <v/>
      </c>
      <c r="J29" s="204"/>
      <c r="L29" s="56"/>
      <c r="M29" s="56"/>
      <c r="N29" s="56" t="s">
        <v>64</v>
      </c>
      <c r="O29" s="127">
        <v>4020</v>
      </c>
      <c r="P29" s="125">
        <v>3</v>
      </c>
      <c r="Q29" s="126">
        <v>1.6393000000000001E-2</v>
      </c>
      <c r="R29" s="56"/>
    </row>
    <row r="30" spans="2:18" s="1" customFormat="1" x14ac:dyDescent="0.3">
      <c r="B30" s="40" t="s">
        <v>166</v>
      </c>
      <c r="C30" s="41" t="s">
        <v>199</v>
      </c>
      <c r="D30" s="42">
        <v>0.76939999999999997</v>
      </c>
      <c r="E30" s="24" t="str">
        <f>IF(B30="MDZ140R","",IFERROR((SUMIF($B$3:$B$64,"MDZ140R",$F$3:$F$64)*INDEX($Q$20:$Q$74,MATCH(B30,$N$20:$N$74,0))),""))</f>
        <v/>
      </c>
      <c r="F30" s="42">
        <f t="shared" si="0"/>
        <v>0.76939999999999997</v>
      </c>
      <c r="H30" s="205"/>
      <c r="I30" s="214" t="str">
        <f>IFERROR(VLOOKUP(H30,$B$3:$F$62,5,FALSE),"")</f>
        <v/>
      </c>
      <c r="J30" s="204"/>
      <c r="L30" s="56"/>
      <c r="M30" s="56"/>
      <c r="N30" s="56" t="s">
        <v>34</v>
      </c>
      <c r="O30" s="56" t="s">
        <v>112</v>
      </c>
      <c r="P30" s="125">
        <v>2</v>
      </c>
      <c r="Q30" s="126">
        <v>1.0928999999999999E-2</v>
      </c>
      <c r="R30" s="56"/>
    </row>
    <row r="31" spans="2:18" s="1" customFormat="1" x14ac:dyDescent="0.3">
      <c r="B31" s="40" t="s">
        <v>65</v>
      </c>
      <c r="C31" s="41" t="s">
        <v>40</v>
      </c>
      <c r="D31" s="42">
        <v>0.65739999999999998</v>
      </c>
      <c r="E31" s="24" t="str">
        <f>IF(B31="MDZ140R","",IFERROR((SUMIF($B$3:$B$64,"MDZ140R",$F$3:$F$64)*INDEX($Q$20:$Q$74,MATCH(B31,$N$20:$N$74,0))),""))</f>
        <v/>
      </c>
      <c r="F31" s="42">
        <f t="shared" si="0"/>
        <v>0.65739999999999998</v>
      </c>
      <c r="H31" s="192"/>
      <c r="I31" s="214" t="str">
        <f>IFERROR(VLOOKUP(H31,$B$3:$F$62,5,FALSE),"")</f>
        <v/>
      </c>
      <c r="J31" s="198"/>
      <c r="L31" s="56"/>
      <c r="M31" s="56"/>
      <c r="N31" s="56" t="s">
        <v>63</v>
      </c>
      <c r="O31" s="56" t="s">
        <v>23</v>
      </c>
      <c r="P31" s="125">
        <v>1</v>
      </c>
      <c r="Q31" s="126">
        <v>5.4640000000000001E-3</v>
      </c>
      <c r="R31" s="56"/>
    </row>
    <row r="32" spans="2:18" s="1" customFormat="1" x14ac:dyDescent="0.3">
      <c r="B32" s="40" t="s">
        <v>41</v>
      </c>
      <c r="C32" s="41" t="s">
        <v>66</v>
      </c>
      <c r="D32" s="42">
        <v>0.93220000000000003</v>
      </c>
      <c r="E32" s="24" t="str">
        <f>IF(B32="MDZ140R","",IFERROR((SUMIF($B$3:$B$64,"MDZ140R",$F$3:$F$64)*INDEX($Q$20:$Q$74,MATCH(B32,$N$20:$N$74,0))),""))</f>
        <v/>
      </c>
      <c r="F32" s="42">
        <f t="shared" si="0"/>
        <v>0.93220000000000003</v>
      </c>
      <c r="H32" s="192"/>
      <c r="I32" s="214" t="str">
        <f>IFERROR(VLOOKUP(H32,$B$3:$F$62,5,FALSE),"")</f>
        <v/>
      </c>
      <c r="J32" s="198"/>
      <c r="L32" s="56"/>
      <c r="M32" s="56"/>
      <c r="N32" s="56" t="s">
        <v>7</v>
      </c>
      <c r="O32" s="56" t="s">
        <v>8</v>
      </c>
      <c r="P32" s="125">
        <v>1</v>
      </c>
      <c r="Q32" s="126">
        <v>5.4640000000000001E-3</v>
      </c>
      <c r="R32" s="56"/>
    </row>
    <row r="33" spans="2:18" s="1" customFormat="1" x14ac:dyDescent="0.3">
      <c r="B33" s="40" t="s">
        <v>42</v>
      </c>
      <c r="C33" s="41" t="s">
        <v>43</v>
      </c>
      <c r="D33" s="42">
        <v>0.41749999999999998</v>
      </c>
      <c r="E33" s="24" t="str">
        <f>IF(B33="MDZ140R","",IFERROR((SUMIF($B$3:$B$64,"MDZ140R",$F$3:$F$64)*INDEX($Q$20:$Q$74,MATCH(B33,$N$20:$N$74,0))),""))</f>
        <v/>
      </c>
      <c r="F33" s="42">
        <f t="shared" si="0"/>
        <v>0.41749999999999998</v>
      </c>
      <c r="H33" s="189"/>
      <c r="I33" s="214" t="str">
        <f>IFERROR(VLOOKUP(H33,$B$3:$F$62,5,FALSE),"")</f>
        <v/>
      </c>
      <c r="J33" s="198"/>
      <c r="L33" s="56"/>
      <c r="M33" s="56"/>
      <c r="N33" s="56" t="s">
        <v>27</v>
      </c>
      <c r="O33" s="56" t="s">
        <v>113</v>
      </c>
      <c r="P33" s="125">
        <v>1</v>
      </c>
      <c r="Q33" s="126">
        <v>5.4640000000000001E-3</v>
      </c>
      <c r="R33" s="56"/>
    </row>
    <row r="34" spans="2:18" s="144" customFormat="1" x14ac:dyDescent="0.3">
      <c r="B34" s="179"/>
      <c r="C34" s="180"/>
      <c r="D34" s="181"/>
      <c r="E34" s="182"/>
      <c r="F34" s="181"/>
      <c r="H34" s="189" t="s">
        <v>72</v>
      </c>
      <c r="I34" s="216"/>
      <c r="J34" s="191">
        <f>SUM(I34:I76)</f>
        <v>0.41917500000000002</v>
      </c>
      <c r="L34" s="183"/>
      <c r="M34" s="183"/>
      <c r="N34" s="183"/>
      <c r="O34" s="183"/>
      <c r="P34" s="185"/>
      <c r="Q34" s="186"/>
      <c r="R34" s="183"/>
    </row>
    <row r="35" spans="2:18" s="144" customFormat="1" x14ac:dyDescent="0.3">
      <c r="B35" s="179"/>
      <c r="C35" s="180"/>
      <c r="D35" s="181"/>
      <c r="E35" s="182"/>
      <c r="F35" s="181"/>
      <c r="H35" s="183" t="s">
        <v>427</v>
      </c>
      <c r="I35" s="218">
        <v>0.41917500000000002</v>
      </c>
      <c r="J35" s="184"/>
      <c r="L35" s="183"/>
      <c r="M35" s="183"/>
      <c r="N35" s="183"/>
      <c r="O35" s="183"/>
      <c r="P35" s="185"/>
      <c r="Q35" s="186"/>
      <c r="R35" s="183"/>
    </row>
    <row r="36" spans="2:18" s="144" customFormat="1" x14ac:dyDescent="0.3">
      <c r="B36" s="179"/>
      <c r="C36" s="180"/>
      <c r="D36" s="181"/>
      <c r="E36" s="182"/>
      <c r="F36" s="181"/>
      <c r="H36" s="189"/>
      <c r="I36" s="214"/>
      <c r="J36" s="191"/>
      <c r="L36" s="183"/>
      <c r="M36" s="183"/>
      <c r="N36" s="183"/>
      <c r="O36" s="183"/>
      <c r="P36" s="185"/>
      <c r="Q36" s="186"/>
      <c r="R36" s="183"/>
    </row>
    <row r="37" spans="2:18" s="144" customFormat="1" x14ac:dyDescent="0.3">
      <c r="B37" s="179"/>
      <c r="C37" s="180"/>
      <c r="D37" s="181"/>
      <c r="E37" s="182"/>
      <c r="F37" s="181"/>
      <c r="H37" s="192"/>
      <c r="I37" s="214"/>
      <c r="J37" s="206"/>
      <c r="L37" s="183"/>
      <c r="M37" s="183"/>
      <c r="N37" s="183"/>
      <c r="O37" s="183"/>
      <c r="P37" s="185"/>
      <c r="Q37" s="186"/>
      <c r="R37" s="183"/>
    </row>
    <row r="38" spans="2:18" s="1" customFormat="1" x14ac:dyDescent="0.3">
      <c r="B38" s="179"/>
      <c r="C38" s="180"/>
      <c r="D38" s="181"/>
      <c r="E38" s="188"/>
      <c r="F38" s="181"/>
      <c r="H38" s="192"/>
      <c r="I38" s="214"/>
      <c r="J38" s="206"/>
      <c r="L38" s="192"/>
      <c r="M38" s="192"/>
      <c r="N38" s="192"/>
      <c r="O38" s="192"/>
      <c r="P38" s="193"/>
      <c r="Q38" s="194"/>
      <c r="R38" s="192"/>
    </row>
    <row r="39" spans="2:18" s="144" customFormat="1" x14ac:dyDescent="0.3">
      <c r="B39" s="40" t="s">
        <v>396</v>
      </c>
      <c r="C39" s="41" t="s">
        <v>17</v>
      </c>
      <c r="D39" s="42">
        <v>0.22289999999999999</v>
      </c>
      <c r="E39" s="24" t="str">
        <f>IF(B39="MDZ140R","",IFERROR((SUMIF($B$3:$B$64,"MDZ140R",$F$3:$F$64)*INDEX($Q$20:$Q$74,MATCH(B39,$N$20:$N$74,0))),""))</f>
        <v/>
      </c>
      <c r="F39" s="42">
        <f t="shared" ref="F39:F63" si="2">IF(D39="","",D39+ IF(E39="",0,E39))</f>
        <v>0.22289999999999999</v>
      </c>
      <c r="H39" s="192"/>
      <c r="I39" s="214" t="str">
        <f>IFERROR(VLOOKUP(H39,$B$3:$F$62,5,FALSE),"")</f>
        <v/>
      </c>
      <c r="J39" s="206"/>
      <c r="L39" s="145"/>
      <c r="M39" s="145"/>
      <c r="N39" s="145"/>
      <c r="O39" s="145"/>
      <c r="P39" s="147"/>
      <c r="Q39" s="148"/>
      <c r="R39" s="145"/>
    </row>
    <row r="40" spans="2:18" s="1" customFormat="1" x14ac:dyDescent="0.3">
      <c r="B40" s="89" t="s">
        <v>18</v>
      </c>
      <c r="C40" s="89" t="s">
        <v>19</v>
      </c>
      <c r="D40" s="42">
        <v>0.91420000000000001</v>
      </c>
      <c r="E40" s="24">
        <f>IF(B40="MDZ140R","",IFERROR((SUMIF($B$3:$B$64,"MDZ140R",$F$3:$F$64)*INDEX($Q$20:$Q$74,MATCH(B40,$N$20:$N$74,0))),""))</f>
        <v>1.2830645999999999E-2</v>
      </c>
      <c r="F40" s="42">
        <f t="shared" si="2"/>
        <v>0.92703064599999996</v>
      </c>
      <c r="H40" s="192"/>
      <c r="I40" s="214" t="str">
        <f>IFERROR(VLOOKUP(H40,$B$3:$F$62,5,FALSE),"")</f>
        <v/>
      </c>
      <c r="J40" s="206"/>
      <c r="L40" s="56"/>
      <c r="M40" s="56"/>
      <c r="N40" s="56"/>
      <c r="O40" s="56"/>
      <c r="P40" s="125"/>
      <c r="Q40" s="126"/>
      <c r="R40" s="56"/>
    </row>
    <row r="41" spans="2:18" s="1" customFormat="1" x14ac:dyDescent="0.3">
      <c r="B41" s="89" t="s">
        <v>45</v>
      </c>
      <c r="C41" s="89" t="s">
        <v>183</v>
      </c>
      <c r="D41" s="42">
        <v>0.30549999999999999</v>
      </c>
      <c r="E41" s="24" t="str">
        <f>IF(B41="MDZ140R","",IFERROR((SUMIF($B$3:$B$64,"MDZ140R",$F$3:$F$64)*INDEX($Q$20:$Q$74,MATCH(B41,$N$20:$N$74,0))),""))</f>
        <v/>
      </c>
      <c r="F41" s="42">
        <f t="shared" si="2"/>
        <v>0.30549999999999999</v>
      </c>
      <c r="H41" s="192"/>
      <c r="I41" s="214" t="str">
        <f>IFERROR(VLOOKUP(H41,$B$3:$F$62,5,FALSE),"")</f>
        <v/>
      </c>
      <c r="J41" s="206"/>
      <c r="L41" s="56"/>
      <c r="M41" s="56"/>
      <c r="N41" s="56"/>
      <c r="O41" s="56"/>
      <c r="P41" s="125"/>
      <c r="Q41" s="126"/>
      <c r="R41" s="56"/>
    </row>
    <row r="42" spans="2:18" s="1" customFormat="1" x14ac:dyDescent="0.3">
      <c r="B42" s="89" t="s">
        <v>53</v>
      </c>
      <c r="C42" s="89" t="s">
        <v>54</v>
      </c>
      <c r="D42" s="42">
        <v>0.59750000000000003</v>
      </c>
      <c r="E42" s="24" t="str">
        <f>IF(B42="MDZ140R","",IFERROR((SUMIF($B$3:$B$64,"MDZ140R",$F$3:$F$64)*INDEX($Q$20:$Q$74,MATCH(B42,$N$20:$N$74,0))),""))</f>
        <v/>
      </c>
      <c r="F42" s="42">
        <f t="shared" si="2"/>
        <v>0.59750000000000003</v>
      </c>
      <c r="H42" s="192"/>
      <c r="I42" s="214" t="str">
        <f>IFERROR(VLOOKUP(H42,$B$3:$F$62,5,FALSE),"")</f>
        <v/>
      </c>
      <c r="J42" s="206"/>
      <c r="L42" s="56"/>
      <c r="M42" s="56"/>
      <c r="N42" s="56"/>
      <c r="O42" s="56"/>
      <c r="P42" s="125"/>
      <c r="Q42" s="126"/>
      <c r="R42" s="56"/>
    </row>
    <row r="43" spans="2:18" s="1" customFormat="1" x14ac:dyDescent="0.3">
      <c r="B43" s="89" t="s">
        <v>107</v>
      </c>
      <c r="C43" s="89" t="s">
        <v>200</v>
      </c>
      <c r="D43" s="42">
        <v>0.58699999999999997</v>
      </c>
      <c r="E43" s="24" t="str">
        <f>IF(B43="MDZ140R","",IFERROR((SUMIF($B$3:$B$64,"MDZ140R",$F$3:$F$64)*INDEX($Q$20:$Q$74,MATCH(B43,$N$20:$N$74,0))),""))</f>
        <v/>
      </c>
      <c r="F43" s="42">
        <f t="shared" si="2"/>
        <v>0.58699999999999997</v>
      </c>
      <c r="H43" s="192"/>
      <c r="I43" s="214" t="str">
        <f>IFERROR(VLOOKUP(H43,$B$3:$F$62,5,FALSE),"")</f>
        <v/>
      </c>
      <c r="J43" s="206"/>
      <c r="L43" s="56"/>
      <c r="M43" s="56"/>
      <c r="N43" s="56"/>
      <c r="O43" s="56"/>
      <c r="P43" s="125"/>
      <c r="Q43" s="126"/>
      <c r="R43" s="56"/>
    </row>
    <row r="44" spans="2:18" s="1" customFormat="1" x14ac:dyDescent="0.3">
      <c r="B44" s="89" t="s">
        <v>186</v>
      </c>
      <c r="C44" s="89" t="s">
        <v>138</v>
      </c>
      <c r="D44" s="42">
        <v>0.45250000000000001</v>
      </c>
      <c r="E44" s="24" t="str">
        <f>IF(B44="MDZ140R","",IFERROR((SUMIF($B$3:$B$64,"MDZ140R",$F$3:$F$64)*INDEX($Q$20:$Q$74,MATCH(B44,$N$20:$N$74,0))),""))</f>
        <v/>
      </c>
      <c r="F44" s="42">
        <f t="shared" si="2"/>
        <v>0.45250000000000001</v>
      </c>
      <c r="H44" s="192"/>
      <c r="I44" s="214" t="str">
        <f>IFERROR(VLOOKUP(H44,$B$3:$F$62,5,FALSE),"")</f>
        <v/>
      </c>
      <c r="J44" s="206"/>
      <c r="L44" s="56"/>
      <c r="M44" s="56"/>
      <c r="N44" s="56"/>
      <c r="O44" s="56"/>
      <c r="P44" s="125"/>
      <c r="Q44" s="126"/>
      <c r="R44" s="56"/>
    </row>
    <row r="45" spans="2:18" s="1" customFormat="1" x14ac:dyDescent="0.3">
      <c r="B45" s="89" t="s">
        <v>139</v>
      </c>
      <c r="C45" s="89" t="s">
        <v>201</v>
      </c>
      <c r="D45" s="42">
        <v>0.1532</v>
      </c>
      <c r="E45" s="24" t="str">
        <f>IF(B45="MDZ140R","",IFERROR((SUMIF($B$3:$B$64,"MDZ140R",$F$3:$F$64)*INDEX($Q$20:$Q$74,MATCH(B45,$N$20:$N$74,0))),""))</f>
        <v/>
      </c>
      <c r="F45" s="42">
        <f t="shared" si="2"/>
        <v>0.1532</v>
      </c>
      <c r="H45" s="192"/>
      <c r="I45" s="214" t="str">
        <f>IFERROR(VLOOKUP(H45,$B$3:$F$62,5,FALSE),"")</f>
        <v/>
      </c>
      <c r="J45" s="206"/>
      <c r="L45" s="56"/>
      <c r="M45" s="56"/>
      <c r="N45" s="56"/>
      <c r="O45" s="56"/>
      <c r="P45" s="125"/>
      <c r="Q45" s="126"/>
      <c r="R45" s="56"/>
    </row>
    <row r="46" spans="2:18" s="1" customFormat="1" x14ac:dyDescent="0.3">
      <c r="B46" s="89" t="s">
        <v>141</v>
      </c>
      <c r="C46" s="89" t="s">
        <v>142</v>
      </c>
      <c r="D46" s="42">
        <v>4.4200000000000003E-2</v>
      </c>
      <c r="E46" s="24" t="str">
        <f>IF(B46="MDZ140R","",IFERROR((SUMIF($B$3:$B$64,"MDZ140R",$F$3:$F$64)*INDEX($Q$20:$Q$74,MATCH(B46,$N$20:$N$74,0))),""))</f>
        <v/>
      </c>
      <c r="F46" s="42">
        <f t="shared" si="2"/>
        <v>4.4200000000000003E-2</v>
      </c>
      <c r="H46" s="192"/>
      <c r="I46" s="214" t="str">
        <f>IFERROR(VLOOKUP(H46,$B$3:$F$62,5,FALSE),"")</f>
        <v/>
      </c>
      <c r="J46" s="206"/>
      <c r="L46" s="56"/>
      <c r="M46" s="56"/>
      <c r="N46" s="56"/>
      <c r="O46" s="56"/>
      <c r="P46" s="125"/>
      <c r="Q46" s="126"/>
      <c r="R46" s="56"/>
    </row>
    <row r="47" spans="2:18" s="1" customFormat="1" x14ac:dyDescent="0.3">
      <c r="B47" s="89" t="s">
        <v>143</v>
      </c>
      <c r="C47" s="89" t="s">
        <v>202</v>
      </c>
      <c r="D47" s="42">
        <v>0.35310000000000002</v>
      </c>
      <c r="E47" s="24" t="str">
        <f>IF(B47="MDZ140R","",IFERROR((SUMIF($B$3:$B$64,"MDZ140R",$F$3:$F$64)*INDEX($Q$20:$Q$74,MATCH(B47,$N$20:$N$74,0))),""))</f>
        <v/>
      </c>
      <c r="F47" s="42">
        <f t="shared" si="2"/>
        <v>0.35310000000000002</v>
      </c>
      <c r="H47" s="192"/>
      <c r="I47" s="214" t="str">
        <f>IFERROR(VLOOKUP(H47,$B$3:$F$62,5,FALSE),"")</f>
        <v/>
      </c>
      <c r="J47" s="206"/>
      <c r="L47" s="56"/>
      <c r="M47" s="56"/>
      <c r="N47" s="56"/>
      <c r="O47" s="56"/>
      <c r="P47" s="125"/>
      <c r="Q47" s="126"/>
      <c r="R47" s="56"/>
    </row>
    <row r="48" spans="2:18" s="1" customFormat="1" x14ac:dyDescent="0.3">
      <c r="B48" s="89"/>
      <c r="C48" s="89"/>
      <c r="D48"/>
      <c r="E48" s="24" t="str">
        <f>IF(B48="MDZ140R","",IFERROR((SUMIF($B$3:$B$64,"MDZ140R",$F$3:$F$64)*INDEX($Q$20:$Q$74,MATCH(B48,$N$20:$N$74,0))),""))</f>
        <v/>
      </c>
      <c r="F48" s="42" t="str">
        <f t="shared" si="2"/>
        <v/>
      </c>
      <c r="H48" s="192"/>
      <c r="I48" s="214" t="str">
        <f>IFERROR(VLOOKUP(H48,$B$3:$F$62,5,FALSE),"")</f>
        <v/>
      </c>
      <c r="J48" s="206"/>
      <c r="L48" s="56"/>
      <c r="M48" s="56"/>
      <c r="N48" s="56"/>
      <c r="O48" s="56"/>
      <c r="P48" s="125"/>
      <c r="Q48" s="126"/>
      <c r="R48" s="56"/>
    </row>
    <row r="49" spans="2:18" s="1" customFormat="1" x14ac:dyDescent="0.3">
      <c r="B49" s="89"/>
      <c r="C49" s="89"/>
      <c r="D49" s="42"/>
      <c r="E49" s="24" t="str">
        <f>IF(B49="MDZ140R","",IFERROR((SUMIF($B$3:$B$64,"MDZ140R",$F$3:$F$64)*INDEX($Q$20:$Q$74,MATCH(B49,$N$20:$N$74,0))),""))</f>
        <v/>
      </c>
      <c r="F49" s="42" t="str">
        <f t="shared" si="2"/>
        <v/>
      </c>
      <c r="H49" s="192"/>
      <c r="I49" s="214" t="str">
        <f>IFERROR(VLOOKUP(H49,$B$3:$F$62,5,FALSE),"")</f>
        <v/>
      </c>
      <c r="J49" s="206"/>
      <c r="L49" s="56"/>
      <c r="M49" s="56"/>
      <c r="N49" s="56"/>
      <c r="O49" s="56"/>
      <c r="P49" s="125"/>
      <c r="Q49" s="126"/>
      <c r="R49" s="56"/>
    </row>
    <row r="50" spans="2:18" s="1" customFormat="1" x14ac:dyDescent="0.3">
      <c r="B50" s="89"/>
      <c r="C50" s="89"/>
      <c r="D50" s="42"/>
      <c r="E50" s="24" t="str">
        <f>IF(B50="MDZ140R","",IFERROR((SUMIF($B$3:$B$64,"MDZ140R",$F$3:$F$64)*INDEX($Q$20:$Q$74,MATCH(B50,$N$20:$N$74,0))),""))</f>
        <v/>
      </c>
      <c r="F50" s="42" t="str">
        <f t="shared" si="2"/>
        <v/>
      </c>
      <c r="H50" s="192"/>
      <c r="I50" s="214" t="str">
        <f>IFERROR(VLOOKUP(H50,$B$3:$F$62,5,FALSE),"")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/>
      <c r="C51" s="89"/>
      <c r="D51" s="42"/>
      <c r="E51" s="24" t="str">
        <f>IF(B51="MDZ140R","",IFERROR((SUMIF($B$3:$B$64,"MDZ140R",$F$3:$F$64)*INDEX($Q$20:$Q$74,MATCH(B51,$N$20:$N$74,0))),""))</f>
        <v/>
      </c>
      <c r="F51" s="42" t="str">
        <f t="shared" si="2"/>
        <v/>
      </c>
      <c r="H51" s="192"/>
      <c r="I51" s="214" t="str">
        <f>IFERROR(VLOOKUP(H51,$B$3:$F$62,5,FALSE),"")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/>
      <c r="C52" s="89"/>
      <c r="D52" s="42"/>
      <c r="E52" s="24" t="str">
        <f>IF(B52="MDZ140R","",IFERROR((SUMIF($B$3:$B$64,"MDZ140R",$F$3:$F$64)*INDEX($Q$20:$Q$74,MATCH(B52,$N$20:$N$74,0))),""))</f>
        <v/>
      </c>
      <c r="F52" s="42" t="str">
        <f t="shared" si="2"/>
        <v/>
      </c>
      <c r="H52" s="192"/>
      <c r="I52" s="214" t="str">
        <f>IFERROR(VLOOKUP(H52,$B$3:$F$62,5,FALSE),"")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/>
      <c r="C53" s="89"/>
      <c r="D53" s="42"/>
      <c r="E53" s="24" t="str">
        <f>IF(B53="MDZ140R","",IFERROR((SUMIF($B$3:$B$64,"MDZ140R",$F$3:$F$64)*INDEX($Q$20:$Q$74,MATCH(B53,$N$20:$N$74,0))),""))</f>
        <v/>
      </c>
      <c r="F53" s="42" t="str">
        <f t="shared" si="2"/>
        <v/>
      </c>
      <c r="H53" s="192"/>
      <c r="I53" s="214" t="str">
        <f>IFERROR(VLOOKUP(H53,$B$3:$F$62,5,FALSE),"")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/>
      <c r="C54" s="89"/>
      <c r="D54" s="42"/>
      <c r="E54" s="24" t="str">
        <f>IF(B54="MDZ140R","",IFERROR((SUMIF($B$3:$B$64,"MDZ140R",$F$3:$F$64)*INDEX($Q$20:$Q$74,MATCH(B54,$N$20:$N$74,0))),""))</f>
        <v/>
      </c>
      <c r="F54" s="42" t="str">
        <f t="shared" si="2"/>
        <v/>
      </c>
      <c r="H54" s="192"/>
      <c r="I54" s="214" t="str">
        <f>IFERROR(VLOOKUP(H54,$B$3:$F$62,5,FALSE),"")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/>
      <c r="C55" s="89"/>
      <c r="D55" s="42"/>
      <c r="E55" s="24" t="str">
        <f>IF(B55="MDZ140R","",IFERROR((SUMIF($B$3:$B$64,"MDZ140R",$F$3:$F$64)*INDEX($Q$20:$Q$74,MATCH(B55,$N$20:$N$74,0))),""))</f>
        <v/>
      </c>
      <c r="F55" s="42" t="str">
        <f t="shared" si="2"/>
        <v/>
      </c>
      <c r="H55" s="192"/>
      <c r="I55" s="214" t="str">
        <f>IFERROR(VLOOKUP(H55,$B$3:$F$62,5,FALSE),"")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/>
      <c r="C56" s="89"/>
      <c r="D56" s="42"/>
      <c r="E56" s="24" t="str">
        <f>IF(B56="MDZ140R","",IFERROR((SUMIF($B$3:$B$64,"MDZ140R",$F$3:$F$64)*INDEX($Q$20:$Q$74,MATCH(B56,$N$20:$N$74,0))),""))</f>
        <v/>
      </c>
      <c r="F56" s="42" t="str">
        <f t="shared" si="2"/>
        <v/>
      </c>
      <c r="H56" s="192"/>
      <c r="I56" s="214" t="str">
        <f>IFERROR(VLOOKUP(H56,$B$3:$F$62,5,FALSE),"")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/>
      <c r="C57" s="89"/>
      <c r="D57" s="42"/>
      <c r="E57" s="24" t="str">
        <f>IF(B57="MDZ140R","",IFERROR((SUMIF($B$3:$B$64,"MDZ140R",$F$3:$F$64)*INDEX($Q$20:$Q$74,MATCH(B57,$N$20:$N$74,0))),""))</f>
        <v/>
      </c>
      <c r="F57" s="42" t="str">
        <f t="shared" si="2"/>
        <v/>
      </c>
      <c r="H57" s="192"/>
      <c r="I57" s="214" t="str">
        <f>IFERROR(VLOOKUP(H57,$B$3:$F$62,5,FALSE),"")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/>
      <c r="C58" s="89"/>
      <c r="D58" s="42"/>
      <c r="E58" s="24" t="str">
        <f>IF(B58="MDZ140R","",IFERROR((SUMIF($B$3:$B$64,"MDZ140R",$F$3:$F$64)*INDEX($Q$20:$Q$74,MATCH(B58,$N$20:$N$74,0))),""))</f>
        <v/>
      </c>
      <c r="F58" s="42" t="str">
        <f t="shared" si="2"/>
        <v/>
      </c>
      <c r="H58" s="192"/>
      <c r="I58" s="214" t="str">
        <f>IFERROR(VLOOKUP(H58,$B$3:$F$62,5,FALSE),"")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/>
      <c r="C59" s="89"/>
      <c r="D59" s="42"/>
      <c r="E59" s="24" t="str">
        <f>IF(B59="MDZ140R","",IFERROR((SUMIF($B$3:$B$64,"MDZ140R",$F$3:$F$64)*INDEX($Q$20:$Q$74,MATCH(B59,$N$20:$N$74,0))),""))</f>
        <v/>
      </c>
      <c r="F59" s="42" t="str">
        <f t="shared" si="2"/>
        <v/>
      </c>
      <c r="H59" s="192"/>
      <c r="I59" s="214" t="str">
        <f>IFERROR(VLOOKUP(H59,$B$3:$F$62,5,FALSE),"")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/>
      <c r="C60" s="89"/>
      <c r="D60" s="42"/>
      <c r="E60" s="24" t="str">
        <f>IF(B60="MDZ140R","",IFERROR((SUMIF($B$3:$B$64,"MDZ140R",$F$3:$F$64)*INDEX($Q$20:$Q$74,MATCH(B60,$N$20:$N$74,0))),""))</f>
        <v/>
      </c>
      <c r="F60" s="42" t="str">
        <f t="shared" si="2"/>
        <v/>
      </c>
      <c r="H60" s="192"/>
      <c r="I60" s="214" t="str">
        <f>IFERROR(VLOOKUP(H60,$B$3:$F$62,5,FALSE),"")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/>
      <c r="C61" s="89"/>
      <c r="D61" s="42"/>
      <c r="E61" s="24" t="str">
        <f>IF(B61="MDZ140R","",IFERROR((SUMIF($B$3:$B$64,"MDZ140R",$F$3:$F$64)*INDEX($Q$20:$Q$74,MATCH(B61,$N$20:$N$74,0))),""))</f>
        <v/>
      </c>
      <c r="F61" s="42" t="str">
        <f t="shared" si="2"/>
        <v/>
      </c>
      <c r="H61" s="192"/>
      <c r="I61" s="214" t="str">
        <f>IFERROR(VLOOKUP(H61,$B$3:$F$62,5,FALSE),"")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/>
      <c r="C62" s="89"/>
      <c r="D62" s="42"/>
      <c r="E62" s="24" t="str">
        <f>IF(B62="MDZ140R","",IFERROR((SUMIF($B$3:$B$64,"MDZ140R",$F$3:$F$64)*INDEX($Q$20:$Q$74,MATCH(B62,$N$20:$N$74,0))),""))</f>
        <v/>
      </c>
      <c r="F62" s="42" t="str">
        <f t="shared" si="2"/>
        <v/>
      </c>
      <c r="H62" s="192"/>
      <c r="I62" s="214" t="str">
        <f>IFERROR(VLOOKUP(H62,$B$3:$F$62,5,FALSE),"")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/>
      <c r="C63" s="89"/>
      <c r="D63" s="42"/>
      <c r="E63" s="24" t="str">
        <f>IF(B63="MDZ140R","",IFERROR((SUMIF($B$3:$B$64,"MDZ140R",$F$3:$F$64)*INDEX($Q$20:$Q$74,MATCH(B63,$N$20:$N$74,0))),""))</f>
        <v/>
      </c>
      <c r="F63" s="42" t="str">
        <f t="shared" si="2"/>
        <v/>
      </c>
      <c r="H63" s="192"/>
      <c r="I63" s="214" t="str">
        <f>IFERROR(VLOOKUP(H63,$B$3:$F$62,5,FALSE),"")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/>
      <c r="C64" s="89"/>
      <c r="D64" s="42"/>
      <c r="E64" s="24"/>
      <c r="F64" s="42"/>
      <c r="H64" s="192"/>
      <c r="I64" s="214" t="str">
        <f>IFERROR(VLOOKUP(H64,$B$3:$F$62,5,FALSE),"")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127"/>
      <c r="C65" s="60"/>
      <c r="D65" s="133"/>
      <c r="E65" s="134"/>
      <c r="F65" s="135"/>
      <c r="H65" s="192"/>
      <c r="I65" s="214" t="str">
        <f>IFERROR(VLOOKUP(H65,$B$3:$F$62,5,FALSE),"")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136"/>
      <c r="C66" s="60" t="s">
        <v>145</v>
      </c>
      <c r="D66" s="133">
        <f>SUM(D3:D65)</f>
        <v>17.842899999999993</v>
      </c>
      <c r="E66" s="134"/>
      <c r="F66" s="135">
        <f>D66+E66</f>
        <v>17.842899999999993</v>
      </c>
      <c r="H66" s="192"/>
      <c r="I66" s="214" t="str">
        <f>IFERROR(VLOOKUP(H66,$B$3:$F$62,5,FALSE),"")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136"/>
      <c r="C67" s="60"/>
      <c r="D67" s="133"/>
      <c r="E67" s="134"/>
      <c r="F67" s="135"/>
      <c r="H67" s="192"/>
      <c r="I67" s="214" t="str">
        <f>IFERROR(VLOOKUP(H67,$B$3:$F$62,5,FALSE),"")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40"/>
      <c r="C68" s="136"/>
      <c r="D68" s="133">
        <v>0</v>
      </c>
      <c r="E68" s="134"/>
      <c r="F68" s="135">
        <f>D68+E68</f>
        <v>0</v>
      </c>
      <c r="H68" s="192"/>
      <c r="I68" s="214" t="str">
        <f>IFERROR(VLOOKUP(H68,$B$3:$F$62,5,FALSE),"")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40"/>
      <c r="C69" s="136"/>
      <c r="D69" s="133">
        <v>0</v>
      </c>
      <c r="E69" s="134"/>
      <c r="F69" s="135">
        <f>D69+E69</f>
        <v>0</v>
      </c>
      <c r="H69" s="192"/>
      <c r="I69" s="214" t="str">
        <f>IFERROR(VLOOKUP(H69,$B$3:$F$62,5,FALSE),"")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40"/>
      <c r="C70" s="41"/>
      <c r="D70" s="42"/>
      <c r="E70" s="24" t="str">
        <f>IF(B70="MDZ140R","",IFERROR((SUMIF($B$3:$B$64,"MDZ140R",$F$3:$F$64)*INDEX($Q$20:$Q$74,MATCH(B70,$N$20:$N$74,0))),""))</f>
        <v/>
      </c>
      <c r="F70" s="42" t="str">
        <f t="shared" si="0"/>
        <v/>
      </c>
      <c r="H70" s="192"/>
      <c r="I70" s="214" t="str">
        <f>IFERROR(VLOOKUP(H70,$B$3:$F$62,5,FALSE),"")</f>
        <v/>
      </c>
      <c r="J70" s="191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40"/>
      <c r="C71" s="41"/>
      <c r="D71" s="42"/>
      <c r="E71" s="24" t="str">
        <f>IF(B71="MDZ140R","",IFERROR((SUMIF($B$3:$B$64,"MDZ140R",$F$3:$F$64)*INDEX($Q$20:$Q$74,MATCH(B71,$N$20:$N$74,0))),""))</f>
        <v/>
      </c>
      <c r="F71" s="42" t="str">
        <f t="shared" si="0"/>
        <v/>
      </c>
      <c r="H71" s="192"/>
      <c r="I71" s="214" t="str">
        <f>IFERROR(VLOOKUP(H71,$B$3:$F$62,5,FALSE),"")</f>
        <v/>
      </c>
      <c r="J71" s="191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40"/>
      <c r="C72" s="41"/>
      <c r="D72" s="42"/>
      <c r="E72" s="24" t="str">
        <f>IF(B72="MDZ140R","",IFERROR((SUMIF($B$3:$B$64,"MDZ140R",$F$3:$F$64)*INDEX($Q$20:$Q$74,MATCH(B72,$N$20:$N$74,0))),""))</f>
        <v/>
      </c>
      <c r="F72" s="42" t="str">
        <f t="shared" si="0"/>
        <v/>
      </c>
      <c r="H72" s="192"/>
      <c r="I72" s="214" t="str">
        <f>IFERROR(VLOOKUP(H72,$B$3:$F$62,5,FALSE),"")</f>
        <v/>
      </c>
      <c r="J72" s="191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40"/>
      <c r="C73" s="41"/>
      <c r="D73" s="42"/>
      <c r="E73" s="24" t="str">
        <f>IF(B73="MDZ140R","",IFERROR((SUMIF($B$3:$B$64,"MDZ140R",$F$3:$F$64)*INDEX($Q$20:$Q$74,MATCH(B73,$N$20:$N$74,0))),""))</f>
        <v/>
      </c>
      <c r="F73" s="42" t="str">
        <f t="shared" si="0"/>
        <v/>
      </c>
      <c r="H73" s="192"/>
      <c r="I73" s="214" t="str">
        <f>IFERROR(VLOOKUP(H73,$B$3:$F$62,5,FALSE),"")</f>
        <v/>
      </c>
      <c r="J73" s="191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40"/>
      <c r="C74" s="41"/>
      <c r="D74" s="42"/>
      <c r="E74" s="24" t="str">
        <f>IF(B74="MDZ140R","",IFERROR((SUMIF($B$3:$B$64,"MDZ140R",$F$3:$F$64)*INDEX($Q$20:$Q$74,MATCH(B74,$N$20:$N$74,0))),""))</f>
        <v/>
      </c>
      <c r="F74" s="42" t="str">
        <f t="shared" si="0"/>
        <v/>
      </c>
      <c r="H74" s="192"/>
      <c r="I74" s="214" t="str">
        <f>IFERROR(VLOOKUP(H74,$B$3:$F$62,5,FALSE),"")</f>
        <v/>
      </c>
      <c r="J74" s="191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H75" s="192"/>
      <c r="I75" s="214" t="str">
        <f>IFERROR(VLOOKUP(H75,$B$3:$F$62,5,FALSE),"")</f>
        <v/>
      </c>
      <c r="J75" s="191"/>
      <c r="L75" s="56"/>
      <c r="M75" s="56"/>
      <c r="N75" s="56"/>
      <c r="O75" s="59" t="s">
        <v>3</v>
      </c>
      <c r="P75" s="131">
        <f>SUM(P20:P33)</f>
        <v>182</v>
      </c>
      <c r="Q75" s="131">
        <f>SUM(Q20:Q33)</f>
        <v>0.994533</v>
      </c>
      <c r="R75" s="59">
        <v>0</v>
      </c>
    </row>
    <row r="76" spans="2:18" x14ac:dyDescent="0.3">
      <c r="H76" s="192"/>
      <c r="I76" s="214" t="str">
        <f>IFERROR(VLOOKUP(H76,$B$3:$F$62,5,FALSE),"")</f>
        <v/>
      </c>
      <c r="J76" s="207"/>
    </row>
    <row r="77" spans="2:18" x14ac:dyDescent="0.3">
      <c r="H77" s="189" t="s">
        <v>73</v>
      </c>
      <c r="I77" s="214"/>
      <c r="J77" s="191">
        <f>SUM(I77:I91)</f>
        <v>1.3525534779999999</v>
      </c>
    </row>
    <row r="78" spans="2:18" x14ac:dyDescent="0.3">
      <c r="H78" s="196" t="s">
        <v>44</v>
      </c>
      <c r="I78" s="215">
        <v>2.25875E-2</v>
      </c>
      <c r="J78" s="201"/>
    </row>
    <row r="79" spans="2:18" x14ac:dyDescent="0.3">
      <c r="H79" s="196" t="s">
        <v>38</v>
      </c>
      <c r="I79" s="211">
        <v>5.646875E-3</v>
      </c>
      <c r="J79" s="201"/>
    </row>
    <row r="80" spans="2:18" x14ac:dyDescent="0.3">
      <c r="H80" s="196" t="s">
        <v>9</v>
      </c>
      <c r="I80" s="214">
        <f>IFERROR(VLOOKUP(H80,$B$3:$F$62,5,FALSE),"")</f>
        <v>0.22155910299999998</v>
      </c>
      <c r="J80" s="201"/>
    </row>
    <row r="81" spans="8:10" x14ac:dyDescent="0.3">
      <c r="H81" s="196" t="s">
        <v>119</v>
      </c>
      <c r="I81" s="214">
        <f>IFERROR(VLOOKUP(H81,$B$3:$F$62,5,FALSE),"")</f>
        <v>0.51849999999999996</v>
      </c>
      <c r="J81" s="201"/>
    </row>
    <row r="82" spans="8:10" x14ac:dyDescent="0.3">
      <c r="H82" s="196" t="s">
        <v>133</v>
      </c>
      <c r="I82" s="214" t="str">
        <f>IFERROR(VLOOKUP(H82,$B$3:$F$62,5,FALSE),"")</f>
        <v/>
      </c>
      <c r="J82" s="201"/>
    </row>
    <row r="83" spans="8:10" x14ac:dyDescent="0.3">
      <c r="H83" s="196" t="s">
        <v>147</v>
      </c>
      <c r="I83" s="214">
        <v>0.41376000000000002</v>
      </c>
      <c r="J83" s="201"/>
    </row>
    <row r="84" spans="8:10" x14ac:dyDescent="0.3">
      <c r="H84" s="196" t="s">
        <v>148</v>
      </c>
      <c r="I84" s="214" t="str">
        <f>IFERROR(VLOOKUP(H84,$B$3:$F$62,5,FALSE),"")</f>
        <v/>
      </c>
      <c r="J84" s="201"/>
    </row>
    <row r="85" spans="8:10" x14ac:dyDescent="0.3">
      <c r="H85" s="196" t="s">
        <v>11</v>
      </c>
      <c r="I85" s="214">
        <f>IFERROR(VLOOKUP(H85,$B$3:$F$62,5,FALSE),"")</f>
        <v>0.17050000000000001</v>
      </c>
      <c r="J85" s="201"/>
    </row>
    <row r="86" spans="8:10" x14ac:dyDescent="0.3">
      <c r="H86" s="196" t="s">
        <v>149</v>
      </c>
      <c r="I86" s="214" t="str">
        <f>IFERROR(VLOOKUP(H86,$B$3:$F$62,5,FALSE),"")</f>
        <v/>
      </c>
      <c r="J86" s="201"/>
    </row>
    <row r="87" spans="8:10" x14ac:dyDescent="0.3">
      <c r="H87" s="196" t="s">
        <v>121</v>
      </c>
      <c r="I87" s="214" t="str">
        <f>IFERROR(VLOOKUP(H87,$B$3:$F$62,5,FALSE),"")</f>
        <v/>
      </c>
      <c r="J87" s="201"/>
    </row>
    <row r="88" spans="8:10" x14ac:dyDescent="0.3">
      <c r="H88" s="196" t="s">
        <v>150</v>
      </c>
      <c r="I88" s="214" t="str">
        <f>IFERROR(VLOOKUP(H88,$B$3:$F$62,5,FALSE),"")</f>
        <v/>
      </c>
      <c r="J88" s="191"/>
    </row>
    <row r="89" spans="8:10" x14ac:dyDescent="0.3">
      <c r="H89" s="196"/>
      <c r="I89" s="214" t="str">
        <f>IFERROR(VLOOKUP(H89,$B$3:$F$62,5,FALSE),"")</f>
        <v/>
      </c>
      <c r="J89" s="201"/>
    </row>
    <row r="90" spans="8:10" x14ac:dyDescent="0.3">
      <c r="H90" s="196"/>
      <c r="I90" s="214" t="str">
        <f>IFERROR(VLOOKUP(H90,$B$3:$F$62,5,FALSE),"")</f>
        <v/>
      </c>
      <c r="J90" s="201"/>
    </row>
    <row r="91" spans="8:10" x14ac:dyDescent="0.3">
      <c r="H91" s="196"/>
      <c r="I91" s="214" t="str">
        <f>IFERROR(VLOOKUP(H91,$B$3:$F$62,5,FALSE),"")</f>
        <v/>
      </c>
      <c r="J91" s="201"/>
    </row>
    <row r="92" spans="8:10" x14ac:dyDescent="0.3">
      <c r="H92" s="200" t="s">
        <v>74</v>
      </c>
      <c r="I92" s="214" t="str">
        <f>IFERROR(VLOOKUP(H92,$B$3:$F$62,5,FALSE),"")</f>
        <v/>
      </c>
      <c r="J92" s="201">
        <f>SUM(I92:I96)</f>
        <v>5.646875E-3</v>
      </c>
    </row>
    <row r="93" spans="8:10" s="175" customFormat="1" x14ac:dyDescent="0.3">
      <c r="H93" s="176" t="s">
        <v>438</v>
      </c>
      <c r="I93" s="217">
        <v>5.646875E-3</v>
      </c>
      <c r="J93" s="177"/>
    </row>
    <row r="94" spans="8:10" x14ac:dyDescent="0.3">
      <c r="H94" s="196"/>
      <c r="I94" s="214"/>
      <c r="J94" s="208"/>
    </row>
    <row r="95" spans="8:10" x14ac:dyDescent="0.3">
      <c r="H95" s="196"/>
      <c r="I95" s="214"/>
      <c r="J95" s="201"/>
    </row>
    <row r="96" spans="8:10" s="175" customFormat="1" x14ac:dyDescent="0.3">
      <c r="H96" s="196"/>
      <c r="I96" s="214" t="str">
        <f>IFERROR(VLOOKUP(H96,$B$3:$F$62,5,FALSE),"")</f>
        <v/>
      </c>
      <c r="J96" s="201"/>
    </row>
    <row r="97" spans="8:10" x14ac:dyDescent="0.3">
      <c r="H97" s="200" t="s">
        <v>75</v>
      </c>
      <c r="I97" s="214" t="str">
        <f>IFERROR(VLOOKUP(H97,$B$3:$F$62,5,FALSE),"")</f>
        <v/>
      </c>
      <c r="J97" s="201">
        <f>SUM(I97:I103)</f>
        <v>0.69840000000000002</v>
      </c>
    </row>
    <row r="98" spans="8:10" x14ac:dyDescent="0.3">
      <c r="H98" s="196" t="s">
        <v>215</v>
      </c>
      <c r="I98" s="214" t="str">
        <f>IFERROR(VLOOKUP(H98,$B$3:$F$62,5,FALSE),"")</f>
        <v/>
      </c>
      <c r="J98" s="201"/>
    </row>
    <row r="99" spans="8:10" x14ac:dyDescent="0.3">
      <c r="H99" s="196" t="s">
        <v>151</v>
      </c>
      <c r="I99" s="211">
        <v>0.46560000000000001</v>
      </c>
      <c r="J99" s="201"/>
    </row>
    <row r="100" spans="8:10" x14ac:dyDescent="0.3">
      <c r="H100" s="196" t="s">
        <v>14</v>
      </c>
      <c r="I100" s="214">
        <v>0.23280000000000001</v>
      </c>
      <c r="J100" s="201"/>
    </row>
    <row r="101" spans="8:10" x14ac:dyDescent="0.3">
      <c r="H101" s="196" t="s">
        <v>152</v>
      </c>
      <c r="I101" s="214" t="str">
        <f>IFERROR(VLOOKUP(H101,$B$3:$F$62,5,FALSE),"")</f>
        <v/>
      </c>
      <c r="J101" s="201"/>
    </row>
    <row r="102" spans="8:10" x14ac:dyDescent="0.3">
      <c r="H102" s="196" t="s">
        <v>211</v>
      </c>
      <c r="I102" s="214" t="str">
        <f>IFERROR(VLOOKUP(H102,$B$3:$F$62,5,FALSE),"")</f>
        <v/>
      </c>
      <c r="J102" s="201"/>
    </row>
    <row r="103" spans="8:10" x14ac:dyDescent="0.3">
      <c r="H103" s="196" t="s">
        <v>212</v>
      </c>
      <c r="I103" s="214" t="str">
        <f>IFERROR(VLOOKUP(H103,$B$3:$F$62,5,FALSE),"")</f>
        <v/>
      </c>
      <c r="J103" s="201"/>
    </row>
    <row r="104" spans="8:10" x14ac:dyDescent="0.3">
      <c r="H104" s="200" t="s">
        <v>76</v>
      </c>
      <c r="I104" s="214" t="str">
        <f>IFERROR(VLOOKUP(H104,$B$3:$F$62,5,FALSE),"")</f>
        <v/>
      </c>
      <c r="J104" s="201">
        <f>SUM(I104:I108)</f>
        <v>0</v>
      </c>
    </row>
    <row r="105" spans="8:10" x14ac:dyDescent="0.3">
      <c r="H105" s="196"/>
      <c r="I105" s="214"/>
      <c r="J105" s="208"/>
    </row>
    <row r="106" spans="8:10" x14ac:dyDescent="0.3">
      <c r="H106" s="196"/>
      <c r="I106" s="214"/>
      <c r="J106" s="201"/>
    </row>
    <row r="107" spans="8:10" s="175" customFormat="1" x14ac:dyDescent="0.3">
      <c r="H107" s="196"/>
      <c r="I107" s="214"/>
      <c r="J107" s="201"/>
    </row>
    <row r="108" spans="8:10" x14ac:dyDescent="0.3">
      <c r="H108" s="196"/>
      <c r="I108" s="214" t="str">
        <f>IFERROR(VLOOKUP(H108,$B$3:$F$62,5,FALSE),"")</f>
        <v/>
      </c>
      <c r="J108" s="201"/>
    </row>
    <row r="109" spans="8:10" x14ac:dyDescent="0.3">
      <c r="H109" s="200" t="s">
        <v>78</v>
      </c>
      <c r="I109" s="214" t="str">
        <f>IFERROR(VLOOKUP(H109,$B$3:$F$62,5,FALSE),"")</f>
        <v/>
      </c>
      <c r="J109" s="201">
        <f>SUM(I109:I115)</f>
        <v>0.3899076615</v>
      </c>
    </row>
    <row r="110" spans="8:10" s="175" customFormat="1" x14ac:dyDescent="0.3">
      <c r="H110" s="176" t="s">
        <v>337</v>
      </c>
      <c r="I110" s="218">
        <v>0.3899076615</v>
      </c>
      <c r="J110" s="177"/>
    </row>
    <row r="111" spans="8:10" x14ac:dyDescent="0.3">
      <c r="H111" s="196"/>
      <c r="I111" s="214" t="str">
        <f>IFERROR(VLOOKUP(H111,$B$3:$F$62,5,FALSE),"")</f>
        <v/>
      </c>
      <c r="J111" s="208"/>
    </row>
    <row r="112" spans="8:10" x14ac:dyDescent="0.3">
      <c r="H112" s="196"/>
      <c r="I112" s="214"/>
      <c r="J112" s="208"/>
    </row>
    <row r="113" spans="8:10" x14ac:dyDescent="0.3">
      <c r="H113" s="196"/>
      <c r="I113" s="214" t="str">
        <f>IFERROR(VLOOKUP(H113,$B$3:$F$62,5,FALSE),"")</f>
        <v/>
      </c>
      <c r="J113" s="208"/>
    </row>
    <row r="114" spans="8:10" x14ac:dyDescent="0.3">
      <c r="H114" s="196"/>
      <c r="I114" s="214" t="str">
        <f>IFERROR(VLOOKUP(H114,$B$3:$F$62,5,FALSE),"")</f>
        <v/>
      </c>
      <c r="J114" s="201"/>
    </row>
    <row r="115" spans="8:10" x14ac:dyDescent="0.3">
      <c r="H115" s="196"/>
      <c r="I115" s="214" t="str">
        <f>IFERROR(VLOOKUP(H115,$B$3:$F$62,5,FALSE),"")</f>
        <v/>
      </c>
      <c r="J115" s="201"/>
    </row>
    <row r="116" spans="8:10" x14ac:dyDescent="0.3">
      <c r="H116" s="200" t="s">
        <v>77</v>
      </c>
      <c r="I116" s="214" t="str">
        <f>IFERROR(VLOOKUP(H116,$B$3:$F$62,5,FALSE),"")</f>
        <v/>
      </c>
      <c r="J116" s="201">
        <f>SUM(I116:I164)</f>
        <v>9.3647057935000007</v>
      </c>
    </row>
    <row r="117" spans="8:10" x14ac:dyDescent="0.3">
      <c r="H117" s="196" t="s">
        <v>60</v>
      </c>
      <c r="I117" s="211">
        <v>0.3899076615</v>
      </c>
      <c r="J117" s="201"/>
    </row>
    <row r="118" spans="8:10" x14ac:dyDescent="0.3">
      <c r="H118" s="196" t="s">
        <v>153</v>
      </c>
      <c r="I118" s="214" t="str">
        <f>IFERROR(VLOOKUP(H118,$B$3:$F$62,5,FALSE),"")</f>
        <v/>
      </c>
      <c r="J118" s="201"/>
    </row>
    <row r="119" spans="8:10" x14ac:dyDescent="0.3">
      <c r="H119" s="196" t="s">
        <v>154</v>
      </c>
      <c r="I119" s="214" t="str">
        <f>IFERROR(VLOOKUP(H119,$B$3:$F$62,5,FALSE),"")</f>
        <v/>
      </c>
      <c r="J119" s="201"/>
    </row>
    <row r="120" spans="8:10" x14ac:dyDescent="0.3">
      <c r="H120" s="196" t="s">
        <v>114</v>
      </c>
      <c r="I120" s="214">
        <f>IFERROR(VLOOKUP(H120,$B$3:$F$62,5,FALSE),"")</f>
        <v>0.52759999999999996</v>
      </c>
      <c r="J120" s="201"/>
    </row>
    <row r="121" spans="8:10" x14ac:dyDescent="0.3">
      <c r="H121" s="196" t="s">
        <v>116</v>
      </c>
      <c r="I121" s="214">
        <f>IFERROR(VLOOKUP(H121,$B$3:$F$62,5,FALSE),"")</f>
        <v>0.87019999999999997</v>
      </c>
      <c r="J121" s="200"/>
    </row>
    <row r="122" spans="8:10" x14ac:dyDescent="0.3">
      <c r="H122" s="196" t="s">
        <v>62</v>
      </c>
      <c r="I122" s="214">
        <f>IFERROR(VLOOKUP(H122,$B$3:$F$62,5,FALSE),"")</f>
        <v>0.44130000000000003</v>
      </c>
      <c r="J122" s="200"/>
    </row>
    <row r="123" spans="8:10" x14ac:dyDescent="0.3">
      <c r="H123" s="196" t="s">
        <v>48</v>
      </c>
      <c r="I123" s="214">
        <f>IFERROR(VLOOKUP(H123,$B$3:$F$62,5,FALSE),"")</f>
        <v>0.81100000000000005</v>
      </c>
      <c r="J123" s="200"/>
    </row>
    <row r="124" spans="8:10" x14ac:dyDescent="0.3">
      <c r="H124" s="196" t="s">
        <v>63</v>
      </c>
      <c r="I124" s="214">
        <f>IFERROR(VLOOKUP(H124,$B$3:$F$62,5,FALSE),"")</f>
        <v>4.9907368000000001E-2</v>
      </c>
      <c r="J124" s="200"/>
    </row>
    <row r="125" spans="8:10" x14ac:dyDescent="0.3">
      <c r="H125" s="196" t="s">
        <v>131</v>
      </c>
      <c r="I125" s="214" t="str">
        <f>IFERROR(VLOOKUP(H125,$B$3:$F$62,5,FALSE),"")</f>
        <v/>
      </c>
      <c r="J125" s="200"/>
    </row>
    <row r="126" spans="8:10" x14ac:dyDescent="0.3">
      <c r="H126" s="196" t="s">
        <v>155</v>
      </c>
      <c r="I126" s="214" t="str">
        <f>IFERROR(VLOOKUP(H126,$B$3:$F$62,5,FALSE),"")</f>
        <v/>
      </c>
      <c r="J126" s="200"/>
    </row>
    <row r="127" spans="8:10" x14ac:dyDescent="0.3">
      <c r="H127" s="196" t="s">
        <v>156</v>
      </c>
      <c r="I127" s="214" t="str">
        <f>IFERROR(VLOOKUP(H127,$B$3:$F$62,5,FALSE),"")</f>
        <v/>
      </c>
      <c r="J127" s="200"/>
    </row>
    <row r="128" spans="8:10" x14ac:dyDescent="0.3">
      <c r="H128" s="196" t="s">
        <v>64</v>
      </c>
      <c r="I128" s="214">
        <f>IFERROR(VLOOKUP(H128,$B$3:$F$62,5,FALSE),"")</f>
        <v>0.25602269100000002</v>
      </c>
      <c r="J128" s="200"/>
    </row>
    <row r="129" spans="8:10" x14ac:dyDescent="0.3">
      <c r="H129" s="196" t="s">
        <v>24</v>
      </c>
      <c r="I129" s="214">
        <f>IFERROR(VLOOKUP(H129,$B$3:$F$62,5,FALSE),"")</f>
        <v>0.11380736800000001</v>
      </c>
      <c r="J129" s="200"/>
    </row>
    <row r="130" spans="8:10" x14ac:dyDescent="0.3">
      <c r="H130" s="196" t="s">
        <v>34</v>
      </c>
      <c r="I130" s="214">
        <f>IFERROR(VLOOKUP(H130,$B$3:$F$62,5,FALSE),"")</f>
        <v>0.37981532299999998</v>
      </c>
      <c r="J130" s="200"/>
    </row>
    <row r="131" spans="8:10" x14ac:dyDescent="0.3">
      <c r="H131" s="196" t="s">
        <v>157</v>
      </c>
      <c r="I131" s="214" t="str">
        <f>IFERROR(VLOOKUP(H131,$B$3:$F$62,5,FALSE),"")</f>
        <v/>
      </c>
      <c r="J131" s="200"/>
    </row>
    <row r="132" spans="8:10" x14ac:dyDescent="0.3">
      <c r="H132" s="196" t="s">
        <v>158</v>
      </c>
      <c r="I132" s="214" t="str">
        <f>IFERROR(VLOOKUP(H132,$B$3:$F$62,5,FALSE),"")</f>
        <v/>
      </c>
      <c r="J132" s="200"/>
    </row>
    <row r="133" spans="8:10" x14ac:dyDescent="0.3">
      <c r="H133" s="196" t="s">
        <v>159</v>
      </c>
      <c r="I133" s="214" t="str">
        <f>IFERROR(VLOOKUP(H133,$B$3:$F$62,5,FALSE),"")</f>
        <v/>
      </c>
      <c r="J133" s="200"/>
    </row>
    <row r="134" spans="8:10" x14ac:dyDescent="0.3">
      <c r="H134" s="196" t="s">
        <v>160</v>
      </c>
      <c r="I134" s="214" t="str">
        <f>IFERROR(VLOOKUP(H134,$B$3:$F$62,5,FALSE),"")</f>
        <v/>
      </c>
      <c r="J134" s="200"/>
    </row>
    <row r="135" spans="8:10" x14ac:dyDescent="0.3">
      <c r="H135" s="196" t="s">
        <v>50</v>
      </c>
      <c r="I135" s="214" t="str">
        <f>IFERROR(VLOOKUP(H135,$B$3:$F$62,5,FALSE),"")</f>
        <v/>
      </c>
      <c r="J135" s="200"/>
    </row>
    <row r="136" spans="8:10" x14ac:dyDescent="0.3">
      <c r="H136" s="196" t="s">
        <v>161</v>
      </c>
      <c r="I136" s="214" t="str">
        <f>IFERROR(VLOOKUP(H136,$B$3:$F$62,5,FALSE),"")</f>
        <v/>
      </c>
      <c r="J136" s="200"/>
    </row>
    <row r="137" spans="8:10" x14ac:dyDescent="0.3">
      <c r="H137" s="196" t="s">
        <v>162</v>
      </c>
      <c r="I137" s="214" t="str">
        <f>IFERROR(VLOOKUP(H137,$B$3:$F$62,5,FALSE),"")</f>
        <v/>
      </c>
      <c r="J137" s="200"/>
    </row>
    <row r="138" spans="8:10" x14ac:dyDescent="0.3">
      <c r="H138" s="196" t="s">
        <v>7</v>
      </c>
      <c r="I138" s="214">
        <f>IFERROR(VLOOKUP(H138,$B$3:$F$62,5,FALSE),"")</f>
        <v>0.125307368</v>
      </c>
      <c r="J138" s="200"/>
    </row>
    <row r="139" spans="8:10" x14ac:dyDescent="0.3">
      <c r="H139" s="196" t="s">
        <v>27</v>
      </c>
      <c r="I139" s="214">
        <f>IFERROR(VLOOKUP(H139,$B$3:$F$62,5,FALSE),"")</f>
        <v>0.59060736800000002</v>
      </c>
      <c r="J139" s="200"/>
    </row>
    <row r="140" spans="8:10" x14ac:dyDescent="0.3">
      <c r="H140" s="196" t="s">
        <v>163</v>
      </c>
      <c r="I140" s="214" t="str">
        <f>IFERROR(VLOOKUP(H140,$B$3:$F$62,5,FALSE),"")</f>
        <v/>
      </c>
      <c r="J140" s="200"/>
    </row>
    <row r="141" spans="8:10" x14ac:dyDescent="0.3">
      <c r="H141" s="196" t="s">
        <v>164</v>
      </c>
      <c r="I141" s="214" t="str">
        <f>IFERROR(VLOOKUP(H141,$B$3:$F$62,5,FALSE),"")</f>
        <v/>
      </c>
      <c r="J141" s="200"/>
    </row>
    <row r="142" spans="8:10" x14ac:dyDescent="0.3">
      <c r="H142" s="196" t="s">
        <v>165</v>
      </c>
      <c r="I142" s="214">
        <f>IFERROR(VLOOKUP(H142,$B$3:$F$62,5,FALSE),"")</f>
        <v>0.20269999999999999</v>
      </c>
      <c r="J142" s="200"/>
    </row>
    <row r="143" spans="8:10" x14ac:dyDescent="0.3">
      <c r="H143" s="196" t="s">
        <v>166</v>
      </c>
      <c r="I143" s="214">
        <f>IFERROR(VLOOKUP(H143,$B$3:$F$62,5,FALSE),"")</f>
        <v>0.76939999999999997</v>
      </c>
      <c r="J143" s="200"/>
    </row>
    <row r="144" spans="8:10" x14ac:dyDescent="0.3">
      <c r="H144" s="196" t="s">
        <v>135</v>
      </c>
      <c r="I144" s="214" t="str">
        <f>IFERROR(VLOOKUP(H144,$B$3:$F$62,5,FALSE),"")</f>
        <v/>
      </c>
      <c r="J144" s="200"/>
    </row>
    <row r="145" spans="8:10" x14ac:dyDescent="0.3">
      <c r="H145" s="196" t="s">
        <v>123</v>
      </c>
      <c r="I145" s="214" t="str">
        <f>IFERROR(VLOOKUP(H145,$B$3:$F$62,5,FALSE),"")</f>
        <v/>
      </c>
      <c r="J145" s="200"/>
    </row>
    <row r="146" spans="8:10" x14ac:dyDescent="0.3">
      <c r="H146" s="196" t="s">
        <v>125</v>
      </c>
      <c r="I146" s="214" t="str">
        <f>IFERROR(VLOOKUP(H146,$B$3:$F$62,5,FALSE),"")</f>
        <v/>
      </c>
      <c r="J146" s="200"/>
    </row>
    <row r="147" spans="8:10" x14ac:dyDescent="0.3">
      <c r="H147" s="196" t="s">
        <v>167</v>
      </c>
      <c r="I147" s="214" t="str">
        <f>IFERROR(VLOOKUP(H147,$B$3:$F$62,5,FALSE),"")</f>
        <v/>
      </c>
      <c r="J147" s="200"/>
    </row>
    <row r="148" spans="8:10" x14ac:dyDescent="0.3">
      <c r="H148" s="196" t="s">
        <v>65</v>
      </c>
      <c r="I148" s="214">
        <f>IFERROR(VLOOKUP(H148,$B$3:$F$62,5,FALSE),"")</f>
        <v>0.65739999999999998</v>
      </c>
      <c r="J148" s="200"/>
    </row>
    <row r="149" spans="8:10" x14ac:dyDescent="0.3">
      <c r="H149" s="196" t="s">
        <v>41</v>
      </c>
      <c r="I149" s="214">
        <f>IFERROR(VLOOKUP(H149,$B$3:$F$62,5,FALSE),"")</f>
        <v>0.93220000000000003</v>
      </c>
      <c r="J149" s="200"/>
    </row>
    <row r="150" spans="8:10" x14ac:dyDescent="0.3">
      <c r="H150" s="196" t="s">
        <v>42</v>
      </c>
      <c r="I150" s="214">
        <f>IFERROR(VLOOKUP(H150,$B$3:$F$62,5,FALSE),"")</f>
        <v>0.41749999999999998</v>
      </c>
      <c r="J150" s="200"/>
    </row>
    <row r="151" spans="8:10" x14ac:dyDescent="0.3">
      <c r="H151" s="196" t="s">
        <v>29</v>
      </c>
      <c r="I151" s="214" t="str">
        <f>IFERROR(VLOOKUP(H151,$B$3:$F$62,5,FALSE),"")</f>
        <v/>
      </c>
      <c r="J151" s="200"/>
    </row>
    <row r="152" spans="8:10" x14ac:dyDescent="0.3">
      <c r="H152" s="196" t="s">
        <v>16</v>
      </c>
      <c r="I152" s="214" t="str">
        <f>IFERROR(VLOOKUP(H152,$B$3:$F$62,5,FALSE),"")</f>
        <v/>
      </c>
      <c r="J152" s="200"/>
    </row>
    <row r="153" spans="8:10" x14ac:dyDescent="0.3">
      <c r="H153" s="196" t="s">
        <v>168</v>
      </c>
      <c r="I153" s="214" t="str">
        <f>IFERROR(VLOOKUP(H153,$B$3:$F$62,5,FALSE),"")</f>
        <v/>
      </c>
      <c r="J153" s="200"/>
    </row>
    <row r="154" spans="8:10" x14ac:dyDescent="0.3">
      <c r="H154" s="196" t="s">
        <v>18</v>
      </c>
      <c r="I154" s="214">
        <f>IFERROR(VLOOKUP(H154,$B$3:$F$62,5,FALSE),"")</f>
        <v>0.92703064599999996</v>
      </c>
      <c r="J154" s="200"/>
    </row>
    <row r="155" spans="8:10" x14ac:dyDescent="0.3">
      <c r="H155" s="196" t="s">
        <v>45</v>
      </c>
      <c r="I155" s="214">
        <f>IFERROR(VLOOKUP(H155,$B$3:$F$62,5,FALSE),"")</f>
        <v>0.30549999999999999</v>
      </c>
      <c r="J155" s="200"/>
    </row>
    <row r="156" spans="8:10" x14ac:dyDescent="0.3">
      <c r="H156" s="196" t="s">
        <v>53</v>
      </c>
      <c r="I156" s="214">
        <f>IFERROR(VLOOKUP(H156,$B$3:$F$62,5,FALSE),"")</f>
        <v>0.59750000000000003</v>
      </c>
      <c r="J156" s="200"/>
    </row>
    <row r="157" spans="8:10" x14ac:dyDescent="0.3">
      <c r="H157" s="196" t="s">
        <v>187</v>
      </c>
      <c r="I157" s="214" t="str">
        <f>IFERROR(VLOOKUP(H157,$B$3:$F$62,5,FALSE),"")</f>
        <v/>
      </c>
      <c r="J157" s="200"/>
    </row>
    <row r="158" spans="8:10" x14ac:dyDescent="0.3">
      <c r="H158" s="196" t="s">
        <v>52</v>
      </c>
      <c r="I158" s="214" t="str">
        <f>IFERROR(VLOOKUP(H158,$B$3:$F$62,5,FALSE),"")</f>
        <v/>
      </c>
      <c r="J158" s="200"/>
    </row>
    <row r="159" spans="8:10" x14ac:dyDescent="0.3">
      <c r="H159" s="196" t="s">
        <v>55</v>
      </c>
      <c r="I159" s="214" t="str">
        <f>IFERROR(VLOOKUP(H159,$B$3:$F$62,5,FALSE),"")</f>
        <v/>
      </c>
      <c r="J159" s="200"/>
    </row>
    <row r="160" spans="8:10" x14ac:dyDescent="0.3">
      <c r="H160" s="196" t="s">
        <v>169</v>
      </c>
      <c r="I160" s="214" t="str">
        <f>IFERROR(VLOOKUP(H160,$B$3:$F$62,5,FALSE),"")</f>
        <v/>
      </c>
      <c r="J160" s="200"/>
    </row>
    <row r="161" spans="8:10" x14ac:dyDescent="0.3">
      <c r="H161" s="196" t="s">
        <v>213</v>
      </c>
      <c r="I161" s="214" t="str">
        <f>IFERROR(VLOOKUP(H161,$B$3:$F$62,5,FALSE),"")</f>
        <v/>
      </c>
      <c r="J161" s="200"/>
    </row>
    <row r="162" spans="8:10" x14ac:dyDescent="0.3">
      <c r="H162" s="196" t="s">
        <v>214</v>
      </c>
      <c r="I162" s="214" t="str">
        <f>IFERROR(VLOOKUP(H162,$B$3:$F$62,5,FALSE),"")</f>
        <v/>
      </c>
      <c r="J162" s="200"/>
    </row>
    <row r="163" spans="8:10" x14ac:dyDescent="0.3">
      <c r="H163" s="196"/>
      <c r="I163" s="214" t="str">
        <f>IFERROR(VLOOKUP(H163,$B$3:$F$62,5,FALSE),"")</f>
        <v/>
      </c>
      <c r="J163" s="200"/>
    </row>
    <row r="164" spans="8:10" x14ac:dyDescent="0.3">
      <c r="H164" s="196"/>
      <c r="I164" s="214" t="str">
        <f>IFERROR(VLOOKUP(H164,$B$3:$F$62,5,FALSE),"")</f>
        <v/>
      </c>
      <c r="J164" s="200"/>
    </row>
    <row r="165" spans="8:10" x14ac:dyDescent="0.3">
      <c r="H165" s="200" t="s">
        <v>79</v>
      </c>
      <c r="I165" s="214" t="str">
        <f>IFERROR(VLOOKUP(H165,$B$3:$F$62,5,FALSE),"")</f>
        <v/>
      </c>
      <c r="J165" s="209">
        <f>SUM(I165:I194)</f>
        <v>1.0030000000000001</v>
      </c>
    </row>
    <row r="166" spans="8:10" x14ac:dyDescent="0.3">
      <c r="H166" s="196" t="s">
        <v>170</v>
      </c>
      <c r="I166" s="214" t="str">
        <f>IFERROR(VLOOKUP(H166,$B$3:$F$62,5,FALSE),"")</f>
        <v/>
      </c>
      <c r="J166" s="200"/>
    </row>
    <row r="167" spans="8:10" x14ac:dyDescent="0.3">
      <c r="H167" s="196" t="s">
        <v>143</v>
      </c>
      <c r="I167" s="214">
        <f>IFERROR(VLOOKUP(H167,$B$3:$F$62,5,FALSE),"")</f>
        <v>0.35310000000000002</v>
      </c>
      <c r="J167" s="200"/>
    </row>
    <row r="168" spans="8:10" x14ac:dyDescent="0.3">
      <c r="H168" s="196" t="s">
        <v>171</v>
      </c>
      <c r="I168" s="214" t="str">
        <f>IFERROR(VLOOKUP(H168,$B$3:$F$62,5,FALSE),"")</f>
        <v/>
      </c>
      <c r="J168" s="200"/>
    </row>
    <row r="169" spans="8:10" x14ac:dyDescent="0.3">
      <c r="H169" s="196" t="s">
        <v>141</v>
      </c>
      <c r="I169" s="214">
        <f>IFERROR(VLOOKUP(H169,$B$3:$F$62,5,FALSE),"")</f>
        <v>4.4200000000000003E-2</v>
      </c>
      <c r="J169" s="200"/>
    </row>
    <row r="170" spans="8:10" x14ac:dyDescent="0.3">
      <c r="H170" s="196" t="s">
        <v>172</v>
      </c>
      <c r="I170" s="214" t="str">
        <f>IFERROR(VLOOKUP(H170,$B$3:$F$62,5,FALSE),"")</f>
        <v/>
      </c>
      <c r="J170" s="200"/>
    </row>
    <row r="171" spans="8:10" x14ac:dyDescent="0.3">
      <c r="H171" s="196" t="s">
        <v>173</v>
      </c>
      <c r="I171" s="214" t="str">
        <f>IFERROR(VLOOKUP(H171,$B$3:$F$62,5,FALSE),"")</f>
        <v/>
      </c>
      <c r="J171" s="200"/>
    </row>
    <row r="172" spans="8:10" x14ac:dyDescent="0.3">
      <c r="H172" s="196" t="s">
        <v>174</v>
      </c>
      <c r="I172" s="214" t="str">
        <f>IFERROR(VLOOKUP(H172,$B$3:$F$62,5,FALSE),"")</f>
        <v/>
      </c>
      <c r="J172" s="200"/>
    </row>
    <row r="173" spans="8:10" x14ac:dyDescent="0.3">
      <c r="H173" s="196" t="s">
        <v>175</v>
      </c>
      <c r="I173" s="214" t="str">
        <f>IFERROR(VLOOKUP(H173,$B$3:$F$62,5,FALSE),"")</f>
        <v/>
      </c>
      <c r="J173" s="200"/>
    </row>
    <row r="174" spans="8:10" x14ac:dyDescent="0.3">
      <c r="H174" s="196" t="s">
        <v>176</v>
      </c>
      <c r="I174" s="214" t="str">
        <f>IFERROR(VLOOKUP(H174,$B$3:$F$62,5,FALSE),"")</f>
        <v/>
      </c>
      <c r="J174" s="200"/>
    </row>
    <row r="175" spans="8:10" x14ac:dyDescent="0.3">
      <c r="H175" s="196" t="s">
        <v>186</v>
      </c>
      <c r="I175" s="214">
        <f>IFERROR(VLOOKUP(H175,$B$3:$F$62,5,FALSE),"")</f>
        <v>0.45250000000000001</v>
      </c>
      <c r="J175" s="200"/>
    </row>
    <row r="176" spans="8:10" x14ac:dyDescent="0.3">
      <c r="H176" s="196" t="s">
        <v>185</v>
      </c>
      <c r="I176" s="214" t="str">
        <f>IFERROR(VLOOKUP(H176,$B$3:$F$62,5,FALSE),"")</f>
        <v/>
      </c>
      <c r="J176" s="200"/>
    </row>
    <row r="177" spans="8:10" x14ac:dyDescent="0.3">
      <c r="H177" s="196" t="s">
        <v>137</v>
      </c>
      <c r="I177" s="214" t="str">
        <f>IFERROR(VLOOKUP(H177,$B$3:$F$62,5,FALSE),"")</f>
        <v/>
      </c>
      <c r="J177" s="200"/>
    </row>
    <row r="178" spans="8:10" x14ac:dyDescent="0.3">
      <c r="H178" s="196" t="s">
        <v>177</v>
      </c>
      <c r="I178" s="214" t="str">
        <f>IFERROR(VLOOKUP(H178,$B$3:$F$62,5,FALSE),"")</f>
        <v/>
      </c>
      <c r="J178" s="200"/>
    </row>
    <row r="179" spans="8:10" x14ac:dyDescent="0.3">
      <c r="H179" s="196" t="s">
        <v>178</v>
      </c>
      <c r="I179" s="214" t="str">
        <f>IFERROR(VLOOKUP(H179,$B$3:$F$62,5,FALSE),"")</f>
        <v/>
      </c>
      <c r="J179" s="200"/>
    </row>
    <row r="180" spans="8:10" x14ac:dyDescent="0.3">
      <c r="H180" s="196" t="s">
        <v>179</v>
      </c>
      <c r="I180" s="214" t="str">
        <f>IFERROR(VLOOKUP(H180,$B$3:$F$62,5,FALSE),"")</f>
        <v/>
      </c>
      <c r="J180" s="200"/>
    </row>
    <row r="181" spans="8:10" x14ac:dyDescent="0.3">
      <c r="H181" s="196" t="s">
        <v>180</v>
      </c>
      <c r="I181" s="214" t="str">
        <f>IFERROR(VLOOKUP(H181,$B$3:$F$62,5,FALSE),"")</f>
        <v/>
      </c>
      <c r="J181" s="200"/>
    </row>
    <row r="182" spans="8:10" x14ac:dyDescent="0.3">
      <c r="H182" s="196" t="s">
        <v>139</v>
      </c>
      <c r="I182" s="214">
        <f>IFERROR(VLOOKUP(H182,$B$3:$F$62,5,FALSE),"")</f>
        <v>0.1532</v>
      </c>
      <c r="J182" s="200"/>
    </row>
    <row r="183" spans="8:10" x14ac:dyDescent="0.3">
      <c r="H183" s="196" t="s">
        <v>181</v>
      </c>
      <c r="I183" s="214" t="str">
        <f>IFERROR(VLOOKUP(H183,$B$3:$F$62,5,FALSE),"")</f>
        <v/>
      </c>
      <c r="J183" s="200"/>
    </row>
    <row r="184" spans="8:10" x14ac:dyDescent="0.3">
      <c r="H184" s="196" t="s">
        <v>182</v>
      </c>
      <c r="I184" s="214" t="str">
        <f>IFERROR(VLOOKUP(H184,$B$3:$F$62,5,FALSE),"")</f>
        <v/>
      </c>
      <c r="J184" s="200"/>
    </row>
    <row r="185" spans="8:10" x14ac:dyDescent="0.3">
      <c r="H185" s="196"/>
      <c r="I185" s="214" t="str">
        <f>IFERROR(VLOOKUP(H185,$B$3:$F$62,5,FALSE),"")</f>
        <v/>
      </c>
      <c r="J185" s="200"/>
    </row>
    <row r="186" spans="8:10" x14ac:dyDescent="0.3">
      <c r="H186" s="196"/>
      <c r="I186" s="214" t="str">
        <f>IFERROR(VLOOKUP(H186,$B$3:$F$62,5,FALSE),"")</f>
        <v/>
      </c>
      <c r="J186" s="200"/>
    </row>
    <row r="187" spans="8:10" x14ac:dyDescent="0.3">
      <c r="H187" s="196"/>
      <c r="I187" s="214" t="str">
        <f>IFERROR(VLOOKUP(H187,$B$3:$F$62,5,FALSE),"")</f>
        <v/>
      </c>
      <c r="J187" s="200"/>
    </row>
    <row r="188" spans="8:10" x14ac:dyDescent="0.3">
      <c r="H188" s="196"/>
      <c r="I188" s="214" t="str">
        <f>IFERROR(VLOOKUP(H188,$B$3:$F$62,5,FALSE),"")</f>
        <v/>
      </c>
      <c r="J188" s="200"/>
    </row>
    <row r="189" spans="8:10" x14ac:dyDescent="0.3">
      <c r="H189" s="196"/>
      <c r="I189" s="214" t="str">
        <f>IFERROR(VLOOKUP(H189,$B$3:$F$62,5,FALSE),"")</f>
        <v/>
      </c>
      <c r="J189" s="200"/>
    </row>
    <row r="190" spans="8:10" x14ac:dyDescent="0.3">
      <c r="H190" s="196"/>
      <c r="I190" s="214" t="str">
        <f>IFERROR(VLOOKUP(H190,$B$3:$F$62,5,FALSE),"")</f>
        <v/>
      </c>
      <c r="J190" s="200"/>
    </row>
    <row r="191" spans="8:10" x14ac:dyDescent="0.3">
      <c r="H191" s="196"/>
      <c r="I191" s="214" t="str">
        <f>IFERROR(VLOOKUP(H191,$B$3:$F$62,5,FALSE),"")</f>
        <v/>
      </c>
      <c r="J191" s="200"/>
    </row>
    <row r="192" spans="8:10" x14ac:dyDescent="0.3">
      <c r="H192" s="196"/>
      <c r="I192" s="214" t="str">
        <f>IFERROR(VLOOKUP(H192,$B$3:$F$62,5,FALSE),"")</f>
        <v/>
      </c>
      <c r="J192" s="200"/>
    </row>
    <row r="193" spans="8:10" x14ac:dyDescent="0.3">
      <c r="H193" s="196"/>
      <c r="I193" s="214" t="str">
        <f>IFERROR(VLOOKUP(H193,$B$3:$F$62,5,FALSE),"")</f>
        <v/>
      </c>
      <c r="J193" s="200"/>
    </row>
    <row r="194" spans="8:10" x14ac:dyDescent="0.3">
      <c r="H194" s="196"/>
      <c r="I194" s="214" t="str">
        <f>IFERROR(VLOOKUP(H194,$B$3:$F$62,5,FALSE),"")</f>
        <v/>
      </c>
      <c r="J194" s="200"/>
    </row>
    <row r="195" spans="8:10" x14ac:dyDescent="0.3">
      <c r="H195" s="200" t="s">
        <v>80</v>
      </c>
      <c r="I195" s="214" t="str">
        <f>IFERROR(VLOOKUP(H195,$B$3:$F$62,5,FALSE),"")</f>
        <v/>
      </c>
      <c r="J195" s="209">
        <f>SUM(I195:I205)</f>
        <v>0</v>
      </c>
    </row>
    <row r="196" spans="8:10" x14ac:dyDescent="0.3">
      <c r="H196" s="196"/>
      <c r="I196" s="214" t="str">
        <f>IFERROR(VLOOKUP(H196,$B$3:$F$62,5,FALSE),"")</f>
        <v/>
      </c>
      <c r="J196" s="196"/>
    </row>
    <row r="197" spans="8:10" x14ac:dyDescent="0.3">
      <c r="H197" s="196"/>
      <c r="I197" s="214" t="str">
        <f>IFERROR(VLOOKUP(H197,$B$3:$F$62,5,FALSE),"")</f>
        <v/>
      </c>
      <c r="J197" s="196"/>
    </row>
    <row r="198" spans="8:10" x14ac:dyDescent="0.3">
      <c r="H198" s="196"/>
      <c r="I198" s="214" t="str">
        <f>IFERROR(VLOOKUP(H198,$B$3:$F$62,5,FALSE),"")</f>
        <v/>
      </c>
      <c r="J198" s="196"/>
    </row>
    <row r="199" spans="8:10" x14ac:dyDescent="0.3">
      <c r="H199" s="196"/>
      <c r="I199" s="214" t="str">
        <f>IFERROR(VLOOKUP(H199,$B$3:$F$62,5,FALSE),"")</f>
        <v/>
      </c>
      <c r="J199" s="196"/>
    </row>
    <row r="200" spans="8:10" x14ac:dyDescent="0.3">
      <c r="H200" s="196"/>
      <c r="I200" s="214" t="str">
        <f>IFERROR(VLOOKUP(H200,$B$3:$F$62,5,FALSE),"")</f>
        <v/>
      </c>
      <c r="J200" s="196"/>
    </row>
    <row r="201" spans="8:10" x14ac:dyDescent="0.3">
      <c r="H201" s="196"/>
      <c r="I201" s="214" t="str">
        <f>IFERROR(VLOOKUP(H201,$B$3:$F$62,5,FALSE),"")</f>
        <v/>
      </c>
      <c r="J201" s="196"/>
    </row>
    <row r="202" spans="8:10" x14ac:dyDescent="0.3">
      <c r="H202" s="196"/>
      <c r="I202" s="214" t="str">
        <f>IFERROR(VLOOKUP(H202,$B$3:$F$62,5,FALSE),"")</f>
        <v/>
      </c>
      <c r="J202" s="196"/>
    </row>
    <row r="203" spans="8:10" x14ac:dyDescent="0.3">
      <c r="H203" s="196"/>
      <c r="I203" s="214" t="str">
        <f>IFERROR(VLOOKUP(H203,$B$3:$F$62,5,FALSE),"")</f>
        <v/>
      </c>
      <c r="J203" s="196"/>
    </row>
    <row r="204" spans="8:10" x14ac:dyDescent="0.3">
      <c r="H204" s="196"/>
      <c r="I204" s="214" t="str">
        <f>IFERROR(VLOOKUP(H204,$B$3:$F$62,5,FALSE),"")</f>
        <v/>
      </c>
      <c r="J204" s="196"/>
    </row>
    <row r="205" spans="8:10" x14ac:dyDescent="0.3">
      <c r="H205" s="196"/>
      <c r="I205" s="214" t="str">
        <f>IFERROR(VLOOKUP(H205,$B$3:$F$62,5,FALSE),"")</f>
        <v/>
      </c>
      <c r="J205" s="196"/>
    </row>
    <row r="206" spans="8:10" x14ac:dyDescent="0.3">
      <c r="I206" s="214" t="str">
        <f>IFERROR(VLOOKUP(H206,$B$3:$F$62,5,FALSE),"")</f>
        <v/>
      </c>
    </row>
    <row r="207" spans="8:10" x14ac:dyDescent="0.3">
      <c r="I207" s="214" t="str">
        <f>IFERROR(VLOOKUP(H207,$B$3:$F$62,5,FALSE),"")</f>
        <v/>
      </c>
    </row>
    <row r="208" spans="8:10" x14ac:dyDescent="0.3">
      <c r="I208" s="214" t="str">
        <f>IFERROR(VLOOKUP(H208,$B$3:$F$62,5,FALSE),"")</f>
        <v/>
      </c>
    </row>
    <row r="209" spans="9:9" x14ac:dyDescent="0.3">
      <c r="I209" s="214" t="str">
        <f>IFERROR(VLOOKUP(H209,$B$3:$F$62,5,FALSE),"")</f>
        <v/>
      </c>
    </row>
    <row r="210" spans="9:9" x14ac:dyDescent="0.3">
      <c r="I210" s="214" t="str">
        <f>IFERROR(VLOOKUP(H210,$B$3:$F$62,5,FALSE),"")</f>
        <v/>
      </c>
    </row>
    <row r="211" spans="9:9" x14ac:dyDescent="0.3">
      <c r="I211" s="214" t="str">
        <f>IFERROR(VLOOKUP(H211,$B$3:$F$62,5,FALSE),"")</f>
        <v/>
      </c>
    </row>
    <row r="212" spans="9:9" x14ac:dyDescent="0.3">
      <c r="I212" s="214" t="str">
        <f>IFERROR(VLOOKUP(H212,$B$3:$F$62,5,FALSE),"")</f>
        <v/>
      </c>
    </row>
    <row r="213" spans="9:9" x14ac:dyDescent="0.3">
      <c r="I213" s="214" t="str">
        <f>IFERROR(VLOOKUP(H213,$B$3:$F$62,5,FALSE),"")</f>
        <v/>
      </c>
    </row>
    <row r="214" spans="9:9" x14ac:dyDescent="0.3">
      <c r="I214" s="214" t="str">
        <f>IFERROR(VLOOKUP(H214,$B$3:$F$62,5,FALSE),"")</f>
        <v/>
      </c>
    </row>
    <row r="215" spans="9:9" x14ac:dyDescent="0.3">
      <c r="I215" s="214" t="str">
        <f>IFERROR(VLOOKUP(H215,$B$3:$F$62,5,FALSE),"")</f>
        <v/>
      </c>
    </row>
    <row r="216" spans="9:9" x14ac:dyDescent="0.3">
      <c r="I216" s="214" t="str">
        <f>IFERROR(VLOOKUP(H216,$B$3:$F$62,5,FALSE),"")</f>
        <v/>
      </c>
    </row>
    <row r="217" spans="9:9" x14ac:dyDescent="0.3">
      <c r="I217" s="214" t="str">
        <f>IFERROR(VLOOKUP(H217,$B$3:$F$62,5,FALSE),"")</f>
        <v/>
      </c>
    </row>
    <row r="218" spans="9:9" x14ac:dyDescent="0.3">
      <c r="I218" s="214" t="str">
        <f>IFERROR(VLOOKUP(H218,$B$3:$F$62,5,FALSE),"")</f>
        <v/>
      </c>
    </row>
    <row r="219" spans="9:9" x14ac:dyDescent="0.3">
      <c r="I219" s="214" t="str">
        <f>IFERROR(VLOOKUP(H219,$B$3:$F$62,5,FALSE),"")</f>
        <v/>
      </c>
    </row>
    <row r="220" spans="9:9" x14ac:dyDescent="0.3">
      <c r="I220" s="214" t="str">
        <f>IFERROR(VLOOKUP(H220,$B$3:$F$62,5,FALSE),"")</f>
        <v/>
      </c>
    </row>
    <row r="221" spans="9:9" x14ac:dyDescent="0.3">
      <c r="I221" s="214" t="str">
        <f>IFERROR(VLOOKUP(H221,$B$3:$F$62,5,FALSE),"")</f>
        <v/>
      </c>
    </row>
    <row r="222" spans="9:9" x14ac:dyDescent="0.3">
      <c r="I222" s="214" t="str">
        <f>IFERROR(VLOOKUP(H222,$B$3:$F$62,5,FALSE),"")</f>
        <v/>
      </c>
    </row>
    <row r="223" spans="9:9" x14ac:dyDescent="0.3">
      <c r="I223" s="214" t="str">
        <f>IFERROR(VLOOKUP(H223,$B$3:$F$62,5,FALSE),"")</f>
        <v/>
      </c>
    </row>
    <row r="224" spans="9:9" x14ac:dyDescent="0.3">
      <c r="I224" s="214" t="str">
        <f>IFERROR(VLOOKUP(H224,$B$3:$F$62,5,FALSE),"")</f>
        <v/>
      </c>
    </row>
    <row r="225" spans="9:9" x14ac:dyDescent="0.3">
      <c r="I225" s="214" t="str">
        <f>IFERROR(VLOOKUP(H225,$B$3:$F$62,5,FALSE),"")</f>
        <v/>
      </c>
    </row>
    <row r="226" spans="9:9" x14ac:dyDescent="0.3">
      <c r="I226" s="214" t="str">
        <f>IFERROR(VLOOKUP(H226,$B$3:$F$62,5,FALSE),"")</f>
        <v/>
      </c>
    </row>
    <row r="227" spans="9:9" x14ac:dyDescent="0.3">
      <c r="I227" s="214" t="str">
        <f>IFERROR(VLOOKUP(H227,$B$3:$F$62,5,FALSE),"")</f>
        <v/>
      </c>
    </row>
    <row r="228" spans="9:9" x14ac:dyDescent="0.3">
      <c r="I228" s="214" t="str">
        <f>IFERROR(VLOOKUP(H228,$B$3:$F$62,5,FALSE),"")</f>
        <v/>
      </c>
    </row>
    <row r="229" spans="9:9" x14ac:dyDescent="0.3">
      <c r="I229" s="214" t="str">
        <f>IFERROR(VLOOKUP(H229,$B$3:$F$62,5,FALSE),"")</f>
        <v/>
      </c>
    </row>
    <row r="230" spans="9:9" x14ac:dyDescent="0.3">
      <c r="I230" s="214" t="str">
        <f>IFERROR(VLOOKUP(H230,$B$3:$F$62,5,FALSE),"")</f>
        <v/>
      </c>
    </row>
    <row r="231" spans="9:9" x14ac:dyDescent="0.3">
      <c r="I231" s="214" t="str">
        <f>IFERROR(VLOOKUP(H231,$B$3:$F$62,5,FALSE),"")</f>
        <v/>
      </c>
    </row>
    <row r="232" spans="9:9" x14ac:dyDescent="0.3">
      <c r="I232" s="214" t="str">
        <f>IFERROR(VLOOKUP(H232,$B$3:$F$62,5,FALSE),"")</f>
        <v/>
      </c>
    </row>
    <row r="233" spans="9:9" x14ac:dyDescent="0.3">
      <c r="I233" s="214" t="str">
        <f>IFERROR(VLOOKUP(H233,$B$3:$F$62,5,FALSE),"")</f>
        <v/>
      </c>
    </row>
    <row r="234" spans="9:9" x14ac:dyDescent="0.3">
      <c r="I234" s="214" t="str">
        <f>IFERROR(VLOOKUP(H234,$B$3:$F$62,5,FALSE),"")</f>
        <v/>
      </c>
    </row>
    <row r="235" spans="9:9" x14ac:dyDescent="0.3">
      <c r="I235" s="214" t="str">
        <f>IFERROR(VLOOKUP(H235,$B$3:$F$62,5,FALSE),"")</f>
        <v/>
      </c>
    </row>
    <row r="236" spans="9:9" x14ac:dyDescent="0.3">
      <c r="I236" s="214" t="str">
        <f>IFERROR(VLOOKUP(H236,$B$3:$F$62,5,FALSE),"")</f>
        <v/>
      </c>
    </row>
    <row r="237" spans="9:9" x14ac:dyDescent="0.3">
      <c r="I237" s="214" t="str">
        <f>IFERROR(VLOOKUP(H237,$B$3:$F$62,5,FALSE),"")</f>
        <v/>
      </c>
    </row>
    <row r="238" spans="9:9" x14ac:dyDescent="0.3">
      <c r="I238" s="214" t="str">
        <f>IFERROR(VLOOKUP(H238,$B$3:$F$62,5,FALSE),"")</f>
        <v/>
      </c>
    </row>
    <row r="239" spans="9:9" x14ac:dyDescent="0.3">
      <c r="I239" s="214" t="str">
        <f>IFERROR(VLOOKUP(H239,$B$3:$F$62,5,FALSE),"")</f>
        <v/>
      </c>
    </row>
    <row r="240" spans="9:9" x14ac:dyDescent="0.3">
      <c r="I240" s="214" t="str">
        <f>IFERROR(VLOOKUP(H240,$B$3:$F$62,5,FALSE),"")</f>
        <v/>
      </c>
    </row>
    <row r="241" spans="9:9" x14ac:dyDescent="0.3">
      <c r="I241" s="214" t="str">
        <f>IFERROR(VLOOKUP(H241,$B$3:$F$62,5,FALSE),"")</f>
        <v/>
      </c>
    </row>
    <row r="242" spans="9:9" x14ac:dyDescent="0.3">
      <c r="I242" s="214" t="str">
        <f>IFERROR(VLOOKUP(H242,$B$3:$F$62,5,FALSE),"")</f>
        <v/>
      </c>
    </row>
    <row r="243" spans="9:9" x14ac:dyDescent="0.3">
      <c r="I243" s="214" t="str">
        <f>IFERROR(VLOOKUP(H243,$B$3:$F$62,5,FALSE),"")</f>
        <v/>
      </c>
    </row>
    <row r="244" spans="9:9" x14ac:dyDescent="0.3">
      <c r="I244" s="214" t="str">
        <f>IFERROR(VLOOKUP(H244,$B$3:$F$62,5,FALSE),"")</f>
        <v/>
      </c>
    </row>
    <row r="245" spans="9:9" x14ac:dyDescent="0.3">
      <c r="I245" s="214" t="str">
        <f>IFERROR(VLOOKUP(H245,$B$3:$F$62,5,FALSE),"")</f>
        <v/>
      </c>
    </row>
    <row r="246" spans="9:9" x14ac:dyDescent="0.3">
      <c r="I246" s="214" t="str">
        <f>IFERROR(VLOOKUP(H246,$B$3:$F$62,5,FALSE),"")</f>
        <v/>
      </c>
    </row>
    <row r="247" spans="9:9" x14ac:dyDescent="0.3">
      <c r="I247" s="214" t="str">
        <f>IFERROR(VLOOKUP(H247,$B$3:$F$62,5,FALSE),"")</f>
        <v/>
      </c>
    </row>
    <row r="248" spans="9:9" x14ac:dyDescent="0.3">
      <c r="I248" s="214" t="str">
        <f>IFERROR(VLOOKUP(H248,$B$3:$F$62,5,FALSE),"")</f>
        <v/>
      </c>
    </row>
    <row r="249" spans="9:9" x14ac:dyDescent="0.3">
      <c r="I249" s="214" t="str">
        <f>IFERROR(VLOOKUP(H249,$B$3:$F$62,5,FALSE),"")</f>
        <v/>
      </c>
    </row>
    <row r="250" spans="9:9" x14ac:dyDescent="0.3">
      <c r="I250" s="214" t="str">
        <f>IFERROR(VLOOKUP(H250,$B$3:$F$62,5,FALSE),"")</f>
        <v/>
      </c>
    </row>
    <row r="251" spans="9:9" x14ac:dyDescent="0.3">
      <c r="I251" s="214" t="str">
        <f>IFERROR(VLOOKUP(H251,$B$3:$F$62,5,FALSE),"")</f>
        <v/>
      </c>
    </row>
    <row r="252" spans="9:9" x14ac:dyDescent="0.3">
      <c r="I252" s="214" t="str">
        <f>IFERROR(VLOOKUP(H252,$B$3:$F$62,5,FALSE),"")</f>
        <v/>
      </c>
    </row>
    <row r="253" spans="9:9" x14ac:dyDescent="0.3">
      <c r="I253" s="214" t="str">
        <f>IFERROR(VLOOKUP(H253,$B$3:$F$62,5,FALSE),"")</f>
        <v/>
      </c>
    </row>
    <row r="254" spans="9:9" x14ac:dyDescent="0.3">
      <c r="I254" s="214" t="str">
        <f>IFERROR(VLOOKUP(H254,$B$3:$F$62,5,FALSE),"")</f>
        <v/>
      </c>
    </row>
    <row r="255" spans="9:9" x14ac:dyDescent="0.3">
      <c r="I255" s="214" t="str">
        <f>IFERROR(VLOOKUP(H255,$B$3:$F$62,5,FALSE),"")</f>
        <v/>
      </c>
    </row>
    <row r="256" spans="9:9" x14ac:dyDescent="0.3">
      <c r="I256" s="214" t="str">
        <f>IFERROR(VLOOKUP(H256,$B$3:$F$62,5,FALSE),"")</f>
        <v/>
      </c>
    </row>
    <row r="257" spans="9:9" x14ac:dyDescent="0.3">
      <c r="I257" s="214" t="str">
        <f>IFERROR(VLOOKUP(H257,$B$3:$F$62,5,FALSE),"")</f>
        <v/>
      </c>
    </row>
    <row r="258" spans="9:9" x14ac:dyDescent="0.3">
      <c r="I258" s="214" t="str">
        <f>IFERROR(VLOOKUP(H258,$B$3:$F$62,5,FALSE),"")</f>
        <v/>
      </c>
    </row>
    <row r="259" spans="9:9" x14ac:dyDescent="0.3">
      <c r="I259" s="214" t="str">
        <f>IFERROR(VLOOKUP(H259,$B$3:$F$62,5,FALSE),"")</f>
        <v/>
      </c>
    </row>
    <row r="260" spans="9:9" x14ac:dyDescent="0.3">
      <c r="I260" s="214" t="str">
        <f>IFERROR(VLOOKUP(H260,$B$3:$F$62,5,FALSE),"")</f>
        <v/>
      </c>
    </row>
    <row r="261" spans="9:9" x14ac:dyDescent="0.3">
      <c r="I261" s="214" t="str">
        <f>IFERROR(VLOOKUP(H261,$B$3:$F$62,5,FALSE),"")</f>
        <v/>
      </c>
    </row>
    <row r="262" spans="9:9" x14ac:dyDescent="0.3">
      <c r="I262" s="214" t="str">
        <f>IFERROR(VLOOKUP(H262,$B$3:$F$62,5,FALSE),"")</f>
        <v/>
      </c>
    </row>
    <row r="263" spans="9:9" x14ac:dyDescent="0.3">
      <c r="I263" s="214" t="str">
        <f>IFERROR(VLOOKUP(H263,$B$3:$F$62,5,FALSE),"")</f>
        <v/>
      </c>
    </row>
    <row r="264" spans="9:9" x14ac:dyDescent="0.3">
      <c r="I264" s="214" t="str">
        <f>IFERROR(VLOOKUP(H264,$B$3:$F$62,5,FALSE),"")</f>
        <v/>
      </c>
    </row>
    <row r="265" spans="9:9" x14ac:dyDescent="0.3">
      <c r="I265" s="214" t="str">
        <f>IFERROR(VLOOKUP(H265,$B$3:$F$62,5,FALSE),"")</f>
        <v/>
      </c>
    </row>
  </sheetData>
  <customSheetViews>
    <customSheetView guid="{5C7B38D6-29D9-4C20-A92E-817BB499D35F}" topLeftCell="A4">
      <selection activeCell="G3" sqref="G3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0C651-12DC-438D-9216-5F492ED2339B}">
  <sheetPr codeName="Sheet4"/>
  <dimension ref="B1:R265"/>
  <sheetViews>
    <sheetView zoomScale="70" zoomScaleNormal="70" workbookViewId="0">
      <selection activeCell="I1" sqref="I1:I1048576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</cols>
  <sheetData>
    <row r="1" spans="2:14" x14ac:dyDescent="0.3">
      <c r="B1" t="s">
        <v>58</v>
      </c>
      <c r="C1" t="s">
        <v>59</v>
      </c>
    </row>
    <row r="2" spans="2:14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3"/>
      <c r="L2" s="111" t="s">
        <v>69</v>
      </c>
      <c r="M2" s="112" t="s">
        <v>208</v>
      </c>
      <c r="N2" s="112" t="s">
        <v>208</v>
      </c>
    </row>
    <row r="3" spans="2:14" s="1" customFormat="1" x14ac:dyDescent="0.3">
      <c r="B3" s="40" t="s">
        <v>60</v>
      </c>
      <c r="C3" s="41" t="s">
        <v>4</v>
      </c>
      <c r="D3" s="42">
        <v>0.57220000000000004</v>
      </c>
      <c r="E3" s="24" t="str">
        <f>IF(IF(B3="MDZ140R","",IFERROR((SUMIF($B$3:$B$65,"MDZ140R",$F$3:$F$65)*INDEX($Q$20:$Q$77,MATCH(B3,$N$20:$N$77,0))),""))=0,"",IF(B3="MDZ140R","",IFERROR((SUMIF($B$3:$B$65,"MDZ140R",$F$3:$F$65)*INDEX($Q$20:$Q$77,MATCH(B3,$N$20:$N$77,0))),"")))</f>
        <v/>
      </c>
      <c r="F3" s="42">
        <f>IF(D3="","",D3+ IF(E3="",0,E3))</f>
        <v>0.57220000000000004</v>
      </c>
      <c r="H3" s="202" t="s">
        <v>71</v>
      </c>
      <c r="I3" s="214" t="str">
        <f>IFERROR(VLOOKUP(H3,$B$3:$F$62,5,FALSE),"")</f>
        <v/>
      </c>
      <c r="J3" s="203">
        <f>SUM(I3:I21)</f>
        <v>3.2555350000000001</v>
      </c>
      <c r="L3" s="80" t="s">
        <v>70</v>
      </c>
      <c r="M3" s="114">
        <f>VLOOKUP(L3,$H$3:$J$208,3,FALSE)</f>
        <v>0.4073</v>
      </c>
      <c r="N3" s="115">
        <f>(M3/$M$14)</f>
        <v>1.7561975843012841E-2</v>
      </c>
    </row>
    <row r="4" spans="2:14" s="1" customFormat="1" x14ac:dyDescent="0.3">
      <c r="B4" s="40" t="s">
        <v>61</v>
      </c>
      <c r="C4" s="41" t="s">
        <v>5</v>
      </c>
      <c r="D4" s="42">
        <v>0.86109999999999998</v>
      </c>
      <c r="E4" s="24" t="str">
        <f>IF(IF(B4="MDZ140R","",IFERROR((SUMIF($B$3:$B$65,"MDZ140R",$F$3:$F$65)*INDEX($Q$20:$Q$77,MATCH(B4,$N$20:$N$77,0))),""))=0,"",IF(B4="MDZ140R","",IFERROR((SUMIF($B$3:$B$65,"MDZ140R",$F$3:$F$65)*INDEX($Q$20:$Q$77,MATCH(B4,$N$20:$N$77,0))),"")))</f>
        <v/>
      </c>
      <c r="F4" s="42">
        <f t="shared" ref="F4:F77" si="0">IF(D4="","",D4+ IF(E4="",0,E4))</f>
        <v>0.86109999999999998</v>
      </c>
      <c r="H4" s="192" t="s">
        <v>46</v>
      </c>
      <c r="I4" s="214">
        <f>IFERROR(VLOOKUP(H4,$B$3:$F$62,5,FALSE),"")</f>
        <v>0.6925</v>
      </c>
      <c r="J4" s="204"/>
      <c r="L4" s="56" t="s">
        <v>71</v>
      </c>
      <c r="M4" s="114">
        <f>VLOOKUP(L4,$H$3:$J$208,3,FALSE)</f>
        <v>3.2555350000000001</v>
      </c>
      <c r="N4" s="115">
        <f t="shared" ref="N4:N13" si="1">(M4/$M$14)</f>
        <v>0.14037227357250873</v>
      </c>
    </row>
    <row r="5" spans="2:14" s="1" customFormat="1" x14ac:dyDescent="0.3">
      <c r="B5" s="40" t="s">
        <v>62</v>
      </c>
      <c r="C5" s="41" t="s">
        <v>6</v>
      </c>
      <c r="D5" s="42">
        <v>0.29099999999999998</v>
      </c>
      <c r="E5" s="24" t="str">
        <f>IF(IF(B5="MDZ140R","",IFERROR((SUMIF($B$3:$B$65,"MDZ140R",$F$3:$F$65)*INDEX($Q$20:$Q$77,MATCH(B5,$N$20:$N$77,0))),""))=0,"",IF(B5="MDZ140R","",IFERROR((SUMIF($B$3:$B$65,"MDZ140R",$F$3:$F$65)*INDEX($Q$20:$Q$77,MATCH(B5,$N$20:$N$77,0))),"")))</f>
        <v/>
      </c>
      <c r="F5" s="42">
        <f t="shared" si="0"/>
        <v>0.29099999999999998</v>
      </c>
      <c r="H5" s="192" t="s">
        <v>86</v>
      </c>
      <c r="I5" s="214" t="str">
        <f>IFERROR(VLOOKUP(H5,$B$3:$F$62,5,FALSE),"")</f>
        <v/>
      </c>
      <c r="J5" s="204"/>
      <c r="L5" s="80" t="s">
        <v>72</v>
      </c>
      <c r="M5" s="114">
        <f>VLOOKUP(L5,$H$3:$J$208,3,FALSE)</f>
        <v>0.41917500000000002</v>
      </c>
      <c r="N5" s="115">
        <f t="shared" si="1"/>
        <v>1.8074002514104855E-2</v>
      </c>
    </row>
    <row r="6" spans="2:14" s="1" customFormat="1" x14ac:dyDescent="0.3">
      <c r="B6" s="40" t="s">
        <v>7</v>
      </c>
      <c r="C6" s="41" t="s">
        <v>8</v>
      </c>
      <c r="D6" s="42">
        <v>7.2099999999999997E-2</v>
      </c>
      <c r="E6" s="24" t="str">
        <f>IF(IF(B6="MDZ140R","",IFERROR((SUMIF($B$3:$B$65,"MDZ140R",$F$3:$F$65)*INDEX($Q$20:$Q$77,MATCH(B6,$N$20:$N$77,0))),""))=0,"",IF(B6="MDZ140R","",IFERROR((SUMIF($B$3:$B$65,"MDZ140R",$F$3:$F$65)*INDEX($Q$20:$Q$77,MATCH(B6,$N$20:$N$77,0))),"")))</f>
        <v/>
      </c>
      <c r="F6" s="42">
        <f t="shared" si="0"/>
        <v>7.2099999999999997E-2</v>
      </c>
      <c r="H6" s="192" t="s">
        <v>36</v>
      </c>
      <c r="I6" s="211">
        <v>0.36880000000000002</v>
      </c>
      <c r="J6" s="204"/>
      <c r="L6" s="56" t="s">
        <v>73</v>
      </c>
      <c r="M6" s="114">
        <f>VLOOKUP(L6,$H$3:$J$208,3,FALSE)</f>
        <v>2.2454943749999998</v>
      </c>
      <c r="N6" s="115">
        <f t="shared" si="1"/>
        <v>9.6821306087334177E-2</v>
      </c>
    </row>
    <row r="7" spans="2:14" s="1" customFormat="1" x14ac:dyDescent="0.3">
      <c r="B7" s="40" t="s">
        <v>9</v>
      </c>
      <c r="C7" s="41" t="s">
        <v>10</v>
      </c>
      <c r="D7" s="42">
        <v>0.20330000000000001</v>
      </c>
      <c r="E7" s="24" t="str">
        <f>IF(IF(B7="MDZ140R","",IFERROR((SUMIF($B$3:$B$65,"MDZ140R",$F$3:$F$65)*INDEX($Q$20:$Q$77,MATCH(B7,$N$20:$N$77,0))),""))=0,"",IF(B7="MDZ140R","",IFERROR((SUMIF($B$3:$B$65,"MDZ140R",$F$3:$F$65)*INDEX($Q$20:$Q$77,MATCH(B7,$N$20:$N$77,0))),"")))</f>
        <v/>
      </c>
      <c r="F7" s="42">
        <f t="shared" si="0"/>
        <v>0.20330000000000001</v>
      </c>
      <c r="H7" s="192" t="s">
        <v>87</v>
      </c>
      <c r="I7" s="212">
        <v>0.13972499999999999</v>
      </c>
      <c r="J7" s="204"/>
      <c r="L7" s="80" t="s">
        <v>74</v>
      </c>
      <c r="M7" s="114">
        <f>VLOOKUP(L7,$H$3:$J$208,3,FALSE)</f>
        <v>5.646875E-3</v>
      </c>
      <c r="N7" s="115">
        <f t="shared" si="1"/>
        <v>2.4348215649033422E-4</v>
      </c>
    </row>
    <row r="8" spans="2:14" s="1" customFormat="1" x14ac:dyDescent="0.3">
      <c r="B8" s="40" t="s">
        <v>11</v>
      </c>
      <c r="C8" s="41" t="s">
        <v>190</v>
      </c>
      <c r="D8" s="42">
        <v>0.1191</v>
      </c>
      <c r="E8" s="24" t="str">
        <f>IF(IF(B8="MDZ140R","",IFERROR((SUMIF($B$3:$B$65,"MDZ140R",$F$3:$F$65)*INDEX($Q$20:$Q$77,MATCH(B8,$N$20:$N$77,0))),""))=0,"",IF(B8="MDZ140R","",IFERROR((SUMIF($B$3:$B$65,"MDZ140R",$F$3:$F$65)*INDEX($Q$20:$Q$77,MATCH(B8,$N$20:$N$77,0))),"")))</f>
        <v/>
      </c>
      <c r="F8" s="42">
        <f t="shared" si="0"/>
        <v>0.1191</v>
      </c>
      <c r="H8" s="192" t="s">
        <v>88</v>
      </c>
      <c r="I8" s="214" t="str">
        <f>IFERROR(VLOOKUP(H8,$B$3:$F$62,5,FALSE),"")</f>
        <v/>
      </c>
      <c r="J8" s="204"/>
      <c r="L8" s="56" t="s">
        <v>75</v>
      </c>
      <c r="M8" s="114">
        <f>VLOOKUP(L8,$H$3:$J$208,3,FALSE)</f>
        <v>0.69840000000000002</v>
      </c>
      <c r="N8" s="115">
        <f t="shared" si="1"/>
        <v>3.0113635965529507E-2</v>
      </c>
    </row>
    <row r="9" spans="2:14" s="1" customFormat="1" x14ac:dyDescent="0.3">
      <c r="B9" s="40" t="s">
        <v>13</v>
      </c>
      <c r="C9" s="41" t="s">
        <v>68</v>
      </c>
      <c r="D9" s="42">
        <v>0.81459999999999999</v>
      </c>
      <c r="E9" s="24" t="str">
        <f>IF(IF(B9="MDZ140R","",IFERROR((SUMIF($B$3:$B$65,"MDZ140R",$F$3:$F$65)*INDEX($Q$20:$Q$77,MATCH(B9,$N$20:$N$77,0))),""))=0,"",IF(B9="MDZ140R","",IFERROR((SUMIF($B$3:$B$65,"MDZ140R",$F$3:$F$65)*INDEX($Q$20:$Q$77,MATCH(B9,$N$20:$N$77,0))),"")))</f>
        <v/>
      </c>
      <c r="F9" s="42">
        <f t="shared" si="0"/>
        <v>0.81459999999999999</v>
      </c>
      <c r="H9" s="192" t="s">
        <v>89</v>
      </c>
      <c r="I9" s="214" t="str">
        <f>IFERROR(VLOOKUP(H9,$B$3:$F$62,5,FALSE),"")</f>
        <v/>
      </c>
      <c r="J9" s="204"/>
      <c r="L9" s="80" t="s">
        <v>76</v>
      </c>
      <c r="M9" s="114">
        <f>VLOOKUP(L9,$H$3:$J$208,3,FALSE)</f>
        <v>0</v>
      </c>
      <c r="N9" s="115">
        <f t="shared" si="1"/>
        <v>0</v>
      </c>
    </row>
    <row r="10" spans="2:14" s="1" customFormat="1" x14ac:dyDescent="0.3">
      <c r="B10" s="40" t="s">
        <v>14</v>
      </c>
      <c r="C10" s="41" t="s">
        <v>15</v>
      </c>
      <c r="D10" s="42">
        <v>0.93120000000000003</v>
      </c>
      <c r="E10" s="24" t="str">
        <f>IF(IF(B10="MDZ140R","",IFERROR((SUMIF($B$3:$B$65,"MDZ140R",$F$3:$F$65)*INDEX($Q$20:$Q$77,MATCH(B10,$N$20:$N$77,0))),""))=0,"",IF(B10="MDZ140R","",IFERROR((SUMIF($B$3:$B$65,"MDZ140R",$F$3:$F$65)*INDEX($Q$20:$Q$77,MATCH(B10,$N$20:$N$77,0))),"")))</f>
        <v/>
      </c>
      <c r="F10" s="42">
        <f t="shared" si="0"/>
        <v>0.93120000000000003</v>
      </c>
      <c r="H10" s="192" t="s">
        <v>13</v>
      </c>
      <c r="I10" s="211">
        <v>0.4073</v>
      </c>
      <c r="J10" s="204"/>
      <c r="L10" s="56" t="s">
        <v>77</v>
      </c>
      <c r="M10" s="114">
        <f>VLOOKUP(L10,$H$3:$J$208,3,FALSE)</f>
        <v>13.870999999999997</v>
      </c>
      <c r="N10" s="115">
        <f t="shared" si="1"/>
        <v>0.59809026987093306</v>
      </c>
    </row>
    <row r="11" spans="2:14" s="1" customFormat="1" x14ac:dyDescent="0.3">
      <c r="B11" s="40" t="s">
        <v>16</v>
      </c>
      <c r="C11" s="41" t="s">
        <v>17</v>
      </c>
      <c r="D11" s="42">
        <v>0.68889999999999996</v>
      </c>
      <c r="E11" s="24" t="str">
        <f>IF(IF(B11="MDZ140R","",IFERROR((SUMIF($B$3:$B$65,"MDZ140R",$F$3:$F$65)*INDEX($Q$20:$Q$77,MATCH(B11,$N$20:$N$77,0))),""))=0,"",IF(B11="MDZ140R","",IFERROR((SUMIF($B$3:$B$65,"MDZ140R",$F$3:$F$65)*INDEX($Q$20:$Q$77,MATCH(B11,$N$20:$N$77,0))),"")))</f>
        <v/>
      </c>
      <c r="F11" s="42">
        <f t="shared" si="0"/>
        <v>0.68889999999999996</v>
      </c>
      <c r="H11" s="192" t="s">
        <v>31</v>
      </c>
      <c r="I11" s="214">
        <f>IFERROR(VLOOKUP(H11,$B$3:$F$62,5,FALSE),"")</f>
        <v>0.14799999999999999</v>
      </c>
      <c r="J11" s="204"/>
      <c r="L11" s="80" t="s">
        <v>78</v>
      </c>
      <c r="M11" s="114">
        <f>VLOOKUP(L11,$H$3:$J$208,3,FALSE)</f>
        <v>0.28610000000000002</v>
      </c>
      <c r="N11" s="115">
        <f t="shared" si="1"/>
        <v>1.2336069945214766E-2</v>
      </c>
    </row>
    <row r="12" spans="2:14" s="1" customFormat="1" x14ac:dyDescent="0.3">
      <c r="B12" s="40" t="s">
        <v>18</v>
      </c>
      <c r="C12" s="41" t="s">
        <v>19</v>
      </c>
      <c r="D12" s="42">
        <v>0.43140000000000001</v>
      </c>
      <c r="E12" s="24" t="str">
        <f>IF(IF(B12="MDZ140R","",IFERROR((SUMIF($B$3:$B$65,"MDZ140R",$F$3:$F$65)*INDEX($Q$20:$Q$77,MATCH(B12,$N$20:$N$77,0))),""))=0,"",IF(B12="MDZ140R","",IFERROR((SUMIF($B$3:$B$65,"MDZ140R",$F$3:$F$65)*INDEX($Q$20:$Q$77,MATCH(B12,$N$20:$N$77,0))),"")))</f>
        <v/>
      </c>
      <c r="F12" s="42">
        <f t="shared" si="0"/>
        <v>0.43140000000000001</v>
      </c>
      <c r="H12" s="192" t="s">
        <v>90</v>
      </c>
      <c r="I12" s="214" t="str">
        <f>IFERROR(VLOOKUP(H12,$B$3:$F$62,5,FALSE),"")</f>
        <v/>
      </c>
      <c r="J12" s="204"/>
      <c r="L12" s="56" t="s">
        <v>79</v>
      </c>
      <c r="M12" s="114">
        <f>VLOOKUP(L12,$H$3:$J$208,3,FALSE)</f>
        <v>2.0034999999999998</v>
      </c>
      <c r="N12" s="115">
        <f t="shared" si="1"/>
        <v>8.6386984044871648E-2</v>
      </c>
    </row>
    <row r="13" spans="2:14" s="1" customFormat="1" x14ac:dyDescent="0.3">
      <c r="B13" s="40" t="s">
        <v>20</v>
      </c>
      <c r="C13" s="41" t="s">
        <v>21</v>
      </c>
      <c r="D13" s="42">
        <v>0.76990000000000003</v>
      </c>
      <c r="E13" s="24" t="str">
        <f>IF(IF(B13="MDZ140R","",IFERROR((SUMIF($B$3:$B$65,"MDZ140R",$F$3:$F$65)*INDEX($Q$20:$Q$77,MATCH(B13,$N$20:$N$77,0))),""))=0,"",IF(B13="MDZ140R","",IFERROR((SUMIF($B$3:$B$65,"MDZ140R",$F$3:$F$65)*INDEX($Q$20:$Q$77,MATCH(B13,$N$20:$N$77,0))),"")))</f>
        <v/>
      </c>
      <c r="F13" s="42">
        <f t="shared" si="0"/>
        <v>0.76990000000000003</v>
      </c>
      <c r="H13" s="192" t="s">
        <v>91</v>
      </c>
      <c r="I13" s="214" t="str">
        <f>IFERROR(VLOOKUP(H13,$B$3:$F$62,5,FALSE),"")</f>
        <v/>
      </c>
      <c r="J13" s="204"/>
      <c r="L13" s="80" t="s">
        <v>80</v>
      </c>
      <c r="M13" s="114">
        <f>VLOOKUP(L13,$H$3:$J$208,3,FALSE)</f>
        <v>0</v>
      </c>
      <c r="N13" s="115">
        <f t="shared" si="1"/>
        <v>0</v>
      </c>
    </row>
    <row r="14" spans="2:14" s="1" customFormat="1" x14ac:dyDescent="0.3">
      <c r="B14" s="40" t="s">
        <v>63</v>
      </c>
      <c r="C14" s="41" t="s">
        <v>23</v>
      </c>
      <c r="D14" s="42">
        <v>9.3600000000000003E-2</v>
      </c>
      <c r="E14" s="24" t="str">
        <f>IF(IF(B14="MDZ140R","",IFERROR((SUMIF($B$3:$B$65,"MDZ140R",$F$3:$F$65)*INDEX($Q$20:$Q$77,MATCH(B14,$N$20:$N$77,0))),""))=0,"",IF(B14="MDZ140R","",IFERROR((SUMIF($B$3:$B$65,"MDZ140R",$F$3:$F$65)*INDEX($Q$20:$Q$77,MATCH(B14,$N$20:$N$77,0))),"")))</f>
        <v/>
      </c>
      <c r="F14" s="42">
        <f t="shared" si="0"/>
        <v>9.3600000000000003E-2</v>
      </c>
      <c r="H14" s="192" t="s">
        <v>92</v>
      </c>
      <c r="I14" s="214" t="str">
        <f>IFERROR(VLOOKUP(H14,$B$3:$F$62,5,FALSE),"")</f>
        <v/>
      </c>
      <c r="J14" s="204"/>
      <c r="L14" s="119" t="s">
        <v>81</v>
      </c>
      <c r="M14" s="120">
        <f>SUM(M3:M13)</f>
        <v>23.192151249999998</v>
      </c>
      <c r="N14" s="121">
        <f>SUM(N3:N13)</f>
        <v>0.99999999999999989</v>
      </c>
    </row>
    <row r="15" spans="2:14" s="1" customFormat="1" x14ac:dyDescent="0.3">
      <c r="B15" s="40" t="s">
        <v>64</v>
      </c>
      <c r="C15" s="41" t="s">
        <v>25</v>
      </c>
      <c r="D15" s="42">
        <v>0.77470000000000006</v>
      </c>
      <c r="E15" s="24" t="str">
        <f>IF(IF(B15="MDZ140R","",IFERROR((SUMIF($B$3:$B$65,"MDZ140R",$F$3:$F$65)*INDEX($Q$20:$Q$77,MATCH(B15,$N$20:$N$77,0))),""))=0,"",IF(B15="MDZ140R","",IFERROR((SUMIF($B$3:$B$65,"MDZ140R",$F$3:$F$65)*INDEX($Q$20:$Q$77,MATCH(B15,$N$20:$N$77,0))),"")))</f>
        <v/>
      </c>
      <c r="F15" s="42">
        <f t="shared" si="0"/>
        <v>0.77470000000000006</v>
      </c>
      <c r="H15" s="192" t="s">
        <v>93</v>
      </c>
      <c r="I15" s="214">
        <v>0.50300999999999996</v>
      </c>
      <c r="J15" s="204"/>
      <c r="L15" s="122" t="s">
        <v>82</v>
      </c>
      <c r="M15" s="120">
        <f>SUM(M3,M5,M7,M9,M11,M13)</f>
        <v>1.1182218750000001</v>
      </c>
      <c r="N15" s="123">
        <f>SUM(N13,N11,N9,N7,N5,N3)</f>
        <v>4.8215530458822792E-2</v>
      </c>
    </row>
    <row r="16" spans="2:14" s="1" customFormat="1" x14ac:dyDescent="0.3">
      <c r="B16" s="40" t="s">
        <v>24</v>
      </c>
      <c r="C16" s="41" t="s">
        <v>197</v>
      </c>
      <c r="D16" s="42">
        <v>0.41470000000000001</v>
      </c>
      <c r="E16" s="24" t="str">
        <f>IF(IF(B16="MDZ140R","",IFERROR((SUMIF($B$3:$B$65,"MDZ140R",$F$3:$F$65)*INDEX($Q$20:$Q$77,MATCH(B16,$N$20:$N$77,0))),""))=0,"",IF(B16="MDZ140R","",IFERROR((SUMIF($B$3:$B$65,"MDZ140R",$F$3:$F$65)*INDEX($Q$20:$Q$77,MATCH(B16,$N$20:$N$77,0))),"")))</f>
        <v/>
      </c>
      <c r="F16" s="42">
        <f t="shared" si="0"/>
        <v>0.41470000000000001</v>
      </c>
      <c r="H16" s="192" t="s">
        <v>94</v>
      </c>
      <c r="I16" s="211">
        <v>0.70540000000000003</v>
      </c>
      <c r="J16" s="204"/>
    </row>
    <row r="17" spans="2:18" s="1" customFormat="1" x14ac:dyDescent="0.3">
      <c r="B17" s="40" t="s">
        <v>27</v>
      </c>
      <c r="C17" s="41" t="s">
        <v>28</v>
      </c>
      <c r="D17" s="42">
        <v>0.3967</v>
      </c>
      <c r="E17" s="24" t="str">
        <f>IF(IF(B17="MDZ140R","",IFERROR((SUMIF($B$3:$B$65,"MDZ140R",$F$3:$F$65)*INDEX($Q$20:$Q$77,MATCH(B17,$N$20:$N$77,0))),""))=0,"",IF(B17="MDZ140R","",IFERROR((SUMIF($B$3:$B$65,"MDZ140R",$F$3:$F$65)*INDEX($Q$20:$Q$77,MATCH(B17,$N$20:$N$77,0))),"")))</f>
        <v/>
      </c>
      <c r="F17" s="42">
        <f t="shared" si="0"/>
        <v>0.3967</v>
      </c>
      <c r="H17" s="192" t="s">
        <v>95</v>
      </c>
      <c r="I17" s="214">
        <f>IFERROR(VLOOKUP(H17,$B$3:$F$62,5,FALSE),"")</f>
        <v>0.2908</v>
      </c>
      <c r="J17" s="204"/>
    </row>
    <row r="18" spans="2:18" s="1" customFormat="1" x14ac:dyDescent="0.3">
      <c r="B18" s="40" t="s">
        <v>29</v>
      </c>
      <c r="C18" s="41" t="s">
        <v>30</v>
      </c>
      <c r="D18" s="42">
        <v>0.82340000000000002</v>
      </c>
      <c r="E18" s="24" t="str">
        <f>IF(IF(B18="MDZ140R","",IFERROR((SUMIF($B$3:$B$65,"MDZ140R",$F$3:$F$65)*INDEX($Q$20:$Q$77,MATCH(B18,$N$20:$N$77,0))),""))=0,"",IF(B18="MDZ140R","",IFERROR((SUMIF($B$3:$B$65,"MDZ140R",$F$3:$F$65)*INDEX($Q$20:$Q$77,MATCH(B18,$N$20:$N$77,0))),"")))</f>
        <v/>
      </c>
      <c r="F18" s="42">
        <f t="shared" si="0"/>
        <v>0.82340000000000002</v>
      </c>
      <c r="H18" s="192" t="s">
        <v>96</v>
      </c>
      <c r="I18" s="214" t="str">
        <f>IFERROR(VLOOKUP(H18,$B$3:$F$62,5,FALSE),"")</f>
        <v/>
      </c>
      <c r="J18" s="198"/>
    </row>
    <row r="19" spans="2:18" s="1" customFormat="1" x14ac:dyDescent="0.3">
      <c r="B19" s="40" t="s">
        <v>31</v>
      </c>
      <c r="C19" s="41" t="s">
        <v>67</v>
      </c>
      <c r="D19" s="42">
        <v>0.14799999999999999</v>
      </c>
      <c r="E19" s="24" t="str">
        <f>IF(IF(B19="MDZ140R","",IFERROR((SUMIF($B$3:$B$65,"MDZ140R",$F$3:$F$65)*INDEX($Q$20:$Q$77,MATCH(B19,$N$20:$N$77,0))),""))=0,"",IF(B19="MDZ140R","",IFERROR((SUMIF($B$3:$B$65,"MDZ140R",$F$3:$F$65)*INDEX($Q$20:$Q$77,MATCH(B19,$N$20:$N$77,0))),"")))</f>
        <v/>
      </c>
      <c r="F19" s="42">
        <f t="shared" si="0"/>
        <v>0.14799999999999999</v>
      </c>
      <c r="H19" s="192" t="s">
        <v>97</v>
      </c>
      <c r="I19" s="214" t="str">
        <f>IFERROR(VLOOKUP(H19,$B$3:$F$62,5,FALSE),"")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</row>
    <row r="20" spans="2:18" s="1" customFormat="1" x14ac:dyDescent="0.3">
      <c r="B20" s="40" t="s">
        <v>32</v>
      </c>
      <c r="C20" s="41" t="s">
        <v>33</v>
      </c>
      <c r="D20" s="42">
        <v>0.42849999999999999</v>
      </c>
      <c r="E20" s="24" t="str">
        <f>IF(IF(B20="MDZ140R","",IFERROR((SUMIF($B$3:$B$65,"MDZ140R",$F$3:$F$65)*INDEX($Q$20:$Q$77,MATCH(B20,$N$20:$N$77,0))),""))=0,"",IF(B20="MDZ140R","",IFERROR((SUMIF($B$3:$B$65,"MDZ140R",$F$3:$F$65)*INDEX($Q$20:$Q$77,MATCH(B20,$N$20:$N$77,0))),"")))</f>
        <v/>
      </c>
      <c r="F20" s="42">
        <f t="shared" si="0"/>
        <v>0.42849999999999999</v>
      </c>
      <c r="H20" s="192" t="s">
        <v>98</v>
      </c>
      <c r="I20" s="214" t="str">
        <f>IFERROR(VLOOKUP(H20,$B$3:$F$62,5,FALSE),"")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</row>
    <row r="21" spans="2:18" s="1" customFormat="1" x14ac:dyDescent="0.3">
      <c r="B21" s="40" t="s">
        <v>34</v>
      </c>
      <c r="C21" s="41" t="s">
        <v>35</v>
      </c>
      <c r="D21" s="42">
        <v>0.52310000000000001</v>
      </c>
      <c r="E21" s="24" t="str">
        <f>IF(IF(B21="MDZ140R","",IFERROR((SUMIF($B$3:$B$65,"MDZ140R",$F$3:$F$65)*INDEX($Q$20:$Q$77,MATCH(B21,$N$20:$N$77,0))),""))=0,"",IF(B21="MDZ140R","",IFERROR((SUMIF($B$3:$B$65,"MDZ140R",$F$3:$F$65)*INDEX($Q$20:$Q$77,MATCH(B21,$N$20:$N$77,0))),"")))</f>
        <v/>
      </c>
      <c r="F21" s="42">
        <f t="shared" si="0"/>
        <v>0.52310000000000001</v>
      </c>
      <c r="H21" s="192" t="s">
        <v>99</v>
      </c>
      <c r="I21" s="214" t="str">
        <f>IFERROR(VLOOKUP(H21,$B$3:$F$62,5,FALSE),"")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</row>
    <row r="22" spans="2:18" s="1" customFormat="1" x14ac:dyDescent="0.3">
      <c r="B22" s="40" t="s">
        <v>36</v>
      </c>
      <c r="C22" s="41" t="s">
        <v>37</v>
      </c>
      <c r="D22" s="42">
        <v>0.84150000000000003</v>
      </c>
      <c r="E22" s="24" t="str">
        <f>IF(IF(B22="MDZ140R","",IFERROR((SUMIF($B$3:$B$65,"MDZ140R",$F$3:$F$65)*INDEX($Q$20:$Q$77,MATCH(B22,$N$20:$N$77,0))),""))=0,"",IF(B22="MDZ140R","",IFERROR((SUMIF($B$3:$B$65,"MDZ140R",$F$3:$F$65)*INDEX($Q$20:$Q$77,MATCH(B22,$N$20:$N$77,0))),"")))</f>
        <v/>
      </c>
      <c r="F22" s="42">
        <f t="shared" si="0"/>
        <v>0.84150000000000003</v>
      </c>
      <c r="H22" s="197" t="s">
        <v>70</v>
      </c>
      <c r="I22" s="214" t="str">
        <f>IFERROR(VLOOKUP(H22,$B$3:$F$62,5,FALSE),"")</f>
        <v/>
      </c>
      <c r="J22" s="198">
        <f>SUM(I22:I33)</f>
        <v>0.4073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</row>
    <row r="23" spans="2:18" s="144" customFormat="1" x14ac:dyDescent="0.3">
      <c r="B23" s="179"/>
      <c r="C23" s="180"/>
      <c r="D23" s="181"/>
      <c r="E23" s="182"/>
      <c r="F23" s="181"/>
      <c r="H23" s="199" t="s">
        <v>336</v>
      </c>
      <c r="I23" s="217">
        <v>0.4073</v>
      </c>
      <c r="J23" s="186"/>
      <c r="L23" s="183"/>
      <c r="M23" s="183"/>
      <c r="N23" s="183"/>
      <c r="O23" s="183"/>
      <c r="P23" s="185"/>
      <c r="Q23" s="186"/>
      <c r="R23" s="183"/>
    </row>
    <row r="24" spans="2:18" s="1" customFormat="1" x14ac:dyDescent="0.3">
      <c r="B24" s="40" t="s">
        <v>38</v>
      </c>
      <c r="C24" s="41" t="s">
        <v>39</v>
      </c>
      <c r="D24" s="42">
        <v>0.85419999999999996</v>
      </c>
      <c r="E24" s="24" t="str">
        <f>IF(IF(B24="MDZ140R","",IFERROR((SUMIF($B$3:$B$65,"MDZ140R",$F$3:$F$65)*INDEX($Q$20:$Q$77,MATCH(B24,$N$20:$N$77,0))),""))=0,"",IF(B24="MDZ140R","",IFERROR((SUMIF($B$3:$B$65,"MDZ140R",$F$3:$F$65)*INDEX($Q$20:$Q$77,MATCH(B24,$N$20:$N$77,0))),"")))</f>
        <v/>
      </c>
      <c r="F24" s="42">
        <f t="shared" si="0"/>
        <v>0.85419999999999996</v>
      </c>
      <c r="H24" s="192"/>
      <c r="I24" s="214" t="str">
        <f>IFERROR(VLOOKUP(H24,$B$3:$F$62,5,FALSE),"")</f>
        <v/>
      </c>
      <c r="J24" s="204"/>
      <c r="L24" s="56"/>
      <c r="M24" s="56"/>
      <c r="N24" s="56" t="s">
        <v>14</v>
      </c>
      <c r="O24" s="56" t="s">
        <v>15</v>
      </c>
      <c r="P24" s="125">
        <v>5</v>
      </c>
      <c r="Q24" s="126">
        <v>2.7321999999999999E-2</v>
      </c>
      <c r="R24" s="56"/>
    </row>
    <row r="25" spans="2:18" s="1" customFormat="1" x14ac:dyDescent="0.3">
      <c r="B25" s="40" t="s">
        <v>65</v>
      </c>
      <c r="C25" s="41" t="s">
        <v>40</v>
      </c>
      <c r="D25" s="42">
        <v>0.7137</v>
      </c>
      <c r="E25" s="24" t="str">
        <f>IF(IF(B25="MDZ140R","",IFERROR((SUMIF($B$3:$B$65,"MDZ140R",$F$3:$F$65)*INDEX($Q$20:$Q$77,MATCH(B25,$N$20:$N$77,0))),""))=0,"",IF(B25="MDZ140R","",IFERROR((SUMIF($B$3:$B$65,"MDZ140R",$F$3:$F$65)*INDEX($Q$20:$Q$77,MATCH(B25,$N$20:$N$77,0))),"")))</f>
        <v/>
      </c>
      <c r="F25" s="42">
        <f t="shared" si="0"/>
        <v>0.7137</v>
      </c>
      <c r="H25" s="192"/>
      <c r="I25" s="214" t="str">
        <f>IFERROR(VLOOKUP(H25,$B$3:$F$62,5,FALSE),"")</f>
        <v/>
      </c>
      <c r="J25" s="204"/>
      <c r="L25" s="56"/>
      <c r="M25" s="56"/>
      <c r="N25" s="56" t="s">
        <v>60</v>
      </c>
      <c r="O25" s="56" t="s">
        <v>4</v>
      </c>
      <c r="P25" s="125">
        <v>2</v>
      </c>
      <c r="Q25" s="126">
        <v>1.0928999999999999E-2</v>
      </c>
      <c r="R25" s="56"/>
    </row>
    <row r="26" spans="2:18" s="1" customFormat="1" x14ac:dyDescent="0.3">
      <c r="B26" s="40" t="s">
        <v>41</v>
      </c>
      <c r="C26" s="41" t="s">
        <v>66</v>
      </c>
      <c r="D26" s="42">
        <v>0.84079999999999999</v>
      </c>
      <c r="E26" s="24" t="str">
        <f>IF(IF(B26="MDZ140R","",IFERROR((SUMIF($B$3:$B$65,"MDZ140R",$F$3:$F$65)*INDEX($Q$20:$Q$77,MATCH(B26,$N$20:$N$77,0))),""))=0,"",IF(B26="MDZ140R","",IFERROR((SUMIF($B$3:$B$65,"MDZ140R",$F$3:$F$65)*INDEX($Q$20:$Q$77,MATCH(B26,$N$20:$N$77,0))),"")))</f>
        <v/>
      </c>
      <c r="F26" s="42">
        <f t="shared" si="0"/>
        <v>0.84079999999999999</v>
      </c>
      <c r="H26" s="192"/>
      <c r="I26" s="214" t="str">
        <f>IFERROR(VLOOKUP(H26,$B$3:$F$62,5,FALSE),"")</f>
        <v/>
      </c>
      <c r="J26" s="204"/>
      <c r="L26" s="56"/>
      <c r="M26" s="56"/>
      <c r="N26" s="56" t="s">
        <v>61</v>
      </c>
      <c r="O26" s="56" t="s">
        <v>5</v>
      </c>
      <c r="P26" s="125">
        <v>2</v>
      </c>
      <c r="Q26" s="126">
        <v>1.0928999999999999E-2</v>
      </c>
      <c r="R26" s="56"/>
    </row>
    <row r="27" spans="2:18" s="1" customFormat="1" x14ac:dyDescent="0.3">
      <c r="B27" s="40" t="s">
        <v>42</v>
      </c>
      <c r="C27" s="41" t="s">
        <v>43</v>
      </c>
      <c r="D27" s="42">
        <v>0.77139999999999997</v>
      </c>
      <c r="E27" s="24" t="str">
        <f>IF(IF(B27="MDZ140R","",IFERROR((SUMIF($B$3:$B$65,"MDZ140R",$F$3:$F$65)*INDEX($Q$20:$Q$77,MATCH(B27,$N$20:$N$77,0))),""))=0,"",IF(B27="MDZ140R","",IFERROR((SUMIF($B$3:$B$65,"MDZ140R",$F$3:$F$65)*INDEX($Q$20:$Q$77,MATCH(B27,$N$20:$N$77,0))),"")))</f>
        <v/>
      </c>
      <c r="F27" s="42">
        <f t="shared" si="0"/>
        <v>0.77139999999999997</v>
      </c>
      <c r="H27" s="192"/>
      <c r="I27" s="214" t="str">
        <f>IFERROR(VLOOKUP(H27,$B$3:$F$62,5,FALSE),"")</f>
        <v/>
      </c>
      <c r="J27" s="204"/>
      <c r="L27" s="56"/>
      <c r="M27" s="56"/>
      <c r="N27" s="56" t="s">
        <v>18</v>
      </c>
      <c r="O27" s="56" t="s">
        <v>110</v>
      </c>
      <c r="P27" s="125">
        <v>4</v>
      </c>
      <c r="Q27" s="126">
        <v>2.1857999999999999E-2</v>
      </c>
      <c r="R27" s="56"/>
    </row>
    <row r="28" spans="2:18" s="1" customFormat="1" x14ac:dyDescent="0.3">
      <c r="B28" s="40" t="s">
        <v>44</v>
      </c>
      <c r="C28" s="41" t="s">
        <v>146</v>
      </c>
      <c r="D28" s="42">
        <v>0.3614</v>
      </c>
      <c r="E28" s="24" t="str">
        <f>IF(IF(B28="MDZ140R","",IFERROR((SUMIF($B$3:$B$65,"MDZ140R",$F$3:$F$65)*INDEX($Q$20:$Q$77,MATCH(B28,$N$20:$N$77,0))),""))=0,"",IF(B28="MDZ140R","",IFERROR((SUMIF($B$3:$B$65,"MDZ140R",$F$3:$F$65)*INDEX($Q$20:$Q$77,MATCH(B28,$N$20:$N$77,0))),"")))</f>
        <v/>
      </c>
      <c r="F28" s="42">
        <f t="shared" si="0"/>
        <v>0.3614</v>
      </c>
      <c r="H28" s="192"/>
      <c r="I28" s="214" t="str">
        <f>IFERROR(VLOOKUP(H28,$B$3:$F$62,5,FALSE),"")</f>
        <v/>
      </c>
      <c r="J28" s="204"/>
      <c r="L28" s="56"/>
      <c r="M28" s="56"/>
      <c r="N28" s="56" t="s">
        <v>24</v>
      </c>
      <c r="O28" s="56" t="s">
        <v>111</v>
      </c>
      <c r="P28" s="125">
        <v>1</v>
      </c>
      <c r="Q28" s="126">
        <v>5.4640000000000001E-3</v>
      </c>
      <c r="R28" s="56"/>
    </row>
    <row r="29" spans="2:18" s="1" customFormat="1" x14ac:dyDescent="0.3">
      <c r="B29" s="40" t="s">
        <v>45</v>
      </c>
      <c r="C29" s="41" t="s">
        <v>183</v>
      </c>
      <c r="D29" s="42">
        <v>0.80269999999999997</v>
      </c>
      <c r="E29" s="24" t="str">
        <f>IF(IF(B29="MDZ140R","",IFERROR((SUMIF($B$3:$B$65,"MDZ140R",$F$3:$F$65)*INDEX($Q$20:$Q$77,MATCH(B29,$N$20:$N$77,0))),""))=0,"",IF(B29="MDZ140R","",IFERROR((SUMIF($B$3:$B$65,"MDZ140R",$F$3:$F$65)*INDEX($Q$20:$Q$77,MATCH(B29,$N$20:$N$77,0))),"")))</f>
        <v/>
      </c>
      <c r="F29" s="42">
        <f t="shared" si="0"/>
        <v>0.80269999999999997</v>
      </c>
      <c r="H29" s="192"/>
      <c r="I29" s="214" t="str">
        <f>IFERROR(VLOOKUP(H29,$B$3:$F$62,5,FALSE),"")</f>
        <v/>
      </c>
      <c r="J29" s="204"/>
      <c r="L29" s="56"/>
      <c r="M29" s="56"/>
      <c r="N29" s="56" t="s">
        <v>64</v>
      </c>
      <c r="O29" s="127">
        <v>4020</v>
      </c>
      <c r="P29" s="125">
        <v>3</v>
      </c>
      <c r="Q29" s="126">
        <v>1.6393000000000001E-2</v>
      </c>
      <c r="R29" s="56"/>
    </row>
    <row r="30" spans="2:18" s="1" customFormat="1" x14ac:dyDescent="0.3">
      <c r="B30" s="40" t="s">
        <v>46</v>
      </c>
      <c r="C30" s="41" t="s">
        <v>47</v>
      </c>
      <c r="D30" s="42">
        <v>0.6925</v>
      </c>
      <c r="E30" s="24" t="str">
        <f>IF(IF(B30="MDZ140R","",IFERROR((SUMIF($B$3:$B$65,"MDZ140R",$F$3:$F$65)*INDEX($Q$20:$Q$77,MATCH(B30,$N$20:$N$77,0))),""))=0,"",IF(B30="MDZ140R","",IFERROR((SUMIF($B$3:$B$65,"MDZ140R",$F$3:$F$65)*INDEX($Q$20:$Q$77,MATCH(B30,$N$20:$N$77,0))),"")))</f>
        <v/>
      </c>
      <c r="F30" s="42">
        <f t="shared" si="0"/>
        <v>0.6925</v>
      </c>
      <c r="H30" s="205"/>
      <c r="I30" s="214" t="str">
        <f>IFERROR(VLOOKUP(H30,$B$3:$F$62,5,FALSE),"")</f>
        <v/>
      </c>
      <c r="J30" s="204"/>
      <c r="L30" s="56"/>
      <c r="M30" s="56"/>
      <c r="N30" s="56" t="s">
        <v>34</v>
      </c>
      <c r="O30" s="56" t="s">
        <v>112</v>
      </c>
      <c r="P30" s="125">
        <v>2</v>
      </c>
      <c r="Q30" s="126">
        <v>1.0928999999999999E-2</v>
      </c>
      <c r="R30" s="56"/>
    </row>
    <row r="31" spans="2:18" s="1" customFormat="1" x14ac:dyDescent="0.3">
      <c r="B31" s="40" t="s">
        <v>48</v>
      </c>
      <c r="C31" s="41" t="s">
        <v>49</v>
      </c>
      <c r="D31" s="42">
        <v>7.1800000000000003E-2</v>
      </c>
      <c r="E31" s="24" t="str">
        <f>IF(IF(B31="MDZ140R","",IFERROR((SUMIF($B$3:$B$65,"MDZ140R",$F$3:$F$65)*INDEX($Q$20:$Q$77,MATCH(B31,$N$20:$N$77,0))),""))=0,"",IF(B31="MDZ140R","",IFERROR((SUMIF($B$3:$B$65,"MDZ140R",$F$3:$F$65)*INDEX($Q$20:$Q$77,MATCH(B31,$N$20:$N$77,0))),"")))</f>
        <v/>
      </c>
      <c r="F31" s="42">
        <f t="shared" si="0"/>
        <v>7.1800000000000003E-2</v>
      </c>
      <c r="H31" s="192"/>
      <c r="I31" s="214" t="str">
        <f>IFERROR(VLOOKUP(H31,$B$3:$F$62,5,FALSE),"")</f>
        <v/>
      </c>
      <c r="J31" s="198"/>
      <c r="L31" s="56"/>
      <c r="M31" s="56"/>
      <c r="N31" s="56" t="s">
        <v>63</v>
      </c>
      <c r="O31" s="56" t="s">
        <v>23</v>
      </c>
      <c r="P31" s="125">
        <v>1</v>
      </c>
      <c r="Q31" s="126">
        <v>5.4640000000000001E-3</v>
      </c>
      <c r="R31" s="56"/>
    </row>
    <row r="32" spans="2:18" s="1" customFormat="1" x14ac:dyDescent="0.3">
      <c r="B32" s="40" t="s">
        <v>50</v>
      </c>
      <c r="C32" s="41" t="s">
        <v>51</v>
      </c>
      <c r="D32" s="42">
        <v>4.8500000000000001E-2</v>
      </c>
      <c r="E32" s="24" t="str">
        <f>IF(IF(B32="MDZ140R","",IFERROR((SUMIF($B$3:$B$65,"MDZ140R",$F$3:$F$65)*INDEX($Q$20:$Q$77,MATCH(B32,$N$20:$N$77,0))),""))=0,"",IF(B32="MDZ140R","",IFERROR((SUMIF($B$3:$B$65,"MDZ140R",$F$3:$F$65)*INDEX($Q$20:$Q$77,MATCH(B32,$N$20:$N$77,0))),"")))</f>
        <v/>
      </c>
      <c r="F32" s="42">
        <f t="shared" si="0"/>
        <v>4.8500000000000001E-2</v>
      </c>
      <c r="H32" s="192"/>
      <c r="I32" s="214" t="str">
        <f>IFERROR(VLOOKUP(H32,$B$3:$F$62,5,FALSE),"")</f>
        <v/>
      </c>
      <c r="J32" s="198"/>
      <c r="L32" s="56"/>
      <c r="M32" s="56"/>
      <c r="N32" s="56" t="s">
        <v>7</v>
      </c>
      <c r="O32" s="56" t="s">
        <v>8</v>
      </c>
      <c r="P32" s="125">
        <v>1</v>
      </c>
      <c r="Q32" s="126">
        <v>5.4640000000000001E-3</v>
      </c>
      <c r="R32" s="56"/>
    </row>
    <row r="33" spans="2:18" s="1" customFormat="1" x14ac:dyDescent="0.3">
      <c r="B33" s="40" t="s">
        <v>52</v>
      </c>
      <c r="C33" s="41" t="s">
        <v>184</v>
      </c>
      <c r="D33" s="42">
        <v>0.34699999999999998</v>
      </c>
      <c r="E33" s="24" t="str">
        <f>IF(IF(B33="MDZ140R","",IFERROR((SUMIF($B$3:$B$65,"MDZ140R",$F$3:$F$65)*INDEX($Q$20:$Q$77,MATCH(B33,$N$20:$N$77,0))),""))=0,"",IF(B33="MDZ140R","",IFERROR((SUMIF($B$3:$B$65,"MDZ140R",$F$3:$F$65)*INDEX($Q$20:$Q$77,MATCH(B33,$N$20:$N$77,0))),"")))</f>
        <v/>
      </c>
      <c r="F33" s="42">
        <f t="shared" si="0"/>
        <v>0.34699999999999998</v>
      </c>
      <c r="H33" s="189"/>
      <c r="I33" s="214" t="str">
        <f>IFERROR(VLOOKUP(H33,$B$3:$F$62,5,FALSE),"")</f>
        <v/>
      </c>
      <c r="J33" s="198"/>
      <c r="L33" s="56"/>
      <c r="M33" s="56"/>
      <c r="N33" s="56" t="s">
        <v>27</v>
      </c>
      <c r="O33" s="56" t="s">
        <v>113</v>
      </c>
      <c r="P33" s="125">
        <v>1</v>
      </c>
      <c r="Q33" s="126">
        <v>5.4640000000000001E-3</v>
      </c>
      <c r="R33" s="56"/>
    </row>
    <row r="34" spans="2:18" s="144" customFormat="1" x14ac:dyDescent="0.3">
      <c r="B34" s="179"/>
      <c r="C34" s="180"/>
      <c r="D34" s="181"/>
      <c r="E34" s="182"/>
      <c r="F34" s="181"/>
      <c r="H34" s="189" t="s">
        <v>72</v>
      </c>
      <c r="I34" s="216"/>
      <c r="J34" s="191">
        <f>SUM(I34:I76)</f>
        <v>0.41917500000000002</v>
      </c>
      <c r="L34" s="183"/>
      <c r="M34" s="183"/>
      <c r="N34" s="183"/>
      <c r="O34" s="183"/>
      <c r="P34" s="185"/>
      <c r="Q34" s="186"/>
      <c r="R34" s="183"/>
    </row>
    <row r="35" spans="2:18" s="144" customFormat="1" x14ac:dyDescent="0.3">
      <c r="B35" s="179"/>
      <c r="C35" s="180"/>
      <c r="D35" s="181"/>
      <c r="E35" s="182"/>
      <c r="F35" s="181"/>
      <c r="H35" s="183" t="s">
        <v>427</v>
      </c>
      <c r="I35" s="218">
        <v>0.41917500000000002</v>
      </c>
      <c r="J35" s="184"/>
      <c r="L35" s="183"/>
      <c r="M35" s="183"/>
      <c r="N35" s="183"/>
      <c r="O35" s="183"/>
      <c r="P35" s="185"/>
      <c r="Q35" s="186"/>
      <c r="R35" s="183"/>
    </row>
    <row r="36" spans="2:18" s="144" customFormat="1" x14ac:dyDescent="0.3">
      <c r="B36" s="179"/>
      <c r="C36" s="180"/>
      <c r="D36" s="181"/>
      <c r="E36" s="182"/>
      <c r="F36" s="181"/>
      <c r="H36" s="189"/>
      <c r="I36" s="214"/>
      <c r="J36" s="191"/>
      <c r="L36" s="183"/>
      <c r="M36" s="183"/>
      <c r="N36" s="183"/>
      <c r="O36" s="183"/>
      <c r="P36" s="185"/>
      <c r="Q36" s="186"/>
      <c r="R36" s="183"/>
    </row>
    <row r="37" spans="2:18" s="144" customFormat="1" x14ac:dyDescent="0.3">
      <c r="B37" s="179"/>
      <c r="C37" s="180"/>
      <c r="D37" s="181"/>
      <c r="E37" s="182"/>
      <c r="F37" s="181"/>
      <c r="H37" s="192"/>
      <c r="I37" s="214"/>
      <c r="J37" s="206"/>
      <c r="L37" s="183"/>
      <c r="M37" s="183"/>
      <c r="N37" s="183"/>
      <c r="O37" s="183"/>
      <c r="P37" s="185"/>
      <c r="Q37" s="186"/>
      <c r="R37" s="183"/>
    </row>
    <row r="38" spans="2:18" s="144" customFormat="1" x14ac:dyDescent="0.3">
      <c r="B38" s="179"/>
      <c r="C38" s="180"/>
      <c r="D38" s="181"/>
      <c r="E38" s="182"/>
      <c r="F38" s="181"/>
      <c r="H38" s="192"/>
      <c r="I38" s="214"/>
      <c r="J38" s="206"/>
      <c r="L38" s="183"/>
      <c r="M38" s="183"/>
      <c r="N38" s="183"/>
      <c r="O38" s="183"/>
      <c r="P38" s="185"/>
      <c r="Q38" s="186"/>
      <c r="R38" s="183"/>
    </row>
    <row r="39" spans="2:18" s="144" customFormat="1" x14ac:dyDescent="0.3">
      <c r="B39" s="179"/>
      <c r="C39" s="180"/>
      <c r="D39" s="181"/>
      <c r="E39" s="182"/>
      <c r="F39" s="181"/>
      <c r="H39" s="192"/>
      <c r="I39" s="214" t="str">
        <f>IFERROR(VLOOKUP(H39,$B$3:$F$62,5,FALSE),"")</f>
        <v/>
      </c>
      <c r="J39" s="206"/>
      <c r="L39" s="183"/>
      <c r="M39" s="183"/>
      <c r="N39" s="183"/>
      <c r="O39" s="183"/>
      <c r="P39" s="185"/>
      <c r="Q39" s="186"/>
      <c r="R39" s="183"/>
    </row>
    <row r="40" spans="2:18" s="144" customFormat="1" x14ac:dyDescent="0.3">
      <c r="B40" s="40" t="s">
        <v>55</v>
      </c>
      <c r="C40" s="89" t="s">
        <v>56</v>
      </c>
      <c r="D40" s="42">
        <v>0.61050000000000004</v>
      </c>
      <c r="E40" s="24" t="str">
        <f>IF(IF(B40="MDZ140R","",IFERROR((SUMIF($B$3:$B$65,"MDZ140R",$F$3:$F$65)*INDEX($Q$20:$Q$77,MATCH(B40,$N$20:$N$77,0))),""))=0,"",IF(B40="MDZ140R","",IFERROR((SUMIF($B$3:$B$65,"MDZ140R",$F$3:$F$65)*INDEX($Q$20:$Q$77,MATCH(B40,$N$20:$N$77,0))),"")))</f>
        <v/>
      </c>
      <c r="F40" s="42">
        <f t="shared" ref="F40:F60" si="2">IF(D40="","",D40+ IF(E40="",0,E40))</f>
        <v>0.61050000000000004</v>
      </c>
      <c r="H40" s="192"/>
      <c r="I40" s="214" t="str">
        <f>IFERROR(VLOOKUP(H40,$B$3:$F$62,5,FALSE),"")</f>
        <v/>
      </c>
      <c r="J40" s="206"/>
      <c r="L40" s="145"/>
      <c r="M40" s="145"/>
      <c r="N40" s="145"/>
      <c r="O40" s="145"/>
      <c r="P40" s="147"/>
      <c r="Q40" s="148"/>
      <c r="R40" s="145"/>
    </row>
    <row r="41" spans="2:18" s="1" customFormat="1" x14ac:dyDescent="0.3">
      <c r="B41" s="89" t="s">
        <v>114</v>
      </c>
      <c r="C41" s="141" t="s">
        <v>115</v>
      </c>
      <c r="D41" s="42">
        <v>0.80359999999999998</v>
      </c>
      <c r="E41" s="24" t="str">
        <f>IF(IF(B41="MDZ140R","",IFERROR((SUMIF($B$3:$B$65,"MDZ140R",$F$3:$F$65)*INDEX($Q$20:$Q$77,MATCH(B41,$N$20:$N$77,0))),""))=0,"",IF(B41="MDZ140R","",IFERROR((SUMIF($B$3:$B$65,"MDZ140R",$F$3:$F$65)*INDEX($Q$20:$Q$77,MATCH(B41,$N$20:$N$77,0))),"")))</f>
        <v/>
      </c>
      <c r="F41" s="42">
        <f t="shared" si="2"/>
        <v>0.80359999999999998</v>
      </c>
      <c r="H41" s="192"/>
      <c r="I41" s="214" t="str">
        <f>IFERROR(VLOOKUP(H41,$B$3:$F$62,5,FALSE),"")</f>
        <v/>
      </c>
      <c r="J41" s="206"/>
      <c r="L41" s="56"/>
      <c r="M41" s="56"/>
      <c r="N41" s="56"/>
      <c r="O41" s="56"/>
      <c r="P41" s="125"/>
      <c r="Q41" s="126"/>
      <c r="R41" s="56"/>
    </row>
    <row r="42" spans="2:18" s="1" customFormat="1" x14ac:dyDescent="0.3">
      <c r="B42" s="89" t="s">
        <v>116</v>
      </c>
      <c r="C42" s="89" t="s">
        <v>117</v>
      </c>
      <c r="D42" s="42">
        <v>0.89659999999999995</v>
      </c>
      <c r="E42" s="24" t="str">
        <f>IF(IF(B42="MDZ140R","",IFERROR((SUMIF($B$3:$B$65,"MDZ140R",$F$3:$F$65)*INDEX($Q$20:$Q$77,MATCH(B42,$N$20:$N$77,0))),""))=0,"",IF(B42="MDZ140R","",IFERROR((SUMIF($B$3:$B$65,"MDZ140R",$F$3:$F$65)*INDEX($Q$20:$Q$77,MATCH(B42,$N$20:$N$77,0))),"")))</f>
        <v/>
      </c>
      <c r="F42" s="42">
        <f t="shared" si="2"/>
        <v>0.89659999999999995</v>
      </c>
      <c r="H42" s="192"/>
      <c r="I42" s="214" t="str">
        <f>IFERROR(VLOOKUP(H42,$B$3:$F$62,5,FALSE),"")</f>
        <v/>
      </c>
      <c r="J42" s="206"/>
      <c r="L42" s="56"/>
      <c r="M42" s="56"/>
      <c r="N42" s="56"/>
      <c r="O42" s="56"/>
      <c r="P42" s="125"/>
      <c r="Q42" s="126"/>
      <c r="R42" s="56"/>
    </row>
    <row r="43" spans="2:18" s="1" customFormat="1" x14ac:dyDescent="0.3">
      <c r="B43" s="89" t="s">
        <v>87</v>
      </c>
      <c r="C43" s="89" t="s">
        <v>118</v>
      </c>
      <c r="D43" s="42">
        <v>0.55889999999999995</v>
      </c>
      <c r="E43" s="24" t="str">
        <f>IF(IF(B43="MDZ140R","",IFERROR((SUMIF($B$3:$B$65,"MDZ140R",$F$3:$F$65)*INDEX($Q$20:$Q$77,MATCH(B43,$N$20:$N$77,0))),""))=0,"",IF(B43="MDZ140R","",IFERROR((SUMIF($B$3:$B$65,"MDZ140R",$F$3:$F$65)*INDEX($Q$20:$Q$77,MATCH(B43,$N$20:$N$77,0))),"")))</f>
        <v/>
      </c>
      <c r="F43" s="42">
        <f t="shared" si="2"/>
        <v>0.55889999999999995</v>
      </c>
      <c r="H43" s="192"/>
      <c r="I43" s="214" t="str">
        <f>IFERROR(VLOOKUP(H43,$B$3:$F$62,5,FALSE),"")</f>
        <v/>
      </c>
      <c r="J43" s="206"/>
      <c r="L43" s="56"/>
      <c r="M43" s="56"/>
      <c r="N43" s="56"/>
      <c r="O43" s="56"/>
      <c r="P43" s="125"/>
      <c r="Q43" s="126"/>
      <c r="R43" s="56"/>
    </row>
    <row r="44" spans="2:18" s="1" customFormat="1" x14ac:dyDescent="0.3">
      <c r="B44" s="89" t="s">
        <v>119</v>
      </c>
      <c r="C44" s="89" t="s">
        <v>120</v>
      </c>
      <c r="D44" s="42">
        <v>0.46700000000000003</v>
      </c>
      <c r="E44" s="24" t="str">
        <f>IF(IF(B44="MDZ140R","",IFERROR((SUMIF($B$3:$B$65,"MDZ140R",$F$3:$F$65)*INDEX($Q$20:$Q$77,MATCH(B44,$N$20:$N$77,0))),""))=0,"",IF(B44="MDZ140R","",IFERROR((SUMIF($B$3:$B$65,"MDZ140R",$F$3:$F$65)*INDEX($Q$20:$Q$77,MATCH(B44,$N$20:$N$77,0))),"")))</f>
        <v/>
      </c>
      <c r="F44" s="42">
        <f t="shared" si="2"/>
        <v>0.46700000000000003</v>
      </c>
      <c r="H44" s="192"/>
      <c r="I44" s="214" t="str">
        <f>IFERROR(VLOOKUP(H44,$B$3:$F$62,5,FALSE),"")</f>
        <v/>
      </c>
      <c r="J44" s="206"/>
      <c r="L44" s="56"/>
      <c r="M44" s="56"/>
      <c r="N44" s="56"/>
      <c r="O44" s="56"/>
      <c r="P44" s="125"/>
      <c r="Q44" s="126"/>
      <c r="R44" s="56"/>
    </row>
    <row r="45" spans="2:18" s="1" customFormat="1" x14ac:dyDescent="0.3">
      <c r="B45" s="89" t="s">
        <v>121</v>
      </c>
      <c r="C45" s="89" t="s">
        <v>122</v>
      </c>
      <c r="D45" s="42">
        <v>0.36759999999999998</v>
      </c>
      <c r="E45" s="24" t="str">
        <f>IF(IF(B45="MDZ140R","",IFERROR((SUMIF($B$3:$B$65,"MDZ140R",$F$3:$F$65)*INDEX($Q$20:$Q$77,MATCH(B45,$N$20:$N$77,0))),""))=0,"",IF(B45="MDZ140R","",IFERROR((SUMIF($B$3:$B$65,"MDZ140R",$F$3:$F$65)*INDEX($Q$20:$Q$77,MATCH(B45,$N$20:$N$77,0))),"")))</f>
        <v/>
      </c>
      <c r="F45" s="42">
        <f t="shared" si="2"/>
        <v>0.36759999999999998</v>
      </c>
      <c r="H45" s="192"/>
      <c r="I45" s="214" t="str">
        <f>IFERROR(VLOOKUP(H45,$B$3:$F$62,5,FALSE),"")</f>
        <v/>
      </c>
      <c r="J45" s="206"/>
      <c r="L45" s="56"/>
      <c r="M45" s="56"/>
      <c r="N45" s="56"/>
      <c r="O45" s="56"/>
      <c r="P45" s="125"/>
      <c r="Q45" s="126"/>
      <c r="R45" s="56"/>
    </row>
    <row r="46" spans="2:18" s="1" customFormat="1" x14ac:dyDescent="0.3">
      <c r="B46" s="89" t="s">
        <v>123</v>
      </c>
      <c r="C46" s="89" t="s">
        <v>124</v>
      </c>
      <c r="D46" s="42">
        <v>0.37890000000000001</v>
      </c>
      <c r="E46" s="24" t="str">
        <f>IF(IF(B46="MDZ140R","",IFERROR((SUMIF($B$3:$B$65,"MDZ140R",$F$3:$F$65)*INDEX($Q$20:$Q$77,MATCH(B46,$N$20:$N$77,0))),""))=0,"",IF(B46="MDZ140R","",IFERROR((SUMIF($B$3:$B$65,"MDZ140R",$F$3:$F$65)*INDEX($Q$20:$Q$77,MATCH(B46,$N$20:$N$77,0))),"")))</f>
        <v/>
      </c>
      <c r="F46" s="42">
        <f t="shared" si="2"/>
        <v>0.37890000000000001</v>
      </c>
      <c r="H46" s="192"/>
      <c r="I46" s="214" t="str">
        <f>IFERROR(VLOOKUP(H46,$B$3:$F$62,5,FALSE),"")</f>
        <v/>
      </c>
      <c r="J46" s="206"/>
      <c r="L46" s="56"/>
      <c r="M46" s="56"/>
      <c r="N46" s="56"/>
      <c r="O46" s="56"/>
      <c r="P46" s="125"/>
      <c r="Q46" s="126"/>
      <c r="R46" s="56"/>
    </row>
    <row r="47" spans="2:18" s="1" customFormat="1" x14ac:dyDescent="0.3">
      <c r="B47" s="89" t="s">
        <v>125</v>
      </c>
      <c r="C47" s="89" t="s">
        <v>126</v>
      </c>
      <c r="D47" s="42">
        <v>0.90859999999999996</v>
      </c>
      <c r="E47" s="24" t="str">
        <f>IF(IF(B47="MDZ140R","",IFERROR((SUMIF($B$3:$B$65,"MDZ140R",$F$3:$F$65)*INDEX($Q$20:$Q$77,MATCH(B47,$N$20:$N$77,0))),""))=0,"",IF(B47="MDZ140R","",IFERROR((SUMIF($B$3:$B$65,"MDZ140R",$F$3:$F$65)*INDEX($Q$20:$Q$77,MATCH(B47,$N$20:$N$77,0))),"")))</f>
        <v/>
      </c>
      <c r="F47" s="42">
        <f t="shared" si="2"/>
        <v>0.90859999999999996</v>
      </c>
      <c r="H47" s="192"/>
      <c r="I47" s="214" t="str">
        <f>IFERROR(VLOOKUP(H47,$B$3:$F$62,5,FALSE),"")</f>
        <v/>
      </c>
      <c r="J47" s="206"/>
      <c r="L47" s="56"/>
      <c r="M47" s="56"/>
      <c r="N47" s="56"/>
      <c r="O47" s="56"/>
      <c r="P47" s="125"/>
      <c r="Q47" s="126"/>
      <c r="R47" s="56"/>
    </row>
    <row r="48" spans="2:18" s="1" customFormat="1" x14ac:dyDescent="0.3">
      <c r="B48" s="89" t="s">
        <v>94</v>
      </c>
      <c r="C48" s="89" t="s">
        <v>127</v>
      </c>
      <c r="D48" s="42">
        <v>0.70540000000000003</v>
      </c>
      <c r="E48" s="24" t="str">
        <f>IF(IF(B48="MDZ140R","",IFERROR((SUMIF($B$3:$B$65,"MDZ140R",$F$3:$F$65)*INDEX($Q$20:$Q$77,MATCH(B48,$N$20:$N$77,0))),""))=0,"",IF(B48="MDZ140R","",IFERROR((SUMIF($B$3:$B$65,"MDZ140R",$F$3:$F$65)*INDEX($Q$20:$Q$77,MATCH(B48,$N$20:$N$77,0))),"")))</f>
        <v/>
      </c>
      <c r="F48" s="42">
        <f t="shared" si="2"/>
        <v>0.70540000000000003</v>
      </c>
      <c r="H48" s="192"/>
      <c r="I48" s="214" t="str">
        <f>IFERROR(VLOOKUP(H48,$B$3:$F$62,5,FALSE),"")</f>
        <v/>
      </c>
      <c r="J48" s="206"/>
      <c r="L48" s="56"/>
      <c r="M48" s="56"/>
      <c r="N48" s="56"/>
      <c r="O48" s="56"/>
      <c r="P48" s="125"/>
      <c r="Q48" s="126"/>
      <c r="R48" s="56"/>
    </row>
    <row r="49" spans="2:18" s="1" customFormat="1" x14ac:dyDescent="0.3">
      <c r="B49" s="89" t="s">
        <v>95</v>
      </c>
      <c r="C49" s="89" t="s">
        <v>128</v>
      </c>
      <c r="D49" s="11">
        <v>0.2908</v>
      </c>
      <c r="E49" s="24" t="str">
        <f>IF(IF(B49="MDZ140R","",IFERROR((SUMIF($B$3:$B$65,"MDZ140R",$F$3:$F$65)*INDEX($Q$20:$Q$77,MATCH(B49,$N$20:$N$77,0))),""))=0,"",IF(B49="MDZ140R","",IFERROR((SUMIF($B$3:$B$65,"MDZ140R",$F$3:$F$65)*INDEX($Q$20:$Q$77,MATCH(B49,$N$20:$N$77,0))),"")))</f>
        <v/>
      </c>
      <c r="F49" s="42">
        <f t="shared" si="2"/>
        <v>0.2908</v>
      </c>
      <c r="H49" s="192"/>
      <c r="I49" s="214" t="str">
        <f>IFERROR(VLOOKUP(H49,$B$3:$F$62,5,FALSE),"")</f>
        <v/>
      </c>
      <c r="J49" s="206"/>
      <c r="L49" s="56"/>
      <c r="M49" s="56"/>
      <c r="N49" s="56"/>
      <c r="O49" s="56"/>
      <c r="P49" s="125"/>
      <c r="Q49" s="126"/>
      <c r="R49" s="56"/>
    </row>
    <row r="50" spans="2:18" s="1" customFormat="1" x14ac:dyDescent="0.3">
      <c r="B50" s="89" t="s">
        <v>129</v>
      </c>
      <c r="C50" s="89" t="s">
        <v>130</v>
      </c>
      <c r="D50" s="42">
        <v>0.3241</v>
      </c>
      <c r="E50" s="24" t="str">
        <f>IF(IF(B50="MDZ140R","",IFERROR((SUMIF($B$3:$B$65,"MDZ140R",$F$3:$F$65)*INDEX($Q$20:$Q$77,MATCH(B50,$N$20:$N$77,0))),""))=0,"",IF(B50="MDZ140R","",IFERROR((SUMIF($B$3:$B$65,"MDZ140R",$F$3:$F$65)*INDEX($Q$20:$Q$77,MATCH(B50,$N$20:$N$77,0))),"")))</f>
        <v/>
      </c>
      <c r="F50" s="42">
        <f t="shared" si="2"/>
        <v>0.3241</v>
      </c>
      <c r="H50" s="192"/>
      <c r="I50" s="214" t="str">
        <f>IFERROR(VLOOKUP(H50,$B$3:$F$62,5,FALSE),"")</f>
        <v/>
      </c>
      <c r="J50" s="206"/>
      <c r="L50" s="56"/>
      <c r="M50" s="56"/>
      <c r="N50" s="56"/>
      <c r="O50" s="56"/>
      <c r="P50" s="125"/>
      <c r="Q50" s="126"/>
      <c r="R50" s="56"/>
    </row>
    <row r="51" spans="2:18" s="1" customFormat="1" x14ac:dyDescent="0.3">
      <c r="B51" s="89" t="s">
        <v>131</v>
      </c>
      <c r="C51" s="89" t="s">
        <v>132</v>
      </c>
      <c r="D51" s="42">
        <v>0.98089999999999999</v>
      </c>
      <c r="E51" s="24" t="str">
        <f>IF(IF(B51="MDZ140R","",IFERROR((SUMIF($B$3:$B$65,"MDZ140R",$F$3:$F$65)*INDEX($Q$20:$Q$77,MATCH(B51,$N$20:$N$77,0))),""))=0,"",IF(B51="MDZ140R","",IFERROR((SUMIF($B$3:$B$65,"MDZ140R",$F$3:$F$65)*INDEX($Q$20:$Q$77,MATCH(B51,$N$20:$N$77,0))),"")))</f>
        <v/>
      </c>
      <c r="F51" s="42">
        <f t="shared" si="2"/>
        <v>0.98089999999999999</v>
      </c>
      <c r="H51" s="192"/>
      <c r="I51" s="214" t="str">
        <f>IFERROR(VLOOKUP(H51,$B$3:$F$62,5,FALSE),"")</f>
        <v/>
      </c>
      <c r="J51" s="206"/>
      <c r="L51" s="56"/>
      <c r="M51" s="56"/>
      <c r="N51" s="56"/>
      <c r="O51" s="56"/>
      <c r="P51" s="125"/>
      <c r="Q51" s="126"/>
      <c r="R51" s="56"/>
    </row>
    <row r="52" spans="2:18" s="1" customFormat="1" x14ac:dyDescent="0.3">
      <c r="B52" s="89" t="s">
        <v>133</v>
      </c>
      <c r="C52" s="89" t="s">
        <v>134</v>
      </c>
      <c r="D52" s="42">
        <v>0.64649999999999996</v>
      </c>
      <c r="E52" s="24" t="str">
        <f>IF(IF(B52="MDZ140R","",IFERROR((SUMIF($B$3:$B$65,"MDZ140R",$F$3:$F$65)*INDEX($Q$20:$Q$77,MATCH(B52,$N$20:$N$77,0))),""))=0,"",IF(B52="MDZ140R","",IFERROR((SUMIF($B$3:$B$65,"MDZ140R",$F$3:$F$65)*INDEX($Q$20:$Q$77,MATCH(B52,$N$20:$N$77,0))),"")))</f>
        <v/>
      </c>
      <c r="F52" s="42">
        <f t="shared" si="2"/>
        <v>0.64649999999999996</v>
      </c>
      <c r="H52" s="192"/>
      <c r="I52" s="214" t="str">
        <f>IFERROR(VLOOKUP(H52,$B$3:$F$62,5,FALSE),"")</f>
        <v/>
      </c>
      <c r="J52" s="206"/>
      <c r="L52" s="56"/>
      <c r="M52" s="56"/>
      <c r="N52" s="56"/>
      <c r="O52" s="56"/>
      <c r="P52" s="125"/>
      <c r="Q52" s="126"/>
      <c r="R52" s="56"/>
    </row>
    <row r="53" spans="2:18" s="1" customFormat="1" x14ac:dyDescent="0.3">
      <c r="B53" s="89" t="s">
        <v>135</v>
      </c>
      <c r="C53" s="89" t="s">
        <v>136</v>
      </c>
      <c r="D53" s="42">
        <v>0.90029999999999999</v>
      </c>
      <c r="E53" s="24" t="str">
        <f>IF(IF(B53="MDZ140R","",IFERROR((SUMIF($B$3:$B$65,"MDZ140R",$F$3:$F$65)*INDEX($Q$20:$Q$77,MATCH(B53,$N$20:$N$77,0))),""))=0,"",IF(B53="MDZ140R","",IFERROR((SUMIF($B$3:$B$65,"MDZ140R",$F$3:$F$65)*INDEX($Q$20:$Q$77,MATCH(B53,$N$20:$N$77,0))),"")))</f>
        <v/>
      </c>
      <c r="F53" s="42">
        <f t="shared" si="2"/>
        <v>0.90029999999999999</v>
      </c>
      <c r="H53" s="192"/>
      <c r="I53" s="214" t="str">
        <f>IFERROR(VLOOKUP(H53,$B$3:$F$62,5,FALSE),"")</f>
        <v/>
      </c>
      <c r="J53" s="206"/>
      <c r="L53" s="56"/>
      <c r="M53" s="56"/>
      <c r="N53" s="56"/>
      <c r="O53" s="56"/>
      <c r="P53" s="125"/>
      <c r="Q53" s="126"/>
      <c r="R53" s="56"/>
    </row>
    <row r="54" spans="2:18" s="1" customFormat="1" x14ac:dyDescent="0.3">
      <c r="B54" s="89" t="s">
        <v>137</v>
      </c>
      <c r="C54" s="89" t="s">
        <v>138</v>
      </c>
      <c r="D54" s="42">
        <v>0.98670000000000002</v>
      </c>
      <c r="E54" s="24" t="str">
        <f>IF(IF(B54="MDZ140R","",IFERROR((SUMIF($B$3:$B$65,"MDZ140R",$F$3:$F$65)*INDEX($Q$20:$Q$77,MATCH(B54,$N$20:$N$77,0))),""))=0,"",IF(B54="MDZ140R","",IFERROR((SUMIF($B$3:$B$65,"MDZ140R",$F$3:$F$65)*INDEX($Q$20:$Q$77,MATCH(B54,$N$20:$N$77,0))),"")))</f>
        <v/>
      </c>
      <c r="F54" s="42">
        <f t="shared" si="2"/>
        <v>0.98670000000000002</v>
      </c>
      <c r="H54" s="192"/>
      <c r="I54" s="214" t="str">
        <f>IFERROR(VLOOKUP(H54,$B$3:$F$62,5,FALSE),"")</f>
        <v/>
      </c>
      <c r="J54" s="206"/>
      <c r="L54" s="56"/>
      <c r="M54" s="56"/>
      <c r="N54" s="56"/>
      <c r="O54" s="56"/>
      <c r="P54" s="125"/>
      <c r="Q54" s="126"/>
      <c r="R54" s="56"/>
    </row>
    <row r="55" spans="2:18" s="1" customFormat="1" x14ac:dyDescent="0.3">
      <c r="B55" s="89" t="s">
        <v>139</v>
      </c>
      <c r="C55" s="89" t="s">
        <v>188</v>
      </c>
      <c r="D55" s="42">
        <v>0.45850000000000002</v>
      </c>
      <c r="E55" s="24" t="str">
        <f>IF(IF(B55="MDZ140R","",IFERROR((SUMIF($B$3:$B$65,"MDZ140R",$F$3:$F$65)*INDEX($Q$20:$Q$77,MATCH(B55,$N$20:$N$77,0))),""))=0,"",IF(B55="MDZ140R","",IFERROR((SUMIF($B$3:$B$65,"MDZ140R",$F$3:$F$65)*INDEX($Q$20:$Q$77,MATCH(B55,$N$20:$N$77,0))),"")))</f>
        <v/>
      </c>
      <c r="F55" s="42">
        <f t="shared" si="2"/>
        <v>0.45850000000000002</v>
      </c>
      <c r="H55" s="192"/>
      <c r="I55" s="214" t="str">
        <f>IFERROR(VLOOKUP(H55,$B$3:$F$62,5,FALSE),"")</f>
        <v/>
      </c>
      <c r="J55" s="206"/>
      <c r="L55" s="56"/>
      <c r="M55" s="56"/>
      <c r="N55" s="56"/>
      <c r="O55" s="56"/>
      <c r="P55" s="125"/>
      <c r="Q55" s="126"/>
      <c r="R55" s="56"/>
    </row>
    <row r="56" spans="2:18" s="1" customFormat="1" x14ac:dyDescent="0.3">
      <c r="B56" s="89" t="s">
        <v>141</v>
      </c>
      <c r="C56" s="89" t="s">
        <v>142</v>
      </c>
      <c r="D56" s="42">
        <v>0.55830000000000002</v>
      </c>
      <c r="E56" s="24" t="str">
        <f>IF(IF(B56="MDZ140R","",IFERROR((SUMIF($B$3:$B$65,"MDZ140R",$F$3:$F$65)*INDEX($Q$20:$Q$77,MATCH(B56,$N$20:$N$77,0))),""))=0,"",IF(B56="MDZ140R","",IFERROR((SUMIF($B$3:$B$65,"MDZ140R",$F$3:$F$65)*INDEX($Q$20:$Q$77,MATCH(B56,$N$20:$N$77,0))),"")))</f>
        <v/>
      </c>
      <c r="F56" s="42">
        <f t="shared" si="2"/>
        <v>0.55830000000000002</v>
      </c>
      <c r="H56" s="192"/>
      <c r="I56" s="214" t="str">
        <f>IFERROR(VLOOKUP(H56,$B$3:$F$62,5,FALSE),"")</f>
        <v/>
      </c>
      <c r="J56" s="206"/>
      <c r="L56" s="56"/>
      <c r="M56" s="56"/>
      <c r="N56" s="56"/>
      <c r="O56" s="56"/>
      <c r="P56" s="125"/>
      <c r="Q56" s="126"/>
      <c r="R56" s="56"/>
    </row>
    <row r="57" spans="2:18" s="1" customFormat="1" x14ac:dyDescent="0.3">
      <c r="B57" s="89"/>
      <c r="C57" s="89"/>
      <c r="D57" s="42"/>
      <c r="E57" s="24" t="str">
        <f>IF(IF(B57="MDZ140R","",IFERROR((SUMIF($B$3:$B$65,"MDZ140R",$F$3:$F$65)*INDEX($Q$20:$Q$77,MATCH(B57,$N$20:$N$77,0))),""))=0,"",IF(B57="MDZ140R","",IFERROR((SUMIF($B$3:$B$65,"MDZ140R",$F$3:$F$65)*INDEX($Q$20:$Q$77,MATCH(B57,$N$20:$N$77,0))),"")))</f>
        <v/>
      </c>
      <c r="F57" s="42" t="str">
        <f t="shared" si="2"/>
        <v/>
      </c>
      <c r="H57" s="192"/>
      <c r="I57" s="214" t="str">
        <f>IFERROR(VLOOKUP(H57,$B$3:$F$62,5,FALSE),"")</f>
        <v/>
      </c>
      <c r="J57" s="206"/>
      <c r="L57" s="56"/>
      <c r="M57" s="56"/>
      <c r="N57" s="56"/>
      <c r="O57" s="56"/>
      <c r="P57" s="125"/>
      <c r="Q57" s="126"/>
      <c r="R57" s="56"/>
    </row>
    <row r="58" spans="2:18" s="1" customFormat="1" x14ac:dyDescent="0.3">
      <c r="B58" s="89"/>
      <c r="C58" s="89"/>
      <c r="D58" s="42"/>
      <c r="E58" s="24" t="str">
        <f>IF(IF(B58="MDZ140R","",IFERROR((SUMIF($B$3:$B$65,"MDZ140R",$F$3:$F$65)*INDEX($Q$20:$Q$77,MATCH(B58,$N$20:$N$77,0))),""))=0,"",IF(B58="MDZ140R","",IFERROR((SUMIF($B$3:$B$65,"MDZ140R",$F$3:$F$65)*INDEX($Q$20:$Q$77,MATCH(B58,$N$20:$N$77,0))),"")))</f>
        <v/>
      </c>
      <c r="F58" s="42" t="str">
        <f t="shared" si="2"/>
        <v/>
      </c>
      <c r="H58" s="192"/>
      <c r="I58" s="214" t="str">
        <f>IFERROR(VLOOKUP(H58,$B$3:$F$62,5,FALSE),"")</f>
        <v/>
      </c>
      <c r="J58" s="206"/>
      <c r="L58" s="56"/>
      <c r="M58" s="56"/>
      <c r="N58" s="56"/>
      <c r="O58" s="56"/>
      <c r="P58" s="125"/>
      <c r="Q58" s="126"/>
      <c r="R58" s="56"/>
    </row>
    <row r="59" spans="2:18" s="1" customFormat="1" x14ac:dyDescent="0.3">
      <c r="B59" s="89"/>
      <c r="C59" s="89"/>
      <c r="D59" s="42"/>
      <c r="E59" s="24" t="str">
        <f>IF(IF(B59="MDZ140R","",IFERROR((SUMIF($B$3:$B$65,"MDZ140R",$F$3:$F$65)*INDEX($Q$20:$Q$77,MATCH(B59,$N$20:$N$77,0))),""))=0,"",IF(B59="MDZ140R","",IFERROR((SUMIF($B$3:$B$65,"MDZ140R",$F$3:$F$65)*INDEX($Q$20:$Q$77,MATCH(B59,$N$20:$N$77,0))),"")))</f>
        <v/>
      </c>
      <c r="F59" s="42" t="str">
        <f t="shared" si="2"/>
        <v/>
      </c>
      <c r="H59" s="192"/>
      <c r="I59" s="214" t="str">
        <f>IFERROR(VLOOKUP(H59,$B$3:$F$62,5,FALSE),"")</f>
        <v/>
      </c>
      <c r="J59" s="206"/>
      <c r="L59" s="56"/>
      <c r="M59" s="56"/>
      <c r="N59" s="56"/>
      <c r="O59" s="56"/>
      <c r="P59" s="125"/>
      <c r="Q59" s="126"/>
      <c r="R59" s="56"/>
    </row>
    <row r="60" spans="2:18" s="1" customFormat="1" x14ac:dyDescent="0.3">
      <c r="B60" s="89"/>
      <c r="C60" s="89"/>
      <c r="D60" s="42"/>
      <c r="E60" s="24" t="str">
        <f>IF(IF(B60="MDZ140R","",IFERROR((SUMIF($B$3:$B$65,"MDZ140R",$F$3:$F$65)*INDEX($Q$20:$Q$77,MATCH(B60,$N$20:$N$77,0))),""))=0,"",IF(B60="MDZ140R","",IFERROR((SUMIF($B$3:$B$65,"MDZ140R",$F$3:$F$65)*INDEX($Q$20:$Q$77,MATCH(B60,$N$20:$N$77,0))),"")))</f>
        <v/>
      </c>
      <c r="F60" s="42" t="str">
        <f t="shared" si="2"/>
        <v/>
      </c>
      <c r="H60" s="192"/>
      <c r="I60" s="214" t="str">
        <f>IFERROR(VLOOKUP(H60,$B$3:$F$62,5,FALSE),"")</f>
        <v/>
      </c>
      <c r="J60" s="206"/>
      <c r="L60" s="56"/>
      <c r="M60" s="56"/>
      <c r="N60" s="56"/>
      <c r="O60" s="56"/>
      <c r="P60" s="125"/>
      <c r="Q60" s="126"/>
      <c r="R60" s="56"/>
    </row>
    <row r="61" spans="2:18" s="1" customFormat="1" x14ac:dyDescent="0.3">
      <c r="B61" s="89"/>
      <c r="C61" s="89"/>
      <c r="D61" s="42"/>
      <c r="E61" s="24"/>
      <c r="F61" s="42"/>
      <c r="H61" s="192"/>
      <c r="I61" s="214" t="str">
        <f>IFERROR(VLOOKUP(H61,$B$3:$F$62,5,FALSE),"")</f>
        <v/>
      </c>
      <c r="J61" s="206"/>
      <c r="L61" s="56"/>
      <c r="M61" s="56"/>
      <c r="N61" s="56"/>
      <c r="O61" s="56"/>
      <c r="P61" s="125"/>
      <c r="Q61" s="126"/>
      <c r="R61" s="56"/>
    </row>
    <row r="62" spans="2:18" s="1" customFormat="1" x14ac:dyDescent="0.3">
      <c r="B62" s="89"/>
      <c r="C62" s="89"/>
      <c r="D62" s="42"/>
      <c r="E62" s="24" t="str">
        <f>IF(IF(B62="MDZ140R","",IFERROR((SUMIF($B$3:$B$65,"MDZ140R",$F$3:$F$65)*INDEX($Q$20:$Q$77,MATCH(B62,$N$20:$N$77,0))),""))=0,"",IF(B62="MDZ140R","",IFERROR((SUMIF($B$3:$B$65,"MDZ140R",$F$3:$F$65)*INDEX($Q$20:$Q$77,MATCH(B62,$N$20:$N$77,0))),"")))</f>
        <v/>
      </c>
      <c r="F62" s="42" t="str">
        <f>IF(D62="","",D62+ IF(E62="",0,E62))</f>
        <v/>
      </c>
      <c r="H62" s="192"/>
      <c r="I62" s="214" t="str">
        <f>IFERROR(VLOOKUP(H62,$B$3:$F$62,5,FALSE),"")</f>
        <v/>
      </c>
      <c r="J62" s="206"/>
      <c r="L62" s="56"/>
      <c r="M62" s="56"/>
      <c r="N62" s="56"/>
      <c r="O62" s="56"/>
      <c r="P62" s="125"/>
      <c r="Q62" s="126"/>
      <c r="R62" s="56"/>
    </row>
    <row r="63" spans="2:18" s="1" customFormat="1" x14ac:dyDescent="0.3">
      <c r="B63" s="89"/>
      <c r="C63" s="89"/>
      <c r="D63" s="42"/>
      <c r="E63" s="24" t="str">
        <f>IF(IF(B63="MDZ140R","",IFERROR((SUMIF($B$3:$B$65,"MDZ140R",$F$3:$F$65)*INDEX($Q$20:$Q$77,MATCH(B63,$N$20:$N$77,0))),""))=0,"",IF(B63="MDZ140R","",IFERROR((SUMIF($B$3:$B$65,"MDZ140R",$F$3:$F$65)*INDEX($Q$20:$Q$77,MATCH(B63,$N$20:$N$77,0))),"")))</f>
        <v/>
      </c>
      <c r="F63" s="42" t="str">
        <f>IF(D63="","",D63+ IF(E63="",0,E63))</f>
        <v/>
      </c>
      <c r="H63" s="192"/>
      <c r="I63" s="214" t="str">
        <f>IFERROR(VLOOKUP(H63,$B$3:$F$62,5,FALSE),"")</f>
        <v/>
      </c>
      <c r="J63" s="206"/>
      <c r="L63" s="56"/>
      <c r="M63" s="56"/>
      <c r="N63" s="56"/>
      <c r="O63" s="56"/>
      <c r="P63" s="125"/>
      <c r="Q63" s="126"/>
      <c r="R63" s="56"/>
    </row>
    <row r="64" spans="2:18" s="1" customFormat="1" x14ac:dyDescent="0.3">
      <c r="B64" s="89" t="s">
        <v>143</v>
      </c>
      <c r="C64" s="89" t="s">
        <v>144</v>
      </c>
      <c r="D64" s="42">
        <v>0.55089999999999995</v>
      </c>
      <c r="E64" s="24" t="str">
        <f>IF(IF(B64="MDZ140R","",IFERROR((SUMIF($B$3:$B$65,"MDZ140R",$F$3:$F$65)*INDEX($Q$20:$Q$77,MATCH(B64,$N$20:$N$77,0))),""))=0,"",IF(B64="MDZ140R","",IFERROR((SUMIF($B$3:$B$65,"MDZ140R",$F$3:$F$65)*INDEX($Q$20:$Q$77,MATCH(B64,$N$20:$N$77,0))),"")))</f>
        <v/>
      </c>
      <c r="F64" s="42">
        <f>IF(D64="","",D64+ IF(E64="",0,E64))</f>
        <v>0.55089999999999995</v>
      </c>
      <c r="H64" s="192"/>
      <c r="I64" s="214" t="str">
        <f>IFERROR(VLOOKUP(H64,$B$3:$F$62,5,FALSE),"")</f>
        <v/>
      </c>
      <c r="J64" s="206"/>
      <c r="L64" s="56"/>
      <c r="M64" s="56"/>
      <c r="N64" s="56"/>
      <c r="O64" s="56"/>
      <c r="P64" s="125"/>
      <c r="Q64" s="126"/>
      <c r="R64" s="56"/>
    </row>
    <row r="65" spans="2:18" s="1" customFormat="1" x14ac:dyDescent="0.3">
      <c r="B65" s="127"/>
      <c r="C65" s="60" t="s">
        <v>145</v>
      </c>
      <c r="D65" s="133">
        <f>SUM(D3:D64)</f>
        <v>27.097099999999998</v>
      </c>
      <c r="E65" s="134"/>
      <c r="F65" s="135">
        <f>D65+E65</f>
        <v>27.097099999999998</v>
      </c>
      <c r="H65" s="192"/>
      <c r="I65" s="214" t="str">
        <f>IFERROR(VLOOKUP(H65,$B$3:$F$62,5,FALSE),"")</f>
        <v/>
      </c>
      <c r="J65" s="206"/>
      <c r="L65" s="56"/>
      <c r="M65" s="56"/>
      <c r="N65" s="56"/>
      <c r="O65" s="56"/>
      <c r="P65" s="125"/>
      <c r="Q65" s="126"/>
      <c r="R65" s="56"/>
    </row>
    <row r="66" spans="2:18" s="1" customFormat="1" x14ac:dyDescent="0.3">
      <c r="B66" s="127"/>
      <c r="C66" s="60"/>
      <c r="D66" s="133"/>
      <c r="E66" s="134"/>
      <c r="F66" s="135"/>
      <c r="H66" s="192"/>
      <c r="I66" s="214" t="str">
        <f>IFERROR(VLOOKUP(H66,$B$3:$F$62,5,FALSE),"")</f>
        <v/>
      </c>
      <c r="J66" s="206"/>
      <c r="L66" s="56"/>
      <c r="M66" s="56"/>
      <c r="N66" s="56"/>
      <c r="O66" s="56"/>
      <c r="P66" s="125"/>
      <c r="Q66" s="126"/>
      <c r="R66" s="56"/>
    </row>
    <row r="67" spans="2:18" s="1" customFormat="1" x14ac:dyDescent="0.3">
      <c r="B67" s="136"/>
      <c r="C67" s="136"/>
      <c r="D67" s="133">
        <v>0</v>
      </c>
      <c r="E67" s="134"/>
      <c r="F67" s="135">
        <f>D67+E67</f>
        <v>0</v>
      </c>
      <c r="H67" s="192"/>
      <c r="I67" s="214" t="str">
        <f>IFERROR(VLOOKUP(H67,$B$3:$F$62,5,FALSE),"")</f>
        <v/>
      </c>
      <c r="J67" s="206"/>
      <c r="L67" s="56"/>
      <c r="M67" s="56"/>
      <c r="N67" s="56"/>
      <c r="O67" s="56"/>
      <c r="P67" s="125"/>
      <c r="Q67" s="126"/>
      <c r="R67" s="56"/>
    </row>
    <row r="68" spans="2:18" s="1" customFormat="1" x14ac:dyDescent="0.3">
      <c r="B68" s="136"/>
      <c r="C68" s="136"/>
      <c r="D68" s="133">
        <v>0</v>
      </c>
      <c r="E68" s="134"/>
      <c r="F68" s="135">
        <f>D68+E68</f>
        <v>0</v>
      </c>
      <c r="H68" s="192"/>
      <c r="I68" s="214" t="str">
        <f>IFERROR(VLOOKUP(H68,$B$3:$F$62,5,FALSE),"")</f>
        <v/>
      </c>
      <c r="J68" s="206"/>
      <c r="L68" s="56"/>
      <c r="M68" s="56"/>
      <c r="N68" s="56"/>
      <c r="O68" s="56"/>
      <c r="P68" s="125"/>
      <c r="Q68" s="126"/>
      <c r="R68" s="56"/>
    </row>
    <row r="69" spans="2:18" s="1" customFormat="1" x14ac:dyDescent="0.3">
      <c r="B69" s="40"/>
      <c r="C69" s="41"/>
      <c r="D69" s="42"/>
      <c r="E69" s="24"/>
      <c r="F69" s="42"/>
      <c r="H69" s="192"/>
      <c r="I69" s="214" t="str">
        <f>IFERROR(VLOOKUP(H69,$B$3:$F$62,5,FALSE),"")</f>
        <v/>
      </c>
      <c r="J69" s="206"/>
      <c r="L69" s="56"/>
      <c r="M69" s="56"/>
      <c r="N69" s="56"/>
      <c r="O69" s="56"/>
      <c r="P69" s="125"/>
      <c r="Q69" s="126"/>
      <c r="R69" s="56"/>
    </row>
    <row r="70" spans="2:18" s="1" customFormat="1" x14ac:dyDescent="0.3">
      <c r="B70" s="40"/>
      <c r="C70" s="41"/>
      <c r="D70" s="42"/>
      <c r="E70" s="24"/>
      <c r="F70" s="42"/>
      <c r="H70" s="192"/>
      <c r="I70" s="214" t="str">
        <f>IFERROR(VLOOKUP(H70,$B$3:$F$62,5,FALSE),"")</f>
        <v/>
      </c>
      <c r="J70" s="191"/>
      <c r="L70" s="56"/>
      <c r="M70" s="56"/>
      <c r="N70" s="56"/>
      <c r="O70" s="56"/>
      <c r="P70" s="125"/>
      <c r="Q70" s="126"/>
      <c r="R70" s="56"/>
    </row>
    <row r="71" spans="2:18" s="1" customFormat="1" x14ac:dyDescent="0.3">
      <c r="B71" s="40"/>
      <c r="C71" s="41"/>
      <c r="D71" s="42"/>
      <c r="E71" s="24" t="str">
        <f>IF(IF(B71="MDZ140R","",IFERROR((SUMIF($B$3:$B$65,"MDZ140R",$F$3:$F$65)*INDEX($Q$20:$Q$77,MATCH(B71,$N$20:$N$77,0))),""))=0,"",IF(B71="MDZ140R","",IFERROR((SUMIF($B$3:$B$65,"MDZ140R",$F$3:$F$65)*INDEX($Q$20:$Q$77,MATCH(B71,$N$20:$N$77,0))),"")))</f>
        <v/>
      </c>
      <c r="F71" s="42" t="str">
        <f t="shared" si="0"/>
        <v/>
      </c>
      <c r="H71" s="192"/>
      <c r="I71" s="214" t="str">
        <f>IFERROR(VLOOKUP(H71,$B$3:$F$62,5,FALSE),"")</f>
        <v/>
      </c>
      <c r="J71" s="191"/>
      <c r="L71" s="56"/>
      <c r="M71" s="56"/>
      <c r="N71" s="56"/>
      <c r="O71" s="56"/>
      <c r="P71" s="125"/>
      <c r="Q71" s="126"/>
      <c r="R71" s="56"/>
    </row>
    <row r="72" spans="2:18" s="1" customFormat="1" x14ac:dyDescent="0.3">
      <c r="B72" s="40"/>
      <c r="C72" s="41"/>
      <c r="D72" s="42"/>
      <c r="E72" s="24" t="str">
        <f>IF(IF(B72="MDZ140R","",IFERROR((SUMIF($B$3:$B$65,"MDZ140R",$F$3:$F$65)*INDEX($Q$20:$Q$77,MATCH(B72,$N$20:$N$77,0))),""))=0,"",IF(B72="MDZ140R","",IFERROR((SUMIF($B$3:$B$65,"MDZ140R",$F$3:$F$65)*INDEX($Q$20:$Q$77,MATCH(B72,$N$20:$N$77,0))),"")))</f>
        <v/>
      </c>
      <c r="F72" s="42" t="str">
        <f t="shared" si="0"/>
        <v/>
      </c>
      <c r="H72" s="192"/>
      <c r="I72" s="214" t="str">
        <f>IFERROR(VLOOKUP(H72,$B$3:$F$62,5,FALSE),"")</f>
        <v/>
      </c>
      <c r="J72" s="191"/>
      <c r="L72" s="56"/>
      <c r="M72" s="56"/>
      <c r="N72" s="56"/>
      <c r="O72" s="56"/>
      <c r="P72" s="125"/>
      <c r="Q72" s="126"/>
      <c r="R72" s="56"/>
    </row>
    <row r="73" spans="2:18" s="1" customFormat="1" x14ac:dyDescent="0.3">
      <c r="B73" s="40"/>
      <c r="C73" s="41"/>
      <c r="D73" s="42"/>
      <c r="E73" s="24" t="str">
        <f>IF(IF(B73="MDZ140R","",IFERROR((SUMIF($B$3:$B$65,"MDZ140R",$F$3:$F$65)*INDEX($Q$20:$Q$77,MATCH(B73,$N$20:$N$77,0))),""))=0,"",IF(B73="MDZ140R","",IFERROR((SUMIF($B$3:$B$65,"MDZ140R",$F$3:$F$65)*INDEX($Q$20:$Q$77,MATCH(B73,$N$20:$N$77,0))),"")))</f>
        <v/>
      </c>
      <c r="F73" s="42" t="str">
        <f t="shared" si="0"/>
        <v/>
      </c>
      <c r="H73" s="192"/>
      <c r="I73" s="214" t="str">
        <f>IFERROR(VLOOKUP(H73,$B$3:$F$62,5,FALSE),"")</f>
        <v/>
      </c>
      <c r="J73" s="191"/>
      <c r="L73" s="56"/>
      <c r="M73" s="56"/>
      <c r="N73" s="56"/>
      <c r="O73" s="56"/>
      <c r="P73" s="125"/>
      <c r="Q73" s="126"/>
      <c r="R73" s="56"/>
    </row>
    <row r="74" spans="2:18" s="1" customFormat="1" x14ac:dyDescent="0.3">
      <c r="B74" s="40"/>
      <c r="C74" s="41"/>
      <c r="D74" s="42"/>
      <c r="E74" s="24" t="str">
        <f>IF(IF(B74="MDZ140R","",IFERROR((SUMIF($B$3:$B$65,"MDZ140R",$F$3:$F$65)*INDEX($Q$20:$Q$77,MATCH(B74,$N$20:$N$77,0))),""))=0,"",IF(B74="MDZ140R","",IFERROR((SUMIF($B$3:$B$65,"MDZ140R",$F$3:$F$65)*INDEX($Q$20:$Q$77,MATCH(B74,$N$20:$N$77,0))),"")))</f>
        <v/>
      </c>
      <c r="F74" s="42" t="str">
        <f t="shared" si="0"/>
        <v/>
      </c>
      <c r="H74" s="192"/>
      <c r="I74" s="214" t="str">
        <f>IFERROR(VLOOKUP(H74,$B$3:$F$62,5,FALSE),"")</f>
        <v/>
      </c>
      <c r="J74" s="191"/>
      <c r="L74" s="56"/>
      <c r="M74" s="56"/>
      <c r="N74" s="56"/>
      <c r="O74" s="56"/>
      <c r="P74" s="125"/>
      <c r="Q74" s="126"/>
      <c r="R74" s="56"/>
    </row>
    <row r="75" spans="2:18" s="1" customFormat="1" x14ac:dyDescent="0.3">
      <c r="B75" s="40"/>
      <c r="C75" s="41"/>
      <c r="D75" s="42"/>
      <c r="E75" s="24" t="str">
        <f>IF(IF(B75="MDZ140R","",IFERROR((SUMIF($B$3:$B$65,"MDZ140R",$F$3:$F$65)*INDEX($Q$20:$Q$77,MATCH(B75,$N$20:$N$77,0))),""))=0,"",IF(B75="MDZ140R","",IFERROR((SUMIF($B$3:$B$65,"MDZ140R",$F$3:$F$65)*INDEX($Q$20:$Q$77,MATCH(B75,$N$20:$N$77,0))),"")))</f>
        <v/>
      </c>
      <c r="F75" s="42" t="str">
        <f t="shared" si="0"/>
        <v/>
      </c>
      <c r="H75" s="192"/>
      <c r="I75" s="214" t="str">
        <f>IFERROR(VLOOKUP(H75,$B$3:$F$62,5,FALSE),"")</f>
        <v/>
      </c>
      <c r="J75" s="191"/>
      <c r="L75" s="56"/>
      <c r="M75" s="56"/>
      <c r="N75" s="56"/>
      <c r="O75" s="56"/>
      <c r="P75" s="125"/>
      <c r="Q75" s="126"/>
      <c r="R75" s="56"/>
    </row>
    <row r="76" spans="2:18" s="1" customFormat="1" x14ac:dyDescent="0.3">
      <c r="B76" s="40"/>
      <c r="C76" s="41"/>
      <c r="D76" s="42"/>
      <c r="E76" s="24" t="str">
        <f>IF(IF(B76="MDZ140R","",IFERROR((SUMIF($B$3:$B$65,"MDZ140R",$F$3:$F$65)*INDEX($Q$20:$Q$77,MATCH(B76,$N$20:$N$77,0))),""))=0,"",IF(B76="MDZ140R","",IFERROR((SUMIF($B$3:$B$65,"MDZ140R",$F$3:$F$65)*INDEX($Q$20:$Q$77,MATCH(B76,$N$20:$N$77,0))),"")))</f>
        <v/>
      </c>
      <c r="F76" s="42" t="str">
        <f t="shared" si="0"/>
        <v/>
      </c>
      <c r="H76" s="192"/>
      <c r="I76" s="214" t="str">
        <f>IFERROR(VLOOKUP(H76,$B$3:$F$62,5,FALSE),"")</f>
        <v/>
      </c>
      <c r="J76" s="207"/>
      <c r="L76" s="56"/>
      <c r="M76" s="56"/>
      <c r="N76" s="56"/>
      <c r="O76" s="56"/>
      <c r="P76" s="125"/>
      <c r="Q76" s="126"/>
      <c r="R76" s="56"/>
    </row>
    <row r="77" spans="2:18" s="1" customFormat="1" x14ac:dyDescent="0.3">
      <c r="B77" s="40"/>
      <c r="C77" s="41"/>
      <c r="D77" s="42"/>
      <c r="E77" s="24" t="str">
        <f>IF(IF(B77="MDZ140R","",IFERROR((SUMIF($B$3:$B$65,"MDZ140R",$F$3:$F$65)*INDEX($Q$20:$Q$77,MATCH(B77,$N$20:$N$77,0))),""))=0,"",IF(B77="MDZ140R","",IFERROR((SUMIF($B$3:$B$65,"MDZ140R",$F$3:$F$65)*INDEX($Q$20:$Q$77,MATCH(B77,$N$20:$N$77,0))),"")))</f>
        <v/>
      </c>
      <c r="F77" s="42" t="str">
        <f t="shared" si="0"/>
        <v/>
      </c>
      <c r="H77" s="189" t="s">
        <v>73</v>
      </c>
      <c r="I77" s="214"/>
      <c r="J77" s="191">
        <f>SUM(I77:I91)</f>
        <v>2.2454943749999998</v>
      </c>
      <c r="L77" s="56"/>
      <c r="M77" s="56"/>
      <c r="N77" s="56"/>
      <c r="O77" s="56"/>
      <c r="P77" s="125"/>
      <c r="Q77" s="126"/>
      <c r="R77" s="56"/>
    </row>
    <row r="78" spans="2:18" s="1" customFormat="1" x14ac:dyDescent="0.3">
      <c r="H78" s="196" t="s">
        <v>44</v>
      </c>
      <c r="I78" s="215">
        <v>2.25875E-2</v>
      </c>
      <c r="J78" s="201"/>
      <c r="L78" s="56"/>
      <c r="M78" s="56"/>
      <c r="N78" s="56"/>
      <c r="O78" s="59" t="s">
        <v>3</v>
      </c>
      <c r="P78" s="131">
        <f>SUM(P20:P33)</f>
        <v>182</v>
      </c>
      <c r="Q78" s="131">
        <f>SUM(Q20:Q33)</f>
        <v>0.994533</v>
      </c>
      <c r="R78" s="59">
        <v>0</v>
      </c>
    </row>
    <row r="79" spans="2:18" x14ac:dyDescent="0.3">
      <c r="H79" s="196" t="s">
        <v>38</v>
      </c>
      <c r="I79" s="211">
        <v>5.646875E-3</v>
      </c>
      <c r="J79" s="201"/>
    </row>
    <row r="80" spans="2:18" x14ac:dyDescent="0.3">
      <c r="H80" s="196" t="s">
        <v>9</v>
      </c>
      <c r="I80" s="214">
        <f>IFERROR(VLOOKUP(H80,$B$3:$F$62,5,FALSE),"")</f>
        <v>0.20330000000000001</v>
      </c>
      <c r="J80" s="201"/>
    </row>
    <row r="81" spans="8:12" x14ac:dyDescent="0.3">
      <c r="H81" s="196" t="s">
        <v>119</v>
      </c>
      <c r="I81" s="214">
        <f>IFERROR(VLOOKUP(H81,$B$3:$F$62,5,FALSE),"")</f>
        <v>0.46700000000000003</v>
      </c>
      <c r="J81" s="201"/>
    </row>
    <row r="82" spans="8:12" x14ac:dyDescent="0.3">
      <c r="H82" s="196" t="s">
        <v>133</v>
      </c>
      <c r="I82" s="214">
        <f>IFERROR(VLOOKUP(H82,$B$3:$F$62,5,FALSE),"")</f>
        <v>0.64649999999999996</v>
      </c>
      <c r="J82" s="201"/>
      <c r="L82" s="87">
        <f xml:space="preserve"> 0.179056 * 0.2</f>
        <v>3.5811200000000001E-2</v>
      </c>
    </row>
    <row r="83" spans="8:12" x14ac:dyDescent="0.3">
      <c r="H83" s="196" t="s">
        <v>147</v>
      </c>
      <c r="I83" s="214">
        <v>0.41376000000000002</v>
      </c>
      <c r="J83" s="201"/>
    </row>
    <row r="84" spans="8:12" x14ac:dyDescent="0.3">
      <c r="H84" s="196" t="s">
        <v>148</v>
      </c>
      <c r="I84" s="214" t="str">
        <f>IFERROR(VLOOKUP(H84,$B$3:$F$62,5,FALSE),"")</f>
        <v/>
      </c>
      <c r="J84" s="201"/>
    </row>
    <row r="85" spans="8:12" x14ac:dyDescent="0.3">
      <c r="H85" s="196" t="s">
        <v>11</v>
      </c>
      <c r="I85" s="214">
        <f>IFERROR(VLOOKUP(H85,$B$3:$F$62,5,FALSE),"")</f>
        <v>0.1191</v>
      </c>
      <c r="J85" s="201"/>
    </row>
    <row r="86" spans="8:12" x14ac:dyDescent="0.3">
      <c r="H86" s="196" t="s">
        <v>149</v>
      </c>
      <c r="I86" s="214" t="str">
        <f>IFERROR(VLOOKUP(H86,$B$3:$F$62,5,FALSE),"")</f>
        <v/>
      </c>
      <c r="J86" s="201"/>
    </row>
    <row r="87" spans="8:12" x14ac:dyDescent="0.3">
      <c r="H87" s="196" t="s">
        <v>121</v>
      </c>
      <c r="I87" s="214">
        <f>IFERROR(VLOOKUP(H87,$B$3:$F$62,5,FALSE),"")</f>
        <v>0.36759999999999998</v>
      </c>
      <c r="J87" s="201"/>
    </row>
    <row r="88" spans="8:12" x14ac:dyDescent="0.3">
      <c r="H88" s="196" t="s">
        <v>150</v>
      </c>
      <c r="I88" s="214" t="str">
        <f>IFERROR(VLOOKUP(H88,$B$3:$F$62,5,FALSE),"")</f>
        <v/>
      </c>
      <c r="J88" s="191"/>
    </row>
    <row r="89" spans="8:12" x14ac:dyDescent="0.3">
      <c r="H89" s="196"/>
      <c r="I89" s="214" t="str">
        <f>IFERROR(VLOOKUP(H89,$B$3:$F$62,5,FALSE),"")</f>
        <v/>
      </c>
      <c r="J89" s="201"/>
    </row>
    <row r="90" spans="8:12" x14ac:dyDescent="0.3">
      <c r="H90" s="196"/>
      <c r="I90" s="214" t="str">
        <f>IFERROR(VLOOKUP(H90,$B$3:$F$62,5,FALSE),"")</f>
        <v/>
      </c>
      <c r="J90" s="201"/>
    </row>
    <row r="91" spans="8:12" x14ac:dyDescent="0.3">
      <c r="H91" s="196"/>
      <c r="I91" s="214" t="str">
        <f>IFERROR(VLOOKUP(H91,$B$3:$F$62,5,FALSE),"")</f>
        <v/>
      </c>
      <c r="J91" s="201"/>
    </row>
    <row r="92" spans="8:12" x14ac:dyDescent="0.3">
      <c r="H92" s="200" t="s">
        <v>74</v>
      </c>
      <c r="I92" s="214" t="str">
        <f>IFERROR(VLOOKUP(H92,$B$3:$F$62,5,FALSE),"")</f>
        <v/>
      </c>
      <c r="J92" s="201">
        <f>SUM(I92:I96)</f>
        <v>5.646875E-3</v>
      </c>
    </row>
    <row r="93" spans="8:12" s="175" customFormat="1" x14ac:dyDescent="0.3">
      <c r="H93" s="176" t="s">
        <v>438</v>
      </c>
      <c r="I93" s="217">
        <v>5.646875E-3</v>
      </c>
      <c r="J93" s="177"/>
    </row>
    <row r="94" spans="8:12" x14ac:dyDescent="0.3">
      <c r="H94" s="196"/>
      <c r="I94" s="214"/>
      <c r="J94" s="208"/>
    </row>
    <row r="95" spans="8:12" x14ac:dyDescent="0.3">
      <c r="H95" s="196"/>
      <c r="I95" s="214"/>
      <c r="J95" s="201"/>
    </row>
    <row r="96" spans="8:12" s="175" customFormat="1" x14ac:dyDescent="0.3">
      <c r="H96" s="196"/>
      <c r="I96" s="214" t="str">
        <f>IFERROR(VLOOKUP(H96,$B$3:$F$62,5,FALSE),"")</f>
        <v/>
      </c>
      <c r="J96" s="201"/>
    </row>
    <row r="97" spans="8:10" x14ac:dyDescent="0.3">
      <c r="H97" s="200" t="s">
        <v>75</v>
      </c>
      <c r="I97" s="214" t="str">
        <f>IFERROR(VLOOKUP(H97,$B$3:$F$62,5,FALSE),"")</f>
        <v/>
      </c>
      <c r="J97" s="201">
        <f>SUM(I97:I103)</f>
        <v>0.69840000000000002</v>
      </c>
    </row>
    <row r="98" spans="8:10" x14ac:dyDescent="0.3">
      <c r="H98" s="196" t="s">
        <v>215</v>
      </c>
      <c r="I98" s="214" t="str">
        <f>IFERROR(VLOOKUP(H98,$B$3:$F$62,5,FALSE),"")</f>
        <v/>
      </c>
      <c r="J98" s="201"/>
    </row>
    <row r="99" spans="8:10" x14ac:dyDescent="0.3">
      <c r="H99" s="196" t="s">
        <v>151</v>
      </c>
      <c r="I99" s="211">
        <v>0.46560000000000001</v>
      </c>
      <c r="J99" s="201"/>
    </row>
    <row r="100" spans="8:10" x14ac:dyDescent="0.3">
      <c r="H100" s="196" t="s">
        <v>14</v>
      </c>
      <c r="I100" s="214">
        <v>0.23280000000000001</v>
      </c>
      <c r="J100" s="201"/>
    </row>
    <row r="101" spans="8:10" x14ac:dyDescent="0.3">
      <c r="H101" s="196" t="s">
        <v>152</v>
      </c>
      <c r="I101" s="214" t="str">
        <f>IFERROR(VLOOKUP(H101,$B$3:$F$62,5,FALSE),"")</f>
        <v/>
      </c>
      <c r="J101" s="201"/>
    </row>
    <row r="102" spans="8:10" x14ac:dyDescent="0.3">
      <c r="H102" s="196" t="s">
        <v>211</v>
      </c>
      <c r="I102" s="214" t="str">
        <f>IFERROR(VLOOKUP(H102,$B$3:$F$62,5,FALSE),"")</f>
        <v/>
      </c>
      <c r="J102" s="201"/>
    </row>
    <row r="103" spans="8:10" x14ac:dyDescent="0.3">
      <c r="H103" s="196" t="s">
        <v>212</v>
      </c>
      <c r="I103" s="214" t="str">
        <f>IFERROR(VLOOKUP(H103,$B$3:$F$62,5,FALSE),"")</f>
        <v/>
      </c>
      <c r="J103" s="201"/>
    </row>
    <row r="104" spans="8:10" x14ac:dyDescent="0.3">
      <c r="H104" s="200" t="s">
        <v>76</v>
      </c>
      <c r="I104" s="214" t="str">
        <f>IFERROR(VLOOKUP(H104,$B$3:$F$62,5,FALSE),"")</f>
        <v/>
      </c>
      <c r="J104" s="201">
        <f>SUM(I104:I108)</f>
        <v>0</v>
      </c>
    </row>
    <row r="105" spans="8:10" x14ac:dyDescent="0.3">
      <c r="H105" s="196"/>
      <c r="I105" s="214"/>
      <c r="J105" s="208"/>
    </row>
    <row r="106" spans="8:10" x14ac:dyDescent="0.3">
      <c r="H106" s="196"/>
      <c r="I106" s="214"/>
      <c r="J106" s="201"/>
    </row>
    <row r="107" spans="8:10" s="175" customFormat="1" x14ac:dyDescent="0.3">
      <c r="H107" s="196"/>
      <c r="I107" s="214"/>
      <c r="J107" s="201"/>
    </row>
    <row r="108" spans="8:10" x14ac:dyDescent="0.3">
      <c r="H108" s="196"/>
      <c r="I108" s="214" t="str">
        <f>IFERROR(VLOOKUP(H108,$B$3:$F$62,5,FALSE),"")</f>
        <v/>
      </c>
      <c r="J108" s="201"/>
    </row>
    <row r="109" spans="8:10" x14ac:dyDescent="0.3">
      <c r="H109" s="200" t="s">
        <v>78</v>
      </c>
      <c r="I109" s="214" t="str">
        <f>IFERROR(VLOOKUP(H109,$B$3:$F$62,5,FALSE),"")</f>
        <v/>
      </c>
      <c r="J109" s="201">
        <f>SUM(I109:I115)</f>
        <v>0.28610000000000002</v>
      </c>
    </row>
    <row r="110" spans="8:10" s="175" customFormat="1" x14ac:dyDescent="0.3">
      <c r="H110" s="176" t="s">
        <v>337</v>
      </c>
      <c r="I110" s="218">
        <v>0.28610000000000002</v>
      </c>
      <c r="J110" s="177"/>
    </row>
    <row r="111" spans="8:10" x14ac:dyDescent="0.3">
      <c r="H111" s="196"/>
      <c r="I111" s="214" t="str">
        <f>IFERROR(VLOOKUP(H111,$B$3:$F$62,5,FALSE),"")</f>
        <v/>
      </c>
      <c r="J111" s="208"/>
    </row>
    <row r="112" spans="8:10" x14ac:dyDescent="0.3">
      <c r="H112" s="196"/>
      <c r="I112" s="214"/>
      <c r="J112" s="208"/>
    </row>
    <row r="113" spans="8:10" x14ac:dyDescent="0.3">
      <c r="H113" s="196"/>
      <c r="I113" s="214" t="str">
        <f>IFERROR(VLOOKUP(H113,$B$3:$F$62,5,FALSE),"")</f>
        <v/>
      </c>
      <c r="J113" s="208"/>
    </row>
    <row r="114" spans="8:10" s="175" customFormat="1" x14ac:dyDescent="0.3">
      <c r="H114" s="196"/>
      <c r="I114" s="214" t="str">
        <f>IFERROR(VLOOKUP(H114,$B$3:$F$62,5,FALSE),"")</f>
        <v/>
      </c>
      <c r="J114" s="201"/>
    </row>
    <row r="115" spans="8:10" x14ac:dyDescent="0.3">
      <c r="H115" s="196"/>
      <c r="I115" s="214" t="str">
        <f>IFERROR(VLOOKUP(H115,$B$3:$F$62,5,FALSE),"")</f>
        <v/>
      </c>
      <c r="J115" s="201"/>
    </row>
    <row r="116" spans="8:10" x14ac:dyDescent="0.3">
      <c r="H116" s="200" t="s">
        <v>77</v>
      </c>
      <c r="I116" s="214" t="str">
        <f>IFERROR(VLOOKUP(H116,$B$3:$F$62,5,FALSE),"")</f>
        <v/>
      </c>
      <c r="J116" s="201">
        <f>SUM(I116:I164)</f>
        <v>13.870999999999997</v>
      </c>
    </row>
    <row r="117" spans="8:10" x14ac:dyDescent="0.3">
      <c r="H117" s="196" t="s">
        <v>60</v>
      </c>
      <c r="I117" s="211">
        <v>0.28610000000000002</v>
      </c>
      <c r="J117" s="201"/>
    </row>
    <row r="118" spans="8:10" x14ac:dyDescent="0.3">
      <c r="H118" s="196" t="s">
        <v>153</v>
      </c>
      <c r="I118" s="214" t="str">
        <f>IFERROR(VLOOKUP(H118,$B$3:$F$62,5,FALSE),"")</f>
        <v/>
      </c>
      <c r="J118" s="201"/>
    </row>
    <row r="119" spans="8:10" x14ac:dyDescent="0.3">
      <c r="H119" s="196" t="s">
        <v>154</v>
      </c>
      <c r="I119" s="214" t="str">
        <f>IFERROR(VLOOKUP(H119,$B$3:$F$62,5,FALSE),"")</f>
        <v/>
      </c>
      <c r="J119" s="201"/>
    </row>
    <row r="120" spans="8:10" x14ac:dyDescent="0.3">
      <c r="H120" s="196" t="s">
        <v>114</v>
      </c>
      <c r="I120" s="214">
        <f>IFERROR(VLOOKUP(H120,$B$3:$F$62,5,FALSE),"")</f>
        <v>0.80359999999999998</v>
      </c>
      <c r="J120" s="201"/>
    </row>
    <row r="121" spans="8:10" x14ac:dyDescent="0.3">
      <c r="H121" s="196" t="s">
        <v>116</v>
      </c>
      <c r="I121" s="214">
        <f>IFERROR(VLOOKUP(H121,$B$3:$F$62,5,FALSE),"")</f>
        <v>0.89659999999999995</v>
      </c>
      <c r="J121" s="200"/>
    </row>
    <row r="122" spans="8:10" x14ac:dyDescent="0.3">
      <c r="H122" s="196" t="s">
        <v>62</v>
      </c>
      <c r="I122" s="214">
        <f>IFERROR(VLOOKUP(H122,$B$3:$F$62,5,FALSE),"")</f>
        <v>0.29099999999999998</v>
      </c>
      <c r="J122" s="200"/>
    </row>
    <row r="123" spans="8:10" x14ac:dyDescent="0.3">
      <c r="H123" s="196" t="s">
        <v>48</v>
      </c>
      <c r="I123" s="214">
        <f>IFERROR(VLOOKUP(H123,$B$3:$F$62,5,FALSE),"")</f>
        <v>7.1800000000000003E-2</v>
      </c>
      <c r="J123" s="200"/>
    </row>
    <row r="124" spans="8:10" x14ac:dyDescent="0.3">
      <c r="H124" s="196" t="s">
        <v>63</v>
      </c>
      <c r="I124" s="214">
        <f>IFERROR(VLOOKUP(H124,$B$3:$F$62,5,FALSE),"")</f>
        <v>9.3600000000000003E-2</v>
      </c>
      <c r="J124" s="200"/>
    </row>
    <row r="125" spans="8:10" x14ac:dyDescent="0.3">
      <c r="H125" s="196" t="s">
        <v>131</v>
      </c>
      <c r="I125" s="214">
        <f>IFERROR(VLOOKUP(H125,$B$3:$F$62,5,FALSE),"")</f>
        <v>0.98089999999999999</v>
      </c>
      <c r="J125" s="200"/>
    </row>
    <row r="126" spans="8:10" x14ac:dyDescent="0.3">
      <c r="H126" s="196" t="s">
        <v>155</v>
      </c>
      <c r="I126" s="214" t="str">
        <f>IFERROR(VLOOKUP(H126,$B$3:$F$62,5,FALSE),"")</f>
        <v/>
      </c>
      <c r="J126" s="200"/>
    </row>
    <row r="127" spans="8:10" x14ac:dyDescent="0.3">
      <c r="H127" s="196" t="s">
        <v>156</v>
      </c>
      <c r="I127" s="214" t="str">
        <f>IFERROR(VLOOKUP(H127,$B$3:$F$62,5,FALSE),"")</f>
        <v/>
      </c>
      <c r="J127" s="200"/>
    </row>
    <row r="128" spans="8:10" x14ac:dyDescent="0.3">
      <c r="H128" s="196" t="s">
        <v>64</v>
      </c>
      <c r="I128" s="214">
        <f>IFERROR(VLOOKUP(H128,$B$3:$F$62,5,FALSE),"")</f>
        <v>0.77470000000000006</v>
      </c>
      <c r="J128" s="200"/>
    </row>
    <row r="129" spans="8:10" x14ac:dyDescent="0.3">
      <c r="H129" s="196" t="s">
        <v>24</v>
      </c>
      <c r="I129" s="214">
        <f>IFERROR(VLOOKUP(H129,$B$3:$F$62,5,FALSE),"")</f>
        <v>0.41470000000000001</v>
      </c>
      <c r="J129" s="200"/>
    </row>
    <row r="130" spans="8:10" x14ac:dyDescent="0.3">
      <c r="H130" s="196" t="s">
        <v>34</v>
      </c>
      <c r="I130" s="214">
        <f>IFERROR(VLOOKUP(H130,$B$3:$F$62,5,FALSE),"")</f>
        <v>0.52310000000000001</v>
      </c>
      <c r="J130" s="200"/>
    </row>
    <row r="131" spans="8:10" x14ac:dyDescent="0.3">
      <c r="H131" s="196" t="s">
        <v>157</v>
      </c>
      <c r="I131" s="214" t="str">
        <f>IFERROR(VLOOKUP(H131,$B$3:$F$62,5,FALSE),"")</f>
        <v/>
      </c>
      <c r="J131" s="200"/>
    </row>
    <row r="132" spans="8:10" x14ac:dyDescent="0.3">
      <c r="H132" s="196" t="s">
        <v>158</v>
      </c>
      <c r="I132" s="214" t="str">
        <f>IFERROR(VLOOKUP(H132,$B$3:$F$62,5,FALSE),"")</f>
        <v/>
      </c>
      <c r="J132" s="200"/>
    </row>
    <row r="133" spans="8:10" x14ac:dyDescent="0.3">
      <c r="H133" s="196" t="s">
        <v>159</v>
      </c>
      <c r="I133" s="214" t="str">
        <f>IFERROR(VLOOKUP(H133,$B$3:$F$62,5,FALSE),"")</f>
        <v/>
      </c>
      <c r="J133" s="200"/>
    </row>
    <row r="134" spans="8:10" x14ac:dyDescent="0.3">
      <c r="H134" s="196" t="s">
        <v>160</v>
      </c>
      <c r="I134" s="214" t="str">
        <f>IFERROR(VLOOKUP(H134,$B$3:$F$62,5,FALSE),"")</f>
        <v/>
      </c>
      <c r="J134" s="200"/>
    </row>
    <row r="135" spans="8:10" x14ac:dyDescent="0.3">
      <c r="H135" s="196" t="s">
        <v>50</v>
      </c>
      <c r="I135" s="214">
        <f>IFERROR(VLOOKUP(H135,$B$3:$F$62,5,FALSE),"")</f>
        <v>4.8500000000000001E-2</v>
      </c>
      <c r="J135" s="200"/>
    </row>
    <row r="136" spans="8:10" x14ac:dyDescent="0.3">
      <c r="H136" s="196" t="s">
        <v>161</v>
      </c>
      <c r="I136" s="214" t="str">
        <f>IFERROR(VLOOKUP(H136,$B$3:$F$62,5,FALSE),"")</f>
        <v/>
      </c>
      <c r="J136" s="200"/>
    </row>
    <row r="137" spans="8:10" x14ac:dyDescent="0.3">
      <c r="H137" s="196" t="s">
        <v>162</v>
      </c>
      <c r="I137" s="214" t="str">
        <f>IFERROR(VLOOKUP(H137,$B$3:$F$62,5,FALSE),"")</f>
        <v/>
      </c>
      <c r="J137" s="200"/>
    </row>
    <row r="138" spans="8:10" x14ac:dyDescent="0.3">
      <c r="H138" s="196" t="s">
        <v>7</v>
      </c>
      <c r="I138" s="214">
        <f>IFERROR(VLOOKUP(H138,$B$3:$F$62,5,FALSE),"")</f>
        <v>7.2099999999999997E-2</v>
      </c>
      <c r="J138" s="200"/>
    </row>
    <row r="139" spans="8:10" x14ac:dyDescent="0.3">
      <c r="H139" s="196" t="s">
        <v>27</v>
      </c>
      <c r="I139" s="214">
        <f>IFERROR(VLOOKUP(H139,$B$3:$F$62,5,FALSE),"")</f>
        <v>0.3967</v>
      </c>
      <c r="J139" s="200"/>
    </row>
    <row r="140" spans="8:10" x14ac:dyDescent="0.3">
      <c r="H140" s="196" t="s">
        <v>163</v>
      </c>
      <c r="I140" s="214" t="str">
        <f>IFERROR(VLOOKUP(H140,$B$3:$F$62,5,FALSE),"")</f>
        <v/>
      </c>
      <c r="J140" s="200"/>
    </row>
    <row r="141" spans="8:10" x14ac:dyDescent="0.3">
      <c r="H141" s="196" t="s">
        <v>164</v>
      </c>
      <c r="I141" s="214" t="str">
        <f>IFERROR(VLOOKUP(H141,$B$3:$F$62,5,FALSE),"")</f>
        <v/>
      </c>
      <c r="J141" s="200"/>
    </row>
    <row r="142" spans="8:10" x14ac:dyDescent="0.3">
      <c r="H142" s="196" t="s">
        <v>165</v>
      </c>
      <c r="I142" s="214" t="str">
        <f>IFERROR(VLOOKUP(H142,$B$3:$F$62,5,FALSE),"")</f>
        <v/>
      </c>
      <c r="J142" s="200"/>
    </row>
    <row r="143" spans="8:10" x14ac:dyDescent="0.3">
      <c r="H143" s="196" t="s">
        <v>166</v>
      </c>
      <c r="I143" s="214" t="str">
        <f>IFERROR(VLOOKUP(H143,$B$3:$F$62,5,FALSE),"")</f>
        <v/>
      </c>
      <c r="J143" s="200"/>
    </row>
    <row r="144" spans="8:10" x14ac:dyDescent="0.3">
      <c r="H144" s="196" t="s">
        <v>135</v>
      </c>
      <c r="I144" s="214">
        <f>IFERROR(VLOOKUP(H144,$B$3:$F$62,5,FALSE),"")</f>
        <v>0.90029999999999999</v>
      </c>
      <c r="J144" s="200"/>
    </row>
    <row r="145" spans="8:10" x14ac:dyDescent="0.3">
      <c r="H145" s="196" t="s">
        <v>123</v>
      </c>
      <c r="I145" s="214">
        <f>IFERROR(VLOOKUP(H145,$B$3:$F$62,5,FALSE),"")</f>
        <v>0.37890000000000001</v>
      </c>
      <c r="J145" s="200"/>
    </row>
    <row r="146" spans="8:10" x14ac:dyDescent="0.3">
      <c r="H146" s="196" t="s">
        <v>125</v>
      </c>
      <c r="I146" s="214">
        <f>IFERROR(VLOOKUP(H146,$B$3:$F$62,5,FALSE),"")</f>
        <v>0.90859999999999996</v>
      </c>
      <c r="J146" s="200"/>
    </row>
    <row r="147" spans="8:10" x14ac:dyDescent="0.3">
      <c r="H147" s="196" t="s">
        <v>167</v>
      </c>
      <c r="I147" s="214" t="str">
        <f>IFERROR(VLOOKUP(H147,$B$3:$F$62,5,FALSE),"")</f>
        <v/>
      </c>
      <c r="J147" s="200"/>
    </row>
    <row r="148" spans="8:10" x14ac:dyDescent="0.3">
      <c r="H148" s="196" t="s">
        <v>65</v>
      </c>
      <c r="I148" s="214">
        <f>IFERROR(VLOOKUP(H148,$B$3:$F$62,5,FALSE),"")</f>
        <v>0.7137</v>
      </c>
      <c r="J148" s="200"/>
    </row>
    <row r="149" spans="8:10" x14ac:dyDescent="0.3">
      <c r="H149" s="196" t="s">
        <v>41</v>
      </c>
      <c r="I149" s="214">
        <f>IFERROR(VLOOKUP(H149,$B$3:$F$62,5,FALSE),"")</f>
        <v>0.84079999999999999</v>
      </c>
      <c r="J149" s="200"/>
    </row>
    <row r="150" spans="8:10" x14ac:dyDescent="0.3">
      <c r="H150" s="196" t="s">
        <v>42</v>
      </c>
      <c r="I150" s="214">
        <f>IFERROR(VLOOKUP(H150,$B$3:$F$62,5,FALSE),"")</f>
        <v>0.77139999999999997</v>
      </c>
      <c r="J150" s="200"/>
    </row>
    <row r="151" spans="8:10" x14ac:dyDescent="0.3">
      <c r="H151" s="196" t="s">
        <v>29</v>
      </c>
      <c r="I151" s="214">
        <f>IFERROR(VLOOKUP(H151,$B$3:$F$62,5,FALSE),"")</f>
        <v>0.82340000000000002</v>
      </c>
      <c r="J151" s="200"/>
    </row>
    <row r="152" spans="8:10" x14ac:dyDescent="0.3">
      <c r="H152" s="196" t="s">
        <v>16</v>
      </c>
      <c r="I152" s="214">
        <f>IFERROR(VLOOKUP(H152,$B$3:$F$62,5,FALSE),"")</f>
        <v>0.68889999999999996</v>
      </c>
      <c r="J152" s="200"/>
    </row>
    <row r="153" spans="8:10" x14ac:dyDescent="0.3">
      <c r="H153" s="196" t="s">
        <v>168</v>
      </c>
      <c r="I153" s="214" t="str">
        <f>IFERROR(VLOOKUP(H153,$B$3:$F$62,5,FALSE),"")</f>
        <v/>
      </c>
      <c r="J153" s="200"/>
    </row>
    <row r="154" spans="8:10" x14ac:dyDescent="0.3">
      <c r="H154" s="196" t="s">
        <v>18</v>
      </c>
      <c r="I154" s="214">
        <f>IFERROR(VLOOKUP(H154,$B$3:$F$62,5,FALSE),"")</f>
        <v>0.43140000000000001</v>
      </c>
      <c r="J154" s="200"/>
    </row>
    <row r="155" spans="8:10" x14ac:dyDescent="0.3">
      <c r="H155" s="196" t="s">
        <v>45</v>
      </c>
      <c r="I155" s="214">
        <f>IFERROR(VLOOKUP(H155,$B$3:$F$62,5,FALSE),"")</f>
        <v>0.80269999999999997</v>
      </c>
      <c r="J155" s="200"/>
    </row>
    <row r="156" spans="8:10" x14ac:dyDescent="0.3">
      <c r="H156" s="196" t="s">
        <v>53</v>
      </c>
      <c r="I156" s="214" t="str">
        <f>IFERROR(VLOOKUP(H156,$B$3:$F$62,5,FALSE),"")</f>
        <v/>
      </c>
      <c r="J156" s="200"/>
    </row>
    <row r="157" spans="8:10" x14ac:dyDescent="0.3">
      <c r="H157" s="196" t="s">
        <v>187</v>
      </c>
      <c r="I157" s="214" t="str">
        <f>IFERROR(VLOOKUP(H157,$B$3:$F$62,5,FALSE),"")</f>
        <v/>
      </c>
      <c r="J157" s="200"/>
    </row>
    <row r="158" spans="8:10" x14ac:dyDescent="0.3">
      <c r="H158" s="196" t="s">
        <v>52</v>
      </c>
      <c r="I158" s="214">
        <f>IFERROR(VLOOKUP(H158,$B$3:$F$62,5,FALSE),"")</f>
        <v>0.34699999999999998</v>
      </c>
      <c r="J158" s="200"/>
    </row>
    <row r="159" spans="8:10" x14ac:dyDescent="0.3">
      <c r="H159" s="196" t="s">
        <v>55</v>
      </c>
      <c r="I159" s="214">
        <f>IFERROR(VLOOKUP(H159,$B$3:$F$62,5,FALSE),"")</f>
        <v>0.61050000000000004</v>
      </c>
      <c r="J159" s="200"/>
    </row>
    <row r="160" spans="8:10" x14ac:dyDescent="0.3">
      <c r="H160" s="196" t="s">
        <v>169</v>
      </c>
      <c r="I160" s="214" t="str">
        <f>IFERROR(VLOOKUP(H160,$B$3:$F$62,5,FALSE),"")</f>
        <v/>
      </c>
      <c r="J160" s="200"/>
    </row>
    <row r="161" spans="8:12" x14ac:dyDescent="0.3">
      <c r="H161" s="196" t="s">
        <v>213</v>
      </c>
      <c r="I161" s="214" t="str">
        <f>IFERROR(VLOOKUP(H161,$B$3:$F$62,5,FALSE),"")</f>
        <v/>
      </c>
      <c r="J161" s="200"/>
    </row>
    <row r="162" spans="8:12" x14ac:dyDescent="0.3">
      <c r="H162" s="196" t="s">
        <v>214</v>
      </c>
      <c r="I162" s="214" t="str">
        <f>IFERROR(VLOOKUP(H162,$B$3:$F$62,5,FALSE),"")</f>
        <v/>
      </c>
      <c r="J162" s="200"/>
    </row>
    <row r="163" spans="8:12" x14ac:dyDescent="0.3">
      <c r="H163" s="196"/>
      <c r="I163" s="214" t="str">
        <f>IFERROR(VLOOKUP(H163,$B$3:$F$62,5,FALSE),"")</f>
        <v/>
      </c>
      <c r="J163" s="200"/>
    </row>
    <row r="164" spans="8:12" x14ac:dyDescent="0.3">
      <c r="H164" s="196"/>
      <c r="I164" s="214" t="str">
        <f>IFERROR(VLOOKUP(H164,$B$3:$F$62,5,FALSE),"")</f>
        <v/>
      </c>
      <c r="J164" s="200"/>
    </row>
    <row r="165" spans="8:12" x14ac:dyDescent="0.3">
      <c r="H165" s="200" t="s">
        <v>79</v>
      </c>
      <c r="I165" s="214" t="str">
        <f>IFERROR(VLOOKUP(H165,$B$3:$F$62,5,FALSE),"")</f>
        <v/>
      </c>
      <c r="J165" s="209">
        <f>SUM(I165:I194)</f>
        <v>2.0034999999999998</v>
      </c>
    </row>
    <row r="166" spans="8:12" x14ac:dyDescent="0.3">
      <c r="H166" s="196" t="s">
        <v>170</v>
      </c>
      <c r="I166" s="214" t="str">
        <f>IFERROR(VLOOKUP(H166,$B$3:$F$62,5,FALSE),"")</f>
        <v/>
      </c>
      <c r="J166" s="200"/>
    </row>
    <row r="167" spans="8:12" x14ac:dyDescent="0.3">
      <c r="H167" s="196" t="s">
        <v>143</v>
      </c>
      <c r="I167" s="214" t="str">
        <f>IFERROR(VLOOKUP(H167,$B$3:$F$62,5,FALSE),"")</f>
        <v/>
      </c>
      <c r="J167" s="200"/>
    </row>
    <row r="168" spans="8:12" x14ac:dyDescent="0.3">
      <c r="H168" s="196" t="s">
        <v>171</v>
      </c>
      <c r="I168" s="214" t="str">
        <f>IFERROR(VLOOKUP(H168,$B$3:$F$62,5,FALSE),"")</f>
        <v/>
      </c>
      <c r="J168" s="200"/>
    </row>
    <row r="169" spans="8:12" x14ac:dyDescent="0.3">
      <c r="H169" s="196" t="s">
        <v>141</v>
      </c>
      <c r="I169" s="214">
        <f>IFERROR(VLOOKUP(H169,$B$3:$F$62,5,FALSE),"")</f>
        <v>0.55830000000000002</v>
      </c>
      <c r="J169" s="200"/>
    </row>
    <row r="170" spans="8:12" x14ac:dyDescent="0.3">
      <c r="H170" s="196" t="s">
        <v>172</v>
      </c>
      <c r="I170" s="214" t="str">
        <f>IFERROR(VLOOKUP(H170,$B$3:$F$62,5,FALSE),"")</f>
        <v/>
      </c>
      <c r="J170" s="200"/>
    </row>
    <row r="171" spans="8:12" x14ac:dyDescent="0.3">
      <c r="H171" s="196" t="s">
        <v>173</v>
      </c>
      <c r="I171" s="214" t="str">
        <f>IFERROR(VLOOKUP(H171,$B$3:$F$62,5,FALSE),"")</f>
        <v/>
      </c>
      <c r="J171" s="200"/>
    </row>
    <row r="172" spans="8:12" x14ac:dyDescent="0.3">
      <c r="H172" s="196" t="s">
        <v>174</v>
      </c>
      <c r="I172" s="214" t="str">
        <f>IFERROR(VLOOKUP(H172,$B$3:$F$62,5,FALSE),"")</f>
        <v/>
      </c>
      <c r="J172" s="200"/>
    </row>
    <row r="173" spans="8:12" x14ac:dyDescent="0.3">
      <c r="H173" s="196" t="s">
        <v>175</v>
      </c>
      <c r="I173" s="214" t="str">
        <f>IFERROR(VLOOKUP(H173,$B$3:$F$62,5,FALSE),"")</f>
        <v/>
      </c>
      <c r="J173" s="200"/>
      <c r="L173">
        <f>0.925*0.2</f>
        <v>0.18500000000000003</v>
      </c>
    </row>
    <row r="174" spans="8:12" x14ac:dyDescent="0.3">
      <c r="H174" s="196" t="s">
        <v>176</v>
      </c>
      <c r="I174" s="214" t="str">
        <f>IFERROR(VLOOKUP(H174,$B$3:$F$62,5,FALSE),"")</f>
        <v/>
      </c>
      <c r="J174" s="200"/>
    </row>
    <row r="175" spans="8:12" x14ac:dyDescent="0.3">
      <c r="H175" s="196" t="s">
        <v>186</v>
      </c>
      <c r="I175" s="214" t="str">
        <f>IFERROR(VLOOKUP(H175,$B$3:$F$62,5,FALSE),"")</f>
        <v/>
      </c>
      <c r="J175" s="200"/>
    </row>
    <row r="176" spans="8:12" x14ac:dyDescent="0.3">
      <c r="H176" s="196" t="s">
        <v>185</v>
      </c>
      <c r="I176" s="214" t="str">
        <f>IFERROR(VLOOKUP(H176,$B$3:$F$62,5,FALSE),"")</f>
        <v/>
      </c>
      <c r="J176" s="200"/>
    </row>
    <row r="177" spans="8:10" x14ac:dyDescent="0.3">
      <c r="H177" s="196" t="s">
        <v>137</v>
      </c>
      <c r="I177" s="214">
        <f>IFERROR(VLOOKUP(H177,$B$3:$F$62,5,FALSE),"")</f>
        <v>0.98670000000000002</v>
      </c>
      <c r="J177" s="200"/>
    </row>
    <row r="178" spans="8:10" x14ac:dyDescent="0.3">
      <c r="H178" s="196" t="s">
        <v>177</v>
      </c>
      <c r="I178" s="214" t="str">
        <f>IFERROR(VLOOKUP(H178,$B$3:$F$62,5,FALSE),"")</f>
        <v/>
      </c>
      <c r="J178" s="200"/>
    </row>
    <row r="179" spans="8:10" x14ac:dyDescent="0.3">
      <c r="H179" s="196" t="s">
        <v>178</v>
      </c>
      <c r="I179" s="214" t="str">
        <f>IFERROR(VLOOKUP(H179,$B$3:$F$62,5,FALSE),"")</f>
        <v/>
      </c>
      <c r="J179" s="200"/>
    </row>
    <row r="180" spans="8:10" x14ac:dyDescent="0.3">
      <c r="H180" s="196" t="s">
        <v>179</v>
      </c>
      <c r="I180" s="214" t="str">
        <f>IFERROR(VLOOKUP(H180,$B$3:$F$62,5,FALSE),"")</f>
        <v/>
      </c>
      <c r="J180" s="200"/>
    </row>
    <row r="181" spans="8:10" x14ac:dyDescent="0.3">
      <c r="H181" s="196" t="s">
        <v>180</v>
      </c>
      <c r="I181" s="214" t="str">
        <f>IFERROR(VLOOKUP(H181,$B$3:$F$62,5,FALSE),"")</f>
        <v/>
      </c>
      <c r="J181" s="200"/>
    </row>
    <row r="182" spans="8:10" x14ac:dyDescent="0.3">
      <c r="H182" s="196" t="s">
        <v>139</v>
      </c>
      <c r="I182" s="214">
        <f>IFERROR(VLOOKUP(H182,$B$3:$F$62,5,FALSE),"")</f>
        <v>0.45850000000000002</v>
      </c>
      <c r="J182" s="200"/>
    </row>
    <row r="183" spans="8:10" x14ac:dyDescent="0.3">
      <c r="H183" s="196" t="s">
        <v>181</v>
      </c>
      <c r="I183" s="214" t="str">
        <f>IFERROR(VLOOKUP(H183,$B$3:$F$62,5,FALSE),"")</f>
        <v/>
      </c>
      <c r="J183" s="200"/>
    </row>
    <row r="184" spans="8:10" x14ac:dyDescent="0.3">
      <c r="H184" s="196" t="s">
        <v>182</v>
      </c>
      <c r="I184" s="214" t="str">
        <f>IFERROR(VLOOKUP(H184,$B$3:$F$62,5,FALSE),"")</f>
        <v/>
      </c>
      <c r="J184" s="200"/>
    </row>
    <row r="185" spans="8:10" x14ac:dyDescent="0.3">
      <c r="H185" s="196"/>
      <c r="I185" s="214" t="str">
        <f>IFERROR(VLOOKUP(H185,$B$3:$F$62,5,FALSE),"")</f>
        <v/>
      </c>
      <c r="J185" s="200"/>
    </row>
    <row r="186" spans="8:10" x14ac:dyDescent="0.3">
      <c r="H186" s="196"/>
      <c r="I186" s="214" t="str">
        <f>IFERROR(VLOOKUP(H186,$B$3:$F$62,5,FALSE),"")</f>
        <v/>
      </c>
      <c r="J186" s="200"/>
    </row>
    <row r="187" spans="8:10" x14ac:dyDescent="0.3">
      <c r="H187" s="196"/>
      <c r="I187" s="214" t="str">
        <f>IFERROR(VLOOKUP(H187,$B$3:$F$62,5,FALSE),"")</f>
        <v/>
      </c>
      <c r="J187" s="200"/>
    </row>
    <row r="188" spans="8:10" x14ac:dyDescent="0.3">
      <c r="H188" s="196"/>
      <c r="I188" s="214" t="str">
        <f>IFERROR(VLOOKUP(H188,$B$3:$F$62,5,FALSE),"")</f>
        <v/>
      </c>
      <c r="J188" s="200"/>
    </row>
    <row r="189" spans="8:10" x14ac:dyDescent="0.3">
      <c r="H189" s="196"/>
      <c r="I189" s="214" t="str">
        <f>IFERROR(VLOOKUP(H189,$B$3:$F$62,5,FALSE),"")</f>
        <v/>
      </c>
      <c r="J189" s="200"/>
    </row>
    <row r="190" spans="8:10" x14ac:dyDescent="0.3">
      <c r="H190" s="196"/>
      <c r="I190" s="214" t="str">
        <f>IFERROR(VLOOKUP(H190,$B$3:$F$62,5,FALSE),"")</f>
        <v/>
      </c>
      <c r="J190" s="200"/>
    </row>
    <row r="191" spans="8:10" x14ac:dyDescent="0.3">
      <c r="H191" s="196"/>
      <c r="I191" s="214" t="str">
        <f>IFERROR(VLOOKUP(H191,$B$3:$F$62,5,FALSE),"")</f>
        <v/>
      </c>
      <c r="J191" s="200"/>
    </row>
    <row r="192" spans="8:10" x14ac:dyDescent="0.3">
      <c r="H192" s="196"/>
      <c r="I192" s="214" t="str">
        <f>IFERROR(VLOOKUP(H192,$B$3:$F$62,5,FALSE),"")</f>
        <v/>
      </c>
      <c r="J192" s="200"/>
    </row>
    <row r="193" spans="8:10" x14ac:dyDescent="0.3">
      <c r="H193" s="196"/>
      <c r="I193" s="214" t="str">
        <f>IFERROR(VLOOKUP(H193,$B$3:$F$62,5,FALSE),"")</f>
        <v/>
      </c>
      <c r="J193" s="200"/>
    </row>
    <row r="194" spans="8:10" x14ac:dyDescent="0.3">
      <c r="H194" s="196"/>
      <c r="I194" s="214" t="str">
        <f>IFERROR(VLOOKUP(H194,$B$3:$F$62,5,FALSE),"")</f>
        <v/>
      </c>
      <c r="J194" s="200"/>
    </row>
    <row r="195" spans="8:10" x14ac:dyDescent="0.3">
      <c r="H195" s="200" t="s">
        <v>80</v>
      </c>
      <c r="I195" s="214" t="str">
        <f>IFERROR(VLOOKUP(H195,$B$3:$F$62,5,FALSE),"")</f>
        <v/>
      </c>
      <c r="J195" s="209">
        <f>SUM(I195:I205)</f>
        <v>0</v>
      </c>
    </row>
    <row r="196" spans="8:10" x14ac:dyDescent="0.3">
      <c r="H196" s="196"/>
      <c r="I196" s="214" t="str">
        <f>IFERROR(VLOOKUP(H196,$B$3:$F$62,5,FALSE),"")</f>
        <v/>
      </c>
      <c r="J196" s="196"/>
    </row>
    <row r="197" spans="8:10" x14ac:dyDescent="0.3">
      <c r="H197" s="196"/>
      <c r="I197" s="214" t="str">
        <f>IFERROR(VLOOKUP(H197,$B$3:$F$62,5,FALSE),"")</f>
        <v/>
      </c>
      <c r="J197" s="196"/>
    </row>
    <row r="198" spans="8:10" x14ac:dyDescent="0.3">
      <c r="H198" s="196"/>
      <c r="I198" s="214" t="str">
        <f>IFERROR(VLOOKUP(H198,$B$3:$F$62,5,FALSE),"")</f>
        <v/>
      </c>
      <c r="J198" s="196"/>
    </row>
    <row r="199" spans="8:10" x14ac:dyDescent="0.3">
      <c r="H199" s="196"/>
      <c r="I199" s="214" t="str">
        <f>IFERROR(VLOOKUP(H199,$B$3:$F$62,5,FALSE),"")</f>
        <v/>
      </c>
      <c r="J199" s="196"/>
    </row>
    <row r="200" spans="8:10" x14ac:dyDescent="0.3">
      <c r="H200" s="196"/>
      <c r="I200" s="214" t="str">
        <f>IFERROR(VLOOKUP(H200,$B$3:$F$62,5,FALSE),"")</f>
        <v/>
      </c>
      <c r="J200" s="196"/>
    </row>
    <row r="201" spans="8:10" x14ac:dyDescent="0.3">
      <c r="H201" s="196"/>
      <c r="I201" s="214" t="str">
        <f>IFERROR(VLOOKUP(H201,$B$3:$F$62,5,FALSE),"")</f>
        <v/>
      </c>
      <c r="J201" s="196"/>
    </row>
    <row r="202" spans="8:10" x14ac:dyDescent="0.3">
      <c r="H202" s="196"/>
      <c r="I202" s="214" t="str">
        <f>IFERROR(VLOOKUP(H202,$B$3:$F$62,5,FALSE),"")</f>
        <v/>
      </c>
      <c r="J202" s="196"/>
    </row>
    <row r="203" spans="8:10" x14ac:dyDescent="0.3">
      <c r="H203" s="196"/>
      <c r="I203" s="214" t="str">
        <f>IFERROR(VLOOKUP(H203,$B$3:$F$62,5,FALSE),"")</f>
        <v/>
      </c>
      <c r="J203" s="196"/>
    </row>
    <row r="204" spans="8:10" x14ac:dyDescent="0.3">
      <c r="H204" s="196"/>
      <c r="I204" s="214" t="str">
        <f>IFERROR(VLOOKUP(H204,$B$3:$F$62,5,FALSE),"")</f>
        <v/>
      </c>
      <c r="J204" s="196"/>
    </row>
    <row r="205" spans="8:10" x14ac:dyDescent="0.3">
      <c r="H205" s="196"/>
      <c r="I205" s="214" t="str">
        <f>IFERROR(VLOOKUP(H205,$B$3:$F$62,5,FALSE),"")</f>
        <v/>
      </c>
      <c r="J205" s="196"/>
    </row>
    <row r="206" spans="8:10" x14ac:dyDescent="0.3">
      <c r="I206" s="214" t="str">
        <f>IFERROR(VLOOKUP(H206,$B$3:$F$62,5,FALSE),"")</f>
        <v/>
      </c>
    </row>
    <row r="207" spans="8:10" x14ac:dyDescent="0.3">
      <c r="I207" s="214" t="str">
        <f>IFERROR(VLOOKUP(H207,$B$3:$F$62,5,FALSE),"")</f>
        <v/>
      </c>
    </row>
    <row r="208" spans="8:10" x14ac:dyDescent="0.3">
      <c r="I208" s="214" t="str">
        <f>IFERROR(VLOOKUP(H208,$B$3:$F$62,5,FALSE),"")</f>
        <v/>
      </c>
    </row>
    <row r="209" spans="9:9" x14ac:dyDescent="0.3">
      <c r="I209" s="214" t="str">
        <f>IFERROR(VLOOKUP(H209,$B$3:$F$62,5,FALSE),"")</f>
        <v/>
      </c>
    </row>
    <row r="210" spans="9:9" x14ac:dyDescent="0.3">
      <c r="I210" s="214" t="str">
        <f>IFERROR(VLOOKUP(H210,$B$3:$F$62,5,FALSE),"")</f>
        <v/>
      </c>
    </row>
    <row r="211" spans="9:9" x14ac:dyDescent="0.3">
      <c r="I211" s="214" t="str">
        <f>IFERROR(VLOOKUP(H211,$B$3:$F$62,5,FALSE),"")</f>
        <v/>
      </c>
    </row>
    <row r="212" spans="9:9" x14ac:dyDescent="0.3">
      <c r="I212" s="214" t="str">
        <f>IFERROR(VLOOKUP(H212,$B$3:$F$62,5,FALSE),"")</f>
        <v/>
      </c>
    </row>
    <row r="213" spans="9:9" x14ac:dyDescent="0.3">
      <c r="I213" s="214" t="str">
        <f>IFERROR(VLOOKUP(H213,$B$3:$F$62,5,FALSE),"")</f>
        <v/>
      </c>
    </row>
    <row r="214" spans="9:9" x14ac:dyDescent="0.3">
      <c r="I214" s="214" t="str">
        <f>IFERROR(VLOOKUP(H214,$B$3:$F$62,5,FALSE),"")</f>
        <v/>
      </c>
    </row>
    <row r="215" spans="9:9" x14ac:dyDescent="0.3">
      <c r="I215" s="214" t="str">
        <f>IFERROR(VLOOKUP(H215,$B$3:$F$62,5,FALSE),"")</f>
        <v/>
      </c>
    </row>
    <row r="216" spans="9:9" x14ac:dyDescent="0.3">
      <c r="I216" s="214" t="str">
        <f>IFERROR(VLOOKUP(H216,$B$3:$F$62,5,FALSE),"")</f>
        <v/>
      </c>
    </row>
    <row r="217" spans="9:9" x14ac:dyDescent="0.3">
      <c r="I217" s="214" t="str">
        <f>IFERROR(VLOOKUP(H217,$B$3:$F$62,5,FALSE),"")</f>
        <v/>
      </c>
    </row>
    <row r="218" spans="9:9" x14ac:dyDescent="0.3">
      <c r="I218" s="214" t="str">
        <f>IFERROR(VLOOKUP(H218,$B$3:$F$62,5,FALSE),"")</f>
        <v/>
      </c>
    </row>
    <row r="219" spans="9:9" x14ac:dyDescent="0.3">
      <c r="I219" s="214" t="str">
        <f>IFERROR(VLOOKUP(H219,$B$3:$F$62,5,FALSE),"")</f>
        <v/>
      </c>
    </row>
    <row r="220" spans="9:9" x14ac:dyDescent="0.3">
      <c r="I220" s="214" t="str">
        <f>IFERROR(VLOOKUP(H220,$B$3:$F$62,5,FALSE),"")</f>
        <v/>
      </c>
    </row>
    <row r="221" spans="9:9" x14ac:dyDescent="0.3">
      <c r="I221" s="214" t="str">
        <f>IFERROR(VLOOKUP(H221,$B$3:$F$62,5,FALSE),"")</f>
        <v/>
      </c>
    </row>
    <row r="222" spans="9:9" x14ac:dyDescent="0.3">
      <c r="I222" s="214" t="str">
        <f>IFERROR(VLOOKUP(H222,$B$3:$F$62,5,FALSE),"")</f>
        <v/>
      </c>
    </row>
    <row r="223" spans="9:9" x14ac:dyDescent="0.3">
      <c r="I223" s="214" t="str">
        <f>IFERROR(VLOOKUP(H223,$B$3:$F$62,5,FALSE),"")</f>
        <v/>
      </c>
    </row>
    <row r="224" spans="9:9" x14ac:dyDescent="0.3">
      <c r="I224" s="214" t="str">
        <f>IFERROR(VLOOKUP(H224,$B$3:$F$62,5,FALSE),"")</f>
        <v/>
      </c>
    </row>
    <row r="225" spans="9:9" x14ac:dyDescent="0.3">
      <c r="I225" s="214" t="str">
        <f>IFERROR(VLOOKUP(H225,$B$3:$F$62,5,FALSE),"")</f>
        <v/>
      </c>
    </row>
    <row r="226" spans="9:9" x14ac:dyDescent="0.3">
      <c r="I226" s="214" t="str">
        <f>IFERROR(VLOOKUP(H226,$B$3:$F$62,5,FALSE),"")</f>
        <v/>
      </c>
    </row>
    <row r="227" spans="9:9" x14ac:dyDescent="0.3">
      <c r="I227" s="214" t="str">
        <f>IFERROR(VLOOKUP(H227,$B$3:$F$62,5,FALSE),"")</f>
        <v/>
      </c>
    </row>
    <row r="228" spans="9:9" x14ac:dyDescent="0.3">
      <c r="I228" s="214" t="str">
        <f>IFERROR(VLOOKUP(H228,$B$3:$F$62,5,FALSE),"")</f>
        <v/>
      </c>
    </row>
    <row r="229" spans="9:9" x14ac:dyDescent="0.3">
      <c r="I229" s="214" t="str">
        <f>IFERROR(VLOOKUP(H229,$B$3:$F$62,5,FALSE),"")</f>
        <v/>
      </c>
    </row>
    <row r="230" spans="9:9" x14ac:dyDescent="0.3">
      <c r="I230" s="214" t="str">
        <f>IFERROR(VLOOKUP(H230,$B$3:$F$62,5,FALSE),"")</f>
        <v/>
      </c>
    </row>
    <row r="231" spans="9:9" x14ac:dyDescent="0.3">
      <c r="I231" s="214" t="str">
        <f>IFERROR(VLOOKUP(H231,$B$3:$F$62,5,FALSE),"")</f>
        <v/>
      </c>
    </row>
    <row r="232" spans="9:9" x14ac:dyDescent="0.3">
      <c r="I232" s="214" t="str">
        <f>IFERROR(VLOOKUP(H232,$B$3:$F$62,5,FALSE),"")</f>
        <v/>
      </c>
    </row>
    <row r="233" spans="9:9" x14ac:dyDescent="0.3">
      <c r="I233" s="214" t="str">
        <f>IFERROR(VLOOKUP(H233,$B$3:$F$62,5,FALSE),"")</f>
        <v/>
      </c>
    </row>
    <row r="234" spans="9:9" x14ac:dyDescent="0.3">
      <c r="I234" s="214" t="str">
        <f>IFERROR(VLOOKUP(H234,$B$3:$F$62,5,FALSE),"")</f>
        <v/>
      </c>
    </row>
    <row r="235" spans="9:9" x14ac:dyDescent="0.3">
      <c r="I235" s="214" t="str">
        <f>IFERROR(VLOOKUP(H235,$B$3:$F$62,5,FALSE),"")</f>
        <v/>
      </c>
    </row>
    <row r="236" spans="9:9" x14ac:dyDescent="0.3">
      <c r="I236" s="214" t="str">
        <f>IFERROR(VLOOKUP(H236,$B$3:$F$62,5,FALSE),"")</f>
        <v/>
      </c>
    </row>
    <row r="237" spans="9:9" x14ac:dyDescent="0.3">
      <c r="I237" s="214" t="str">
        <f>IFERROR(VLOOKUP(H237,$B$3:$F$62,5,FALSE),"")</f>
        <v/>
      </c>
    </row>
    <row r="238" spans="9:9" x14ac:dyDescent="0.3">
      <c r="I238" s="214" t="str">
        <f>IFERROR(VLOOKUP(H238,$B$3:$F$62,5,FALSE),"")</f>
        <v/>
      </c>
    </row>
    <row r="239" spans="9:9" x14ac:dyDescent="0.3">
      <c r="I239" s="214" t="str">
        <f>IFERROR(VLOOKUP(H239,$B$3:$F$62,5,FALSE),"")</f>
        <v/>
      </c>
    </row>
    <row r="240" spans="9:9" x14ac:dyDescent="0.3">
      <c r="I240" s="214" t="str">
        <f>IFERROR(VLOOKUP(H240,$B$3:$F$62,5,FALSE),"")</f>
        <v/>
      </c>
    </row>
    <row r="241" spans="9:9" x14ac:dyDescent="0.3">
      <c r="I241" s="214" t="str">
        <f>IFERROR(VLOOKUP(H241,$B$3:$F$62,5,FALSE),"")</f>
        <v/>
      </c>
    </row>
    <row r="242" spans="9:9" x14ac:dyDescent="0.3">
      <c r="I242" s="214" t="str">
        <f>IFERROR(VLOOKUP(H242,$B$3:$F$62,5,FALSE),"")</f>
        <v/>
      </c>
    </row>
    <row r="243" spans="9:9" x14ac:dyDescent="0.3">
      <c r="I243" s="214" t="str">
        <f>IFERROR(VLOOKUP(H243,$B$3:$F$62,5,FALSE),"")</f>
        <v/>
      </c>
    </row>
    <row r="244" spans="9:9" x14ac:dyDescent="0.3">
      <c r="I244" s="214" t="str">
        <f>IFERROR(VLOOKUP(H244,$B$3:$F$62,5,FALSE),"")</f>
        <v/>
      </c>
    </row>
    <row r="245" spans="9:9" x14ac:dyDescent="0.3">
      <c r="I245" s="214" t="str">
        <f>IFERROR(VLOOKUP(H245,$B$3:$F$62,5,FALSE),"")</f>
        <v/>
      </c>
    </row>
    <row r="246" spans="9:9" x14ac:dyDescent="0.3">
      <c r="I246" s="214" t="str">
        <f>IFERROR(VLOOKUP(H246,$B$3:$F$62,5,FALSE),"")</f>
        <v/>
      </c>
    </row>
    <row r="247" spans="9:9" x14ac:dyDescent="0.3">
      <c r="I247" s="214" t="str">
        <f>IFERROR(VLOOKUP(H247,$B$3:$F$62,5,FALSE),"")</f>
        <v/>
      </c>
    </row>
    <row r="248" spans="9:9" x14ac:dyDescent="0.3">
      <c r="I248" s="214" t="str">
        <f>IFERROR(VLOOKUP(H248,$B$3:$F$62,5,FALSE),"")</f>
        <v/>
      </c>
    </row>
    <row r="249" spans="9:9" x14ac:dyDescent="0.3">
      <c r="I249" s="214" t="str">
        <f>IFERROR(VLOOKUP(H249,$B$3:$F$62,5,FALSE),"")</f>
        <v/>
      </c>
    </row>
    <row r="250" spans="9:9" x14ac:dyDescent="0.3">
      <c r="I250" s="214" t="str">
        <f>IFERROR(VLOOKUP(H250,$B$3:$F$62,5,FALSE),"")</f>
        <v/>
      </c>
    </row>
    <row r="251" spans="9:9" x14ac:dyDescent="0.3">
      <c r="I251" s="214" t="str">
        <f>IFERROR(VLOOKUP(H251,$B$3:$F$62,5,FALSE),"")</f>
        <v/>
      </c>
    </row>
    <row r="252" spans="9:9" x14ac:dyDescent="0.3">
      <c r="I252" s="214" t="str">
        <f>IFERROR(VLOOKUP(H252,$B$3:$F$62,5,FALSE),"")</f>
        <v/>
      </c>
    </row>
    <row r="253" spans="9:9" x14ac:dyDescent="0.3">
      <c r="I253" s="214" t="str">
        <f>IFERROR(VLOOKUP(H253,$B$3:$F$62,5,FALSE),"")</f>
        <v/>
      </c>
    </row>
    <row r="254" spans="9:9" x14ac:dyDescent="0.3">
      <c r="I254" s="214" t="str">
        <f>IFERROR(VLOOKUP(H254,$B$3:$F$62,5,FALSE),"")</f>
        <v/>
      </c>
    </row>
    <row r="255" spans="9:9" x14ac:dyDescent="0.3">
      <c r="I255" s="214" t="str">
        <f>IFERROR(VLOOKUP(H255,$B$3:$F$62,5,FALSE),"")</f>
        <v/>
      </c>
    </row>
    <row r="256" spans="9:9" x14ac:dyDescent="0.3">
      <c r="I256" s="214" t="str">
        <f>IFERROR(VLOOKUP(H256,$B$3:$F$62,5,FALSE),"")</f>
        <v/>
      </c>
    </row>
    <row r="257" spans="9:9" x14ac:dyDescent="0.3">
      <c r="I257" s="214" t="str">
        <f>IFERROR(VLOOKUP(H257,$B$3:$F$62,5,FALSE),"")</f>
        <v/>
      </c>
    </row>
    <row r="258" spans="9:9" x14ac:dyDescent="0.3">
      <c r="I258" s="214" t="str">
        <f>IFERROR(VLOOKUP(H258,$B$3:$F$62,5,FALSE),"")</f>
        <v/>
      </c>
    </row>
    <row r="259" spans="9:9" x14ac:dyDescent="0.3">
      <c r="I259" s="214" t="str">
        <f>IFERROR(VLOOKUP(H259,$B$3:$F$62,5,FALSE),"")</f>
        <v/>
      </c>
    </row>
    <row r="260" spans="9:9" x14ac:dyDescent="0.3">
      <c r="I260" s="214" t="str">
        <f>IFERROR(VLOOKUP(H260,$B$3:$F$62,5,FALSE),"")</f>
        <v/>
      </c>
    </row>
    <row r="261" spans="9:9" x14ac:dyDescent="0.3">
      <c r="I261" s="214" t="str">
        <f>IFERROR(VLOOKUP(H261,$B$3:$F$62,5,FALSE),"")</f>
        <v/>
      </c>
    </row>
    <row r="262" spans="9:9" x14ac:dyDescent="0.3">
      <c r="I262" s="214" t="str">
        <f>IFERROR(VLOOKUP(H262,$B$3:$F$62,5,FALSE),"")</f>
        <v/>
      </c>
    </row>
    <row r="263" spans="9:9" x14ac:dyDescent="0.3">
      <c r="I263" s="214" t="str">
        <f>IFERROR(VLOOKUP(H263,$B$3:$F$62,5,FALSE),"")</f>
        <v/>
      </c>
    </row>
    <row r="264" spans="9:9" x14ac:dyDescent="0.3">
      <c r="I264" s="214" t="str">
        <f>IFERROR(VLOOKUP(H264,$B$3:$F$62,5,FALSE),"")</f>
        <v/>
      </c>
    </row>
    <row r="265" spans="9:9" x14ac:dyDescent="0.3">
      <c r="I265" s="214" t="str">
        <f>IFERROR(VLOOKUP(H265,$B$3:$F$62,5,FALSE),"")</f>
        <v/>
      </c>
    </row>
  </sheetData>
  <customSheetViews>
    <customSheetView guid="{5C7B38D6-29D9-4C20-A92E-817BB499D35F}">
      <selection activeCell="E3" sqref="E3:E65"/>
      <pageMargins left="0.7" right="0.7" top="0.75" bottom="0.75" header="0.3" footer="0.3"/>
      <pageSetup paperSize="9" orientation="portrait" horizontalDpi="0" verticalDpi="0" r:id="rId1"/>
    </customSheetView>
  </customSheetView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6307C-2076-4110-BDF1-BFF4413495B2}">
  <sheetPr codeName="Sheet5"/>
  <dimension ref="B1:V267"/>
  <sheetViews>
    <sheetView topLeftCell="D1" zoomScale="70" zoomScaleNormal="70" workbookViewId="0">
      <selection activeCell="L24" sqref="L24"/>
    </sheetView>
  </sheetViews>
  <sheetFormatPr defaultRowHeight="14.4" x14ac:dyDescent="0.3"/>
  <cols>
    <col min="2" max="2" width="12.77734375" bestFit="1" customWidth="1"/>
    <col min="3" max="3" width="30.77734375" customWidth="1"/>
    <col min="4" max="4" width="13.33203125" customWidth="1"/>
    <col min="5" max="5" width="10.88671875" bestFit="1" customWidth="1"/>
    <col min="8" max="8" width="26.77734375" customWidth="1"/>
    <col min="9" max="9" width="9.44140625" style="85" customWidth="1"/>
    <col min="10" max="10" width="11.44140625" bestFit="1" customWidth="1"/>
    <col min="12" max="12" width="31.44140625" customWidth="1"/>
    <col min="13" max="13" width="12.5546875" bestFit="1" customWidth="1"/>
    <col min="14" max="14" width="10.109375" bestFit="1" customWidth="1"/>
    <col min="15" max="15" width="20.33203125" customWidth="1"/>
    <col min="16" max="16" width="9.44140625" bestFit="1" customWidth="1"/>
    <col min="17" max="17" width="9.5546875" bestFit="1" customWidth="1"/>
    <col min="20" max="20" width="26.77734375" customWidth="1"/>
    <col min="21" max="21" width="9.44140625" style="9" customWidth="1"/>
    <col min="22" max="22" width="11.44140625" bestFit="1" customWidth="1"/>
  </cols>
  <sheetData>
    <row r="1" spans="2:22" x14ac:dyDescent="0.3">
      <c r="B1" t="s">
        <v>58</v>
      </c>
      <c r="C1" t="s">
        <v>59</v>
      </c>
    </row>
    <row r="2" spans="2:22" s="1" customFormat="1" x14ac:dyDescent="0.3">
      <c r="B2" s="60" t="s">
        <v>57</v>
      </c>
      <c r="C2" s="60" t="s">
        <v>0</v>
      </c>
      <c r="D2" s="60" t="s">
        <v>1</v>
      </c>
      <c r="E2" s="60" t="s">
        <v>2</v>
      </c>
      <c r="F2" s="60" t="s">
        <v>3</v>
      </c>
      <c r="I2" s="213"/>
      <c r="L2" s="111" t="s">
        <v>69</v>
      </c>
      <c r="M2" s="112" t="s">
        <v>208</v>
      </c>
      <c r="N2" s="112" t="s">
        <v>208</v>
      </c>
      <c r="U2" s="2"/>
    </row>
    <row r="3" spans="2:22" s="1" customFormat="1" x14ac:dyDescent="0.3">
      <c r="B3" s="40" t="s">
        <v>60</v>
      </c>
      <c r="C3" s="41" t="s">
        <v>4</v>
      </c>
      <c r="D3" s="42">
        <v>0.57220000000000004</v>
      </c>
      <c r="E3" s="24" t="str">
        <f>IF(IF(B3="MDZ140R","",IFERROR((SUMIF($B$3:$B$65,"MDZ140R",$F$3:$F$65)*INDEX($Q$20:$Q$77,MATCH(B3,$N$20:$N$77,0))),""))=0,"",IF(B3="MDZ140R","",IFERROR((SUMIF($B$3:$B$65,"MDZ140R",$F$3:$F$65)*INDEX($Q$20:$Q$77,MATCH(B3,$N$20:$N$77,0))),"")))</f>
        <v/>
      </c>
      <c r="F3" s="42">
        <f>IF(D3="","",D3+ IF(E3="",0,E3))</f>
        <v>0.57220000000000004</v>
      </c>
      <c r="H3" s="202" t="s">
        <v>71</v>
      </c>
      <c r="I3" s="214" t="str">
        <f>IFERROR(VLOOKUP(H3,$B$3:$F$62,5,FALSE),"")</f>
        <v/>
      </c>
      <c r="J3" s="203">
        <f>SUM(I3:I21)</f>
        <v>3.2555350000000001</v>
      </c>
      <c r="L3" s="80" t="s">
        <v>70</v>
      </c>
      <c r="M3" s="114">
        <f>VLOOKUP(L3,$H$3:$J$207,3,FALSE)</f>
        <v>0.4073</v>
      </c>
      <c r="N3" s="115">
        <f>(M3/$M$14)</f>
        <v>1.7561975843012841E-2</v>
      </c>
      <c r="T3" s="61" t="s">
        <v>71</v>
      </c>
      <c r="U3" s="87" t="str">
        <f>IFERROR(VLOOKUP(T3,$B$3:$F$64,5,FALSE),"")</f>
        <v/>
      </c>
      <c r="V3" s="118">
        <f>SUM(U3:U21)</f>
        <v>4.0820100000000004</v>
      </c>
    </row>
    <row r="4" spans="2:22" s="1" customFormat="1" x14ac:dyDescent="0.3">
      <c r="B4" s="40" t="s">
        <v>61</v>
      </c>
      <c r="C4" s="41" t="s">
        <v>5</v>
      </c>
      <c r="D4" s="42">
        <v>0.86109999999999998</v>
      </c>
      <c r="E4" s="24" t="str">
        <f>IF(IF(B4="MDZ140R","",IFERROR((SUMIF($B$3:$B$65,"MDZ140R",$F$3:$F$65)*INDEX($Q$20:$Q$77,MATCH(B4,$N$20:$N$77,0))),""))=0,"",IF(B4="MDZ140R","",IFERROR((SUMIF($B$3:$B$65,"MDZ140R",$F$3:$F$65)*INDEX($Q$20:$Q$77,MATCH(B4,$N$20:$N$77,0))),"")))</f>
        <v/>
      </c>
      <c r="F4" s="42">
        <f t="shared" ref="F4:F77" si="0">IF(D4="","",D4+ IF(E4="",0,E4))</f>
        <v>0.86109999999999998</v>
      </c>
      <c r="H4" s="192" t="s">
        <v>46</v>
      </c>
      <c r="I4" s="214">
        <f>IFERROR(VLOOKUP(H4,$B$3:$F$62,5,FALSE),"")</f>
        <v>0.6925</v>
      </c>
      <c r="J4" s="204"/>
      <c r="L4" s="56" t="s">
        <v>71</v>
      </c>
      <c r="M4" s="114">
        <f>VLOOKUP(L4,$H$3:$J$207,3,FALSE)</f>
        <v>3.2555350000000001</v>
      </c>
      <c r="N4" s="115">
        <f t="shared" ref="N4:N13" si="1">(M4/$M$14)</f>
        <v>0.14037227357250873</v>
      </c>
      <c r="T4" s="56" t="s">
        <v>46</v>
      </c>
      <c r="U4" s="87">
        <f>IFERROR(VLOOKUP(T4,$B$3:$F$64,5,FALSE),"")</f>
        <v>0.6925</v>
      </c>
      <c r="V4" s="116"/>
    </row>
    <row r="5" spans="2:22" s="1" customFormat="1" x14ac:dyDescent="0.3">
      <c r="B5" s="40" t="s">
        <v>62</v>
      </c>
      <c r="C5" s="41" t="s">
        <v>6</v>
      </c>
      <c r="D5" s="42">
        <v>0.29099999999999998</v>
      </c>
      <c r="E5" s="24" t="str">
        <f>IF(IF(B5="MDZ140R","",IFERROR((SUMIF($B$3:$B$65,"MDZ140R",$F$3:$F$65)*INDEX($Q$20:$Q$77,MATCH(B5,$N$20:$N$77,0))),""))=0,"",IF(B5="MDZ140R","",IFERROR((SUMIF($B$3:$B$65,"MDZ140R",$F$3:$F$65)*INDEX($Q$20:$Q$77,MATCH(B5,$N$20:$N$77,0))),"")))</f>
        <v/>
      </c>
      <c r="F5" s="42">
        <f t="shared" si="0"/>
        <v>0.29099999999999998</v>
      </c>
      <c r="H5" s="192" t="s">
        <v>86</v>
      </c>
      <c r="I5" s="214" t="str">
        <f>IFERROR(VLOOKUP(H5,$B$3:$F$62,5,FALSE),"")</f>
        <v/>
      </c>
      <c r="J5" s="204"/>
      <c r="L5" s="80" t="s">
        <v>72</v>
      </c>
      <c r="M5" s="114">
        <f>VLOOKUP(L5,$H$3:$J$207,3,FALSE)</f>
        <v>0.41917500000000002</v>
      </c>
      <c r="N5" s="115">
        <f t="shared" si="1"/>
        <v>1.8074002514104855E-2</v>
      </c>
      <c r="T5" s="56" t="s">
        <v>86</v>
      </c>
      <c r="U5" s="87" t="str">
        <f>IFERROR(VLOOKUP(T5,$B$3:$F$64,5,FALSE),"")</f>
        <v/>
      </c>
      <c r="V5" s="116"/>
    </row>
    <row r="6" spans="2:22" s="1" customFormat="1" x14ac:dyDescent="0.3">
      <c r="B6" s="40" t="s">
        <v>7</v>
      </c>
      <c r="C6" s="41" t="s">
        <v>8</v>
      </c>
      <c r="D6" s="42">
        <v>7.2099999999999997E-2</v>
      </c>
      <c r="E6" s="24" t="str">
        <f>IF(IF(B6="MDZ140R","",IFERROR((SUMIF($B$3:$B$65,"MDZ140R",$F$3:$F$65)*INDEX($Q$20:$Q$77,MATCH(B6,$N$20:$N$77,0))),""))=0,"",IF(B6="MDZ140R","",IFERROR((SUMIF($B$3:$B$65,"MDZ140R",$F$3:$F$65)*INDEX($Q$20:$Q$77,MATCH(B6,$N$20:$N$77,0))),"")))</f>
        <v/>
      </c>
      <c r="F6" s="42">
        <f t="shared" si="0"/>
        <v>7.2099999999999997E-2</v>
      </c>
      <c r="H6" s="192" t="s">
        <v>36</v>
      </c>
      <c r="I6" s="211">
        <v>0.36880000000000002</v>
      </c>
      <c r="J6" s="204"/>
      <c r="L6" s="56" t="s">
        <v>73</v>
      </c>
      <c r="M6" s="114">
        <f>VLOOKUP(L6,$H$3:$J$207,3,FALSE)</f>
        <v>2.2454943749999998</v>
      </c>
      <c r="N6" s="115">
        <f t="shared" si="1"/>
        <v>9.6821306087334177E-2</v>
      </c>
      <c r="T6" s="56" t="s">
        <v>36</v>
      </c>
      <c r="U6" s="87">
        <v>0.36880000000000002</v>
      </c>
      <c r="V6" s="116"/>
    </row>
    <row r="7" spans="2:22" s="1" customFormat="1" x14ac:dyDescent="0.3">
      <c r="B7" s="40" t="s">
        <v>9</v>
      </c>
      <c r="C7" s="41" t="s">
        <v>10</v>
      </c>
      <c r="D7" s="42">
        <v>0.20330000000000001</v>
      </c>
      <c r="E7" s="24" t="str">
        <f>IF(IF(B7="MDZ140R","",IFERROR((SUMIF($B$3:$B$65,"MDZ140R",$F$3:$F$65)*INDEX($Q$20:$Q$77,MATCH(B7,$N$20:$N$77,0))),""))=0,"",IF(B7="MDZ140R","",IFERROR((SUMIF($B$3:$B$65,"MDZ140R",$F$3:$F$65)*INDEX($Q$20:$Q$77,MATCH(B7,$N$20:$N$77,0))),"")))</f>
        <v/>
      </c>
      <c r="F7" s="42">
        <f t="shared" si="0"/>
        <v>0.20330000000000001</v>
      </c>
      <c r="H7" s="192" t="s">
        <v>87</v>
      </c>
      <c r="I7" s="212">
        <v>0.13972499999999999</v>
      </c>
      <c r="J7" s="204"/>
      <c r="L7" s="80" t="s">
        <v>74</v>
      </c>
      <c r="M7" s="114">
        <f>VLOOKUP(L7,$H$3:$J$207,3,FALSE)</f>
        <v>5.646875E-3</v>
      </c>
      <c r="N7" s="115">
        <f t="shared" si="1"/>
        <v>2.4348215649033422E-4</v>
      </c>
      <c r="T7" s="56" t="s">
        <v>87</v>
      </c>
      <c r="U7" s="87">
        <v>0.55889999999999995</v>
      </c>
      <c r="V7" s="116"/>
    </row>
    <row r="8" spans="2:22" s="1" customFormat="1" x14ac:dyDescent="0.3">
      <c r="B8" s="40" t="s">
        <v>11</v>
      </c>
      <c r="C8" s="41" t="s">
        <v>190</v>
      </c>
      <c r="D8" s="42">
        <v>0.1191</v>
      </c>
      <c r="E8" s="24" t="str">
        <f>IF(IF(B8="MDZ140R","",IFERROR((SUMIF($B$3:$B$65,"MDZ140R",$F$3:$F$65)*INDEX($Q$20:$Q$77,MATCH(B8,$N$20:$N$77,0))),""))=0,"",IF(B8="MDZ140R","",IFERROR((SUMIF($B$3:$B$65,"MDZ140R",$F$3:$F$65)*INDEX($Q$20:$Q$77,MATCH(B8,$N$20:$N$77,0))),"")))</f>
        <v/>
      </c>
      <c r="F8" s="42">
        <f t="shared" si="0"/>
        <v>0.1191</v>
      </c>
      <c r="H8" s="192" t="s">
        <v>88</v>
      </c>
      <c r="I8" s="214" t="str">
        <f>IFERROR(VLOOKUP(H8,$B$3:$F$62,5,FALSE),"")</f>
        <v/>
      </c>
      <c r="J8" s="204"/>
      <c r="L8" s="56" t="s">
        <v>75</v>
      </c>
      <c r="M8" s="114">
        <f>VLOOKUP(L8,$H$3:$J$207,3,FALSE)</f>
        <v>0.69840000000000002</v>
      </c>
      <c r="N8" s="115">
        <f t="shared" si="1"/>
        <v>3.0113635965529507E-2</v>
      </c>
      <c r="T8" s="56" t="s">
        <v>88</v>
      </c>
      <c r="U8" s="87" t="str">
        <f>IFERROR(VLOOKUP(T8,$B$3:$F$64,5,FALSE),"")</f>
        <v/>
      </c>
      <c r="V8" s="116"/>
    </row>
    <row r="9" spans="2:22" s="1" customFormat="1" x14ac:dyDescent="0.3">
      <c r="B9" s="40" t="s">
        <v>13</v>
      </c>
      <c r="C9" s="41" t="s">
        <v>68</v>
      </c>
      <c r="D9" s="42">
        <v>0.81459999999999999</v>
      </c>
      <c r="E9" s="24" t="str">
        <f>IF(IF(B9="MDZ140R","",IFERROR((SUMIF($B$3:$B$65,"MDZ140R",$F$3:$F$65)*INDEX($Q$20:$Q$77,MATCH(B9,$N$20:$N$77,0))),""))=0,"",IF(B9="MDZ140R","",IFERROR((SUMIF($B$3:$B$65,"MDZ140R",$F$3:$F$65)*INDEX($Q$20:$Q$77,MATCH(B9,$N$20:$N$77,0))),"")))</f>
        <v/>
      </c>
      <c r="F9" s="42">
        <f t="shared" si="0"/>
        <v>0.81459999999999999</v>
      </c>
      <c r="H9" s="192" t="s">
        <v>89</v>
      </c>
      <c r="I9" s="214" t="str">
        <f>IFERROR(VLOOKUP(H9,$B$3:$F$62,5,FALSE),"")</f>
        <v/>
      </c>
      <c r="J9" s="204"/>
      <c r="L9" s="80" t="s">
        <v>76</v>
      </c>
      <c r="M9" s="114">
        <f>VLOOKUP(L9,$H$3:$J$207,3,FALSE)</f>
        <v>0</v>
      </c>
      <c r="N9" s="115">
        <f t="shared" si="1"/>
        <v>0</v>
      </c>
      <c r="T9" s="56" t="s">
        <v>89</v>
      </c>
      <c r="U9" s="87" t="str">
        <f>IFERROR(VLOOKUP(T9,$B$3:$F$64,5,FALSE),"")</f>
        <v/>
      </c>
      <c r="V9" s="116"/>
    </row>
    <row r="10" spans="2:22" s="1" customFormat="1" x14ac:dyDescent="0.3">
      <c r="B10" s="40" t="s">
        <v>14</v>
      </c>
      <c r="C10" s="41" t="s">
        <v>15</v>
      </c>
      <c r="D10" s="42">
        <v>0.93120000000000003</v>
      </c>
      <c r="E10" s="24" t="str">
        <f>IF(IF(B10="MDZ140R","",IFERROR((SUMIF($B$3:$B$65,"MDZ140R",$F$3:$F$65)*INDEX($Q$20:$Q$77,MATCH(B10,$N$20:$N$77,0))),""))=0,"",IF(B10="MDZ140R","",IFERROR((SUMIF($B$3:$B$65,"MDZ140R",$F$3:$F$65)*INDEX($Q$20:$Q$77,MATCH(B10,$N$20:$N$77,0))),"")))</f>
        <v/>
      </c>
      <c r="F10" s="42">
        <f t="shared" si="0"/>
        <v>0.93120000000000003</v>
      </c>
      <c r="H10" s="192" t="s">
        <v>13</v>
      </c>
      <c r="I10" s="211">
        <v>0.4073</v>
      </c>
      <c r="J10" s="204"/>
      <c r="L10" s="56" t="s">
        <v>77</v>
      </c>
      <c r="M10" s="114">
        <f>VLOOKUP(L10,$H$3:$J$207,3,FALSE)</f>
        <v>13.870999999999997</v>
      </c>
      <c r="N10" s="115">
        <f t="shared" si="1"/>
        <v>0.59809026987093306</v>
      </c>
      <c r="T10" s="56" t="s">
        <v>13</v>
      </c>
      <c r="U10" s="87">
        <f>IFERROR(VLOOKUP(T10,$B$3:$F$64,5,FALSE),"")</f>
        <v>0.81459999999999999</v>
      </c>
      <c r="V10" s="116"/>
    </row>
    <row r="11" spans="2:22" s="1" customFormat="1" x14ac:dyDescent="0.3">
      <c r="B11" s="40" t="s">
        <v>16</v>
      </c>
      <c r="C11" s="41" t="s">
        <v>17</v>
      </c>
      <c r="D11" s="42">
        <v>0.68889999999999996</v>
      </c>
      <c r="E11" s="24" t="str">
        <f>IF(IF(B11="MDZ140R","",IFERROR((SUMIF($B$3:$B$65,"MDZ140R",$F$3:$F$65)*INDEX($Q$20:$Q$77,MATCH(B11,$N$20:$N$77,0))),""))=0,"",IF(B11="MDZ140R","",IFERROR((SUMIF($B$3:$B$65,"MDZ140R",$F$3:$F$65)*INDEX($Q$20:$Q$77,MATCH(B11,$N$20:$N$77,0))),"")))</f>
        <v/>
      </c>
      <c r="F11" s="42">
        <f t="shared" si="0"/>
        <v>0.68889999999999996</v>
      </c>
      <c r="H11" s="192" t="s">
        <v>31</v>
      </c>
      <c r="I11" s="214">
        <f>IFERROR(VLOOKUP(H11,$B$3:$F$62,5,FALSE),"")</f>
        <v>0.14799999999999999</v>
      </c>
      <c r="J11" s="204"/>
      <c r="L11" s="80" t="s">
        <v>78</v>
      </c>
      <c r="M11" s="114">
        <f>VLOOKUP(L11,$H$3:$J$207,3,FALSE)</f>
        <v>0.28610000000000002</v>
      </c>
      <c r="N11" s="115">
        <f t="shared" si="1"/>
        <v>1.2336069945214766E-2</v>
      </c>
      <c r="T11" s="56" t="s">
        <v>31</v>
      </c>
      <c r="U11" s="87">
        <f>IFERROR(VLOOKUP(T11,$B$3:$F$64,5,FALSE),"")</f>
        <v>0.14799999999999999</v>
      </c>
      <c r="V11" s="116"/>
    </row>
    <row r="12" spans="2:22" s="1" customFormat="1" x14ac:dyDescent="0.3">
      <c r="B12" s="40" t="s">
        <v>18</v>
      </c>
      <c r="C12" s="41" t="s">
        <v>19</v>
      </c>
      <c r="D12" s="42">
        <v>0.43140000000000001</v>
      </c>
      <c r="E12" s="24" t="str">
        <f>IF(IF(B12="MDZ140R","",IFERROR((SUMIF($B$3:$B$65,"MDZ140R",$F$3:$F$65)*INDEX($Q$20:$Q$77,MATCH(B12,$N$20:$N$77,0))),""))=0,"",IF(B12="MDZ140R","",IFERROR((SUMIF($B$3:$B$65,"MDZ140R",$F$3:$F$65)*INDEX($Q$20:$Q$77,MATCH(B12,$N$20:$N$77,0))),"")))</f>
        <v/>
      </c>
      <c r="F12" s="42">
        <f t="shared" si="0"/>
        <v>0.43140000000000001</v>
      </c>
      <c r="H12" s="192" t="s">
        <v>90</v>
      </c>
      <c r="I12" s="214" t="str">
        <f>IFERROR(VLOOKUP(H12,$B$3:$F$62,5,FALSE),"")</f>
        <v/>
      </c>
      <c r="J12" s="204"/>
      <c r="L12" s="56" t="s">
        <v>79</v>
      </c>
      <c r="M12" s="114">
        <f>VLOOKUP(L12,$H$3:$J$207,3,FALSE)</f>
        <v>2.0034999999999998</v>
      </c>
      <c r="N12" s="115">
        <f t="shared" si="1"/>
        <v>8.6386984044871648E-2</v>
      </c>
      <c r="T12" s="56" t="s">
        <v>90</v>
      </c>
      <c r="U12" s="87" t="str">
        <f>IFERROR(VLOOKUP(T12,$B$3:$F$64,5,FALSE),"")</f>
        <v/>
      </c>
      <c r="V12" s="116"/>
    </row>
    <row r="13" spans="2:22" s="1" customFormat="1" x14ac:dyDescent="0.3">
      <c r="B13" s="40" t="s">
        <v>20</v>
      </c>
      <c r="C13" s="41" t="s">
        <v>21</v>
      </c>
      <c r="D13" s="42">
        <v>0.76990000000000003</v>
      </c>
      <c r="E13" s="24" t="str">
        <f>IF(IF(B13="MDZ140R","",IFERROR((SUMIF($B$3:$B$65,"MDZ140R",$F$3:$F$65)*INDEX($Q$20:$Q$77,MATCH(B13,$N$20:$N$77,0))),""))=0,"",IF(B13="MDZ140R","",IFERROR((SUMIF($B$3:$B$65,"MDZ140R",$F$3:$F$65)*INDEX($Q$20:$Q$77,MATCH(B13,$N$20:$N$77,0))),"")))</f>
        <v/>
      </c>
      <c r="F13" s="42">
        <f t="shared" si="0"/>
        <v>0.76990000000000003</v>
      </c>
      <c r="H13" s="192" t="s">
        <v>91</v>
      </c>
      <c r="I13" s="214" t="str">
        <f>IFERROR(VLOOKUP(H13,$B$3:$F$62,5,FALSE),"")</f>
        <v/>
      </c>
      <c r="J13" s="204"/>
      <c r="L13" s="80" t="s">
        <v>80</v>
      </c>
      <c r="M13" s="114">
        <f>VLOOKUP(L13,$H$3:$J$207,3,FALSE)</f>
        <v>0</v>
      </c>
      <c r="N13" s="115">
        <f t="shared" si="1"/>
        <v>0</v>
      </c>
      <c r="T13" s="56" t="s">
        <v>91</v>
      </c>
      <c r="U13" s="87" t="str">
        <f>IFERROR(VLOOKUP(T13,$B$3:$F$64,5,FALSE),"")</f>
        <v/>
      </c>
      <c r="V13" s="116"/>
    </row>
    <row r="14" spans="2:22" s="1" customFormat="1" x14ac:dyDescent="0.3">
      <c r="B14" s="40" t="s">
        <v>63</v>
      </c>
      <c r="C14" s="41" t="s">
        <v>23</v>
      </c>
      <c r="D14" s="42">
        <v>9.3600000000000003E-2</v>
      </c>
      <c r="E14" s="24" t="str">
        <f>IF(IF(B14="MDZ140R","",IFERROR((SUMIF($B$3:$B$65,"MDZ140R",$F$3:$F$65)*INDEX($Q$20:$Q$77,MATCH(B14,$N$20:$N$77,0))),""))=0,"",IF(B14="MDZ140R","",IFERROR((SUMIF($B$3:$B$65,"MDZ140R",$F$3:$F$65)*INDEX($Q$20:$Q$77,MATCH(B14,$N$20:$N$77,0))),"")))</f>
        <v/>
      </c>
      <c r="F14" s="42">
        <f t="shared" si="0"/>
        <v>9.3600000000000003E-2</v>
      </c>
      <c r="H14" s="192" t="s">
        <v>92</v>
      </c>
      <c r="I14" s="214" t="str">
        <f>IFERROR(VLOOKUP(H14,$B$3:$F$62,5,FALSE),"")</f>
        <v/>
      </c>
      <c r="J14" s="204"/>
      <c r="L14" s="119" t="s">
        <v>81</v>
      </c>
      <c r="M14" s="120">
        <f>SUM(M3:M13)</f>
        <v>23.192151249999998</v>
      </c>
      <c r="N14" s="121">
        <f>SUM(N3:N13)</f>
        <v>0.99999999999999989</v>
      </c>
      <c r="T14" s="56" t="s">
        <v>92</v>
      </c>
      <c r="U14" s="87" t="str">
        <f>IFERROR(VLOOKUP(T14,$B$3:$F$64,5,FALSE),"")</f>
        <v/>
      </c>
      <c r="V14" s="116"/>
    </row>
    <row r="15" spans="2:22" s="1" customFormat="1" x14ac:dyDescent="0.3">
      <c r="B15" s="40" t="s">
        <v>64</v>
      </c>
      <c r="C15" s="41" t="s">
        <v>25</v>
      </c>
      <c r="D15" s="42">
        <v>0.77470000000000006</v>
      </c>
      <c r="E15" s="24" t="str">
        <f>IF(IF(B15="MDZ140R","",IFERROR((SUMIF($B$3:$B$65,"MDZ140R",$F$3:$F$65)*INDEX($Q$20:$Q$77,MATCH(B15,$N$20:$N$77,0))),""))=0,"",IF(B15="MDZ140R","",IFERROR((SUMIF($B$3:$B$65,"MDZ140R",$F$3:$F$65)*INDEX($Q$20:$Q$77,MATCH(B15,$N$20:$N$77,0))),"")))</f>
        <v/>
      </c>
      <c r="F15" s="42">
        <f t="shared" si="0"/>
        <v>0.77470000000000006</v>
      </c>
      <c r="H15" s="192" t="s">
        <v>93</v>
      </c>
      <c r="I15" s="214">
        <v>0.50300999999999996</v>
      </c>
      <c r="J15" s="204"/>
      <c r="L15" s="122" t="s">
        <v>82</v>
      </c>
      <c r="M15" s="120">
        <f>SUM(M3,M5,M7,M9,M11,M13)</f>
        <v>1.1182218750000001</v>
      </c>
      <c r="N15" s="123">
        <f>SUM(N13,N11,N9,N7,N5,N3)</f>
        <v>4.8215530458822792E-2</v>
      </c>
      <c r="T15" s="56" t="s">
        <v>93</v>
      </c>
      <c r="U15" s="87">
        <v>0.50300999999999996</v>
      </c>
      <c r="V15" s="116"/>
    </row>
    <row r="16" spans="2:22" s="1" customFormat="1" x14ac:dyDescent="0.3">
      <c r="B16" s="40" t="s">
        <v>24</v>
      </c>
      <c r="C16" s="41" t="s">
        <v>197</v>
      </c>
      <c r="D16" s="42">
        <v>0.41470000000000001</v>
      </c>
      <c r="E16" s="24" t="str">
        <f>IF(IF(B16="MDZ140R","",IFERROR((SUMIF($B$3:$B$65,"MDZ140R",$F$3:$F$65)*INDEX($Q$20:$Q$77,MATCH(B16,$N$20:$N$77,0))),""))=0,"",IF(B16="MDZ140R","",IFERROR((SUMIF($B$3:$B$65,"MDZ140R",$F$3:$F$65)*INDEX($Q$20:$Q$77,MATCH(B16,$N$20:$N$77,0))),"")))</f>
        <v/>
      </c>
      <c r="F16" s="42">
        <f t="shared" si="0"/>
        <v>0.41470000000000001</v>
      </c>
      <c r="H16" s="192" t="s">
        <v>94</v>
      </c>
      <c r="I16" s="211">
        <v>0.70540000000000003</v>
      </c>
      <c r="J16" s="204"/>
      <c r="T16" s="56" t="s">
        <v>94</v>
      </c>
      <c r="U16" s="87">
        <f>IFERROR(VLOOKUP(T16,$B$3:$F$64,5,FALSE),"")</f>
        <v>0.70540000000000003</v>
      </c>
      <c r="V16" s="116"/>
    </row>
    <row r="17" spans="2:22" s="1" customFormat="1" x14ac:dyDescent="0.3">
      <c r="B17" s="40" t="s">
        <v>27</v>
      </c>
      <c r="C17" s="41" t="s">
        <v>28</v>
      </c>
      <c r="D17" s="42">
        <v>0.3967</v>
      </c>
      <c r="E17" s="24" t="str">
        <f>IF(IF(B17="MDZ140R","",IFERROR((SUMIF($B$3:$B$65,"MDZ140R",$F$3:$F$65)*INDEX($Q$20:$Q$77,MATCH(B17,$N$20:$N$77,0))),""))=0,"",IF(B17="MDZ140R","",IFERROR((SUMIF($B$3:$B$65,"MDZ140R",$F$3:$F$65)*INDEX($Q$20:$Q$77,MATCH(B17,$N$20:$N$77,0))),"")))</f>
        <v/>
      </c>
      <c r="F17" s="42">
        <f t="shared" si="0"/>
        <v>0.3967</v>
      </c>
      <c r="H17" s="192" t="s">
        <v>95</v>
      </c>
      <c r="I17" s="214">
        <f>IFERROR(VLOOKUP(H17,$B$3:$F$62,5,FALSE),"")</f>
        <v>0.2908</v>
      </c>
      <c r="J17" s="204"/>
      <c r="T17" s="56" t="s">
        <v>95</v>
      </c>
      <c r="U17" s="87">
        <f>IFERROR(VLOOKUP(T17,$B$3:$F$64,5,FALSE),"")</f>
        <v>0.2908</v>
      </c>
      <c r="V17" s="116"/>
    </row>
    <row r="18" spans="2:22" s="1" customFormat="1" x14ac:dyDescent="0.3">
      <c r="B18" s="40" t="s">
        <v>29</v>
      </c>
      <c r="C18" s="41" t="s">
        <v>30</v>
      </c>
      <c r="D18" s="42">
        <v>0.82340000000000002</v>
      </c>
      <c r="E18" s="24" t="str">
        <f>IF(IF(B18="MDZ140R","",IFERROR((SUMIF($B$3:$B$65,"MDZ140R",$F$3:$F$65)*INDEX($Q$20:$Q$77,MATCH(B18,$N$20:$N$77,0))),""))=0,"",IF(B18="MDZ140R","",IFERROR((SUMIF($B$3:$B$65,"MDZ140R",$F$3:$F$65)*INDEX($Q$20:$Q$77,MATCH(B18,$N$20:$N$77,0))),"")))</f>
        <v/>
      </c>
      <c r="F18" s="42">
        <f t="shared" si="0"/>
        <v>0.82340000000000002</v>
      </c>
      <c r="H18" s="192" t="s">
        <v>96</v>
      </c>
      <c r="I18" s="214" t="str">
        <f>IFERROR(VLOOKUP(H18,$B$3:$F$62,5,FALSE),"")</f>
        <v/>
      </c>
      <c r="J18" s="198"/>
      <c r="T18" s="56" t="s">
        <v>96</v>
      </c>
      <c r="U18" s="87" t="str">
        <f>IFERROR(VLOOKUP(T18,$B$3:$F$64,5,FALSE),"")</f>
        <v/>
      </c>
      <c r="V18" s="113"/>
    </row>
    <row r="19" spans="2:22" s="1" customFormat="1" x14ac:dyDescent="0.3">
      <c r="B19" s="40" t="s">
        <v>31</v>
      </c>
      <c r="C19" s="41" t="s">
        <v>67</v>
      </c>
      <c r="D19" s="42">
        <v>0.14799999999999999</v>
      </c>
      <c r="E19" s="24" t="str">
        <f>IF(IF(B19="MDZ140R","",IFERROR((SUMIF($B$3:$B$65,"MDZ140R",$F$3:$F$65)*INDEX($Q$20:$Q$77,MATCH(B19,$N$20:$N$77,0))),""))=0,"",IF(B19="MDZ140R","",IFERROR((SUMIF($B$3:$B$65,"MDZ140R",$F$3:$F$65)*INDEX($Q$20:$Q$77,MATCH(B19,$N$20:$N$77,0))),"")))</f>
        <v/>
      </c>
      <c r="F19" s="42">
        <f t="shared" si="0"/>
        <v>0.14799999999999999</v>
      </c>
      <c r="H19" s="192" t="s">
        <v>97</v>
      </c>
      <c r="I19" s="214" t="str">
        <f>IFERROR(VLOOKUP(H19,$B$3:$F$62,5,FALSE),"")</f>
        <v/>
      </c>
      <c r="J19" s="198"/>
      <c r="L19" s="112" t="s">
        <v>101</v>
      </c>
      <c r="M19" s="112" t="s">
        <v>102</v>
      </c>
      <c r="N19" s="112" t="s">
        <v>103</v>
      </c>
      <c r="O19" s="112" t="s">
        <v>69</v>
      </c>
      <c r="P19" s="112" t="s">
        <v>104</v>
      </c>
      <c r="Q19" s="112" t="s">
        <v>105</v>
      </c>
      <c r="R19" s="112" t="s">
        <v>106</v>
      </c>
      <c r="T19" s="56" t="s">
        <v>97</v>
      </c>
      <c r="U19" s="87" t="str">
        <f>IFERROR(VLOOKUP(T19,$B$3:$F$64,5,FALSE),"")</f>
        <v/>
      </c>
      <c r="V19" s="113"/>
    </row>
    <row r="20" spans="2:22" s="1" customFormat="1" x14ac:dyDescent="0.3">
      <c r="B20" s="40" t="s">
        <v>32</v>
      </c>
      <c r="C20" s="41" t="s">
        <v>33</v>
      </c>
      <c r="D20" s="42">
        <v>0.42849999999999999</v>
      </c>
      <c r="E20" s="24" t="str">
        <f>IF(IF(B20="MDZ140R","",IFERROR((SUMIF($B$3:$B$65,"MDZ140R",$F$3:$F$65)*INDEX($Q$20:$Q$77,MATCH(B20,$N$20:$N$77,0))),""))=0,"",IF(B20="MDZ140R","",IFERROR((SUMIF($B$3:$B$65,"MDZ140R",$F$3:$F$65)*INDEX($Q$20:$Q$77,MATCH(B20,$N$20:$N$77,0))),"")))</f>
        <v/>
      </c>
      <c r="F20" s="42">
        <f t="shared" si="0"/>
        <v>0.42849999999999999</v>
      </c>
      <c r="H20" s="192" t="s">
        <v>98</v>
      </c>
      <c r="I20" s="214" t="str">
        <f>IFERROR(VLOOKUP(H20,$B$3:$F$62,5,FALSE),"")</f>
        <v/>
      </c>
      <c r="J20" s="198"/>
      <c r="L20" s="124" t="s">
        <v>107</v>
      </c>
      <c r="M20" s="56"/>
      <c r="N20" s="56" t="s">
        <v>84</v>
      </c>
      <c r="O20" s="56" t="s">
        <v>108</v>
      </c>
      <c r="P20" s="125">
        <v>75</v>
      </c>
      <c r="Q20" s="126">
        <v>0.40983599999999998</v>
      </c>
      <c r="R20" s="56"/>
      <c r="T20" s="56" t="s">
        <v>98</v>
      </c>
      <c r="U20" s="87" t="str">
        <f>IFERROR(VLOOKUP(T20,$B$3:$F$64,5,FALSE),"")</f>
        <v/>
      </c>
      <c r="V20" s="113"/>
    </row>
    <row r="21" spans="2:22" s="1" customFormat="1" x14ac:dyDescent="0.3">
      <c r="B21" s="40" t="s">
        <v>34</v>
      </c>
      <c r="C21" s="41" t="s">
        <v>35</v>
      </c>
      <c r="D21" s="42">
        <v>0.52310000000000001</v>
      </c>
      <c r="E21" s="24" t="str">
        <f>IF(IF(B21="MDZ140R","",IFERROR((SUMIF($B$3:$B$65,"MDZ140R",$F$3:$F$65)*INDEX($Q$20:$Q$77,MATCH(B21,$N$20:$N$77,0))),""))=0,"",IF(B21="MDZ140R","",IFERROR((SUMIF($B$3:$B$65,"MDZ140R",$F$3:$F$65)*INDEX($Q$20:$Q$77,MATCH(B21,$N$20:$N$77,0))),"")))</f>
        <v/>
      </c>
      <c r="F21" s="42">
        <f t="shared" si="0"/>
        <v>0.52310000000000001</v>
      </c>
      <c r="H21" s="192" t="s">
        <v>99</v>
      </c>
      <c r="I21" s="214" t="str">
        <f>IFERROR(VLOOKUP(H21,$B$3:$F$62,5,FALSE),"")</f>
        <v/>
      </c>
      <c r="J21" s="198"/>
      <c r="L21" s="56"/>
      <c r="M21" s="56"/>
      <c r="N21" s="56" t="s">
        <v>46</v>
      </c>
      <c r="O21" s="56" t="s">
        <v>47</v>
      </c>
      <c r="P21" s="125">
        <v>25</v>
      </c>
      <c r="Q21" s="126">
        <v>0.13661200000000001</v>
      </c>
      <c r="R21" s="56"/>
      <c r="T21" s="56" t="s">
        <v>99</v>
      </c>
      <c r="U21" s="87" t="str">
        <f>IFERROR(VLOOKUP(T21,$B$3:$F$64,5,FALSE),"")</f>
        <v/>
      </c>
      <c r="V21" s="113"/>
    </row>
    <row r="22" spans="2:22" s="1" customFormat="1" x14ac:dyDescent="0.3">
      <c r="B22" s="40" t="s">
        <v>36</v>
      </c>
      <c r="C22" s="41" t="s">
        <v>37</v>
      </c>
      <c r="D22" s="42">
        <v>0.84150000000000003</v>
      </c>
      <c r="E22" s="24" t="str">
        <f>IF(IF(B22="MDZ140R","",IFERROR((SUMIF($B$3:$B$65,"MDZ140R",$F$3:$F$65)*INDEX($Q$20:$Q$77,MATCH(B22,$N$20:$N$77,0))),""))=0,"",IF(B22="MDZ140R","",IFERROR((SUMIF($B$3:$B$65,"MDZ140R",$F$3:$F$65)*INDEX($Q$20:$Q$77,MATCH(B22,$N$20:$N$77,0))),"")))</f>
        <v/>
      </c>
      <c r="F22" s="42">
        <f t="shared" si="0"/>
        <v>0.84150000000000003</v>
      </c>
      <c r="H22" s="197" t="s">
        <v>70</v>
      </c>
      <c r="I22" s="214" t="str">
        <f>IFERROR(VLOOKUP(H22,$B$3:$F$62,5,FALSE),"")</f>
        <v/>
      </c>
      <c r="J22" s="198">
        <f>SUM(I22:I33)</f>
        <v>0.4073</v>
      </c>
      <c r="L22" s="56"/>
      <c r="M22" s="56"/>
      <c r="N22" s="56" t="s">
        <v>9</v>
      </c>
      <c r="O22" s="56" t="s">
        <v>109</v>
      </c>
      <c r="P22" s="125">
        <v>60</v>
      </c>
      <c r="Q22" s="126">
        <v>0.32786900000000002</v>
      </c>
      <c r="R22" s="56"/>
      <c r="T22" s="60" t="s">
        <v>70</v>
      </c>
      <c r="U22" s="87" t="str">
        <f>IFERROR(VLOOKUP(T22,$B$3:$F$64,5,FALSE),"")</f>
        <v/>
      </c>
      <c r="V22" s="113">
        <f>SUM(U22:U33)</f>
        <v>0</v>
      </c>
    </row>
    <row r="23" spans="2:22" s="144" customFormat="1" x14ac:dyDescent="0.3">
      <c r="B23" s="179"/>
      <c r="C23" s="180"/>
      <c r="D23" s="181"/>
      <c r="E23" s="182"/>
      <c r="F23" s="181"/>
      <c r="H23" s="199" t="s">
        <v>336</v>
      </c>
      <c r="I23" s="217">
        <v>0.4073</v>
      </c>
      <c r="J23" s="186"/>
      <c r="L23" s="183"/>
      <c r="M23" s="183"/>
      <c r="N23" s="183"/>
      <c r="O23" s="183"/>
      <c r="P23" s="185"/>
      <c r="Q23" s="186"/>
      <c r="R23" s="183"/>
      <c r="T23" s="199"/>
      <c r="U23" s="195"/>
      <c r="V23" s="186"/>
    </row>
    <row r="24" spans="2:22" s="1" customFormat="1" x14ac:dyDescent="0.3">
      <c r="B24" s="40" t="s">
        <v>38</v>
      </c>
      <c r="C24" s="41" t="s">
        <v>39</v>
      </c>
      <c r="D24" s="42">
        <v>0.85419999999999996</v>
      </c>
      <c r="E24" s="24" t="str">
        <f>IF(IF(B24="MDZ140R","",IFERROR((SUMIF($B$3:$B$65,"MDZ140R",$F$3:$F$65)*INDEX($Q$20:$Q$77,MATCH(B24,$N$20:$N$77,0))),""))=0,"",IF(B24="MDZ140R","",IFERROR((SUMIF($B$3:$B$65,"MDZ140R",$F$3:$F$65)*INDEX($Q$20:$Q$77,MATCH(B24,$N$20:$N$77,0))),"")))</f>
        <v/>
      </c>
      <c r="F24" s="42">
        <f t="shared" si="0"/>
        <v>0.85419999999999996</v>
      </c>
      <c r="H24" s="192"/>
      <c r="I24" s="214" t="str">
        <f>IFERROR(VLOOKUP(H24,$B$3:$F$62,5,FALSE),"")</f>
        <v/>
      </c>
      <c r="J24" s="204"/>
      <c r="L24" s="56"/>
      <c r="M24" s="56"/>
      <c r="N24" s="56" t="s">
        <v>14</v>
      </c>
      <c r="O24" s="56" t="s">
        <v>15</v>
      </c>
      <c r="P24" s="125">
        <v>5</v>
      </c>
      <c r="Q24" s="126">
        <v>2.7321999999999999E-2</v>
      </c>
      <c r="R24" s="56"/>
      <c r="T24" s="56"/>
      <c r="U24" s="87" t="str">
        <f>IFERROR(VLOOKUP(T24,$B$3:$F$64,5,FALSE),"")</f>
        <v/>
      </c>
      <c r="V24" s="116"/>
    </row>
    <row r="25" spans="2:22" s="1" customFormat="1" x14ac:dyDescent="0.3">
      <c r="B25" s="40" t="s">
        <v>65</v>
      </c>
      <c r="C25" s="41" t="s">
        <v>40</v>
      </c>
      <c r="D25" s="42">
        <v>0.7137</v>
      </c>
      <c r="E25" s="24" t="str">
        <f>IF(IF(B25="MDZ140R","",IFERROR((SUMIF($B$3:$B$65,"MDZ140R",$F$3:$F$65)*INDEX($Q$20:$Q$77,MATCH(B25,$N$20:$N$77,0))),""))=0,"",IF(B25="MDZ140R","",IFERROR((SUMIF($B$3:$B$65,"MDZ140R",$F$3:$F$65)*INDEX($Q$20:$Q$77,MATCH(B25,$N$20:$N$77,0))),"")))</f>
        <v/>
      </c>
      <c r="F25" s="42">
        <f t="shared" si="0"/>
        <v>0.7137</v>
      </c>
      <c r="H25" s="192"/>
      <c r="I25" s="214" t="str">
        <f>IFERROR(VLOOKUP(H25,$B$3:$F$62,5,FALSE),"")</f>
        <v/>
      </c>
      <c r="J25" s="204"/>
      <c r="L25" s="56"/>
      <c r="M25" s="56"/>
      <c r="N25" s="56" t="s">
        <v>60</v>
      </c>
      <c r="O25" s="56" t="s">
        <v>4</v>
      </c>
      <c r="P25" s="125">
        <v>2</v>
      </c>
      <c r="Q25" s="126">
        <v>1.0928999999999999E-2</v>
      </c>
      <c r="R25" s="56"/>
      <c r="T25" s="56"/>
      <c r="U25" s="87" t="str">
        <f>IFERROR(VLOOKUP(T25,$B$3:$F$64,5,FALSE),"")</f>
        <v/>
      </c>
      <c r="V25" s="116"/>
    </row>
    <row r="26" spans="2:22" s="1" customFormat="1" x14ac:dyDescent="0.3">
      <c r="B26" s="40" t="s">
        <v>41</v>
      </c>
      <c r="C26" s="41" t="s">
        <v>66</v>
      </c>
      <c r="D26" s="42">
        <v>0.84079999999999999</v>
      </c>
      <c r="E26" s="24" t="str">
        <f>IF(IF(B26="MDZ140R","",IFERROR((SUMIF($B$3:$B$65,"MDZ140R",$F$3:$F$65)*INDEX($Q$20:$Q$77,MATCH(B26,$N$20:$N$77,0))),""))=0,"",IF(B26="MDZ140R","",IFERROR((SUMIF($B$3:$B$65,"MDZ140R",$F$3:$F$65)*INDEX($Q$20:$Q$77,MATCH(B26,$N$20:$N$77,0))),"")))</f>
        <v/>
      </c>
      <c r="F26" s="42">
        <f t="shared" si="0"/>
        <v>0.84079999999999999</v>
      </c>
      <c r="H26" s="192"/>
      <c r="I26" s="214" t="str">
        <f>IFERROR(VLOOKUP(H26,$B$3:$F$62,5,FALSE),"")</f>
        <v/>
      </c>
      <c r="J26" s="204"/>
      <c r="L26" s="56"/>
      <c r="M26" s="56"/>
      <c r="N26" s="56" t="s">
        <v>61</v>
      </c>
      <c r="O26" s="56" t="s">
        <v>5</v>
      </c>
      <c r="P26" s="125">
        <v>2</v>
      </c>
      <c r="Q26" s="126">
        <v>1.0928999999999999E-2</v>
      </c>
      <c r="R26" s="56"/>
      <c r="T26" s="56"/>
      <c r="U26" s="87" t="str">
        <f>IFERROR(VLOOKUP(T26,$B$3:$F$64,5,FALSE),"")</f>
        <v/>
      </c>
      <c r="V26" s="116"/>
    </row>
    <row r="27" spans="2:22" s="1" customFormat="1" x14ac:dyDescent="0.3">
      <c r="B27" s="40" t="s">
        <v>42</v>
      </c>
      <c r="C27" s="41" t="s">
        <v>43</v>
      </c>
      <c r="D27" s="42">
        <v>0.77139999999999997</v>
      </c>
      <c r="E27" s="24" t="str">
        <f>IF(IF(B27="MDZ140R","",IFERROR((SUMIF($B$3:$B$65,"MDZ140R",$F$3:$F$65)*INDEX($Q$20:$Q$77,MATCH(B27,$N$20:$N$77,0))),""))=0,"",IF(B27="MDZ140R","",IFERROR((SUMIF($B$3:$B$65,"MDZ140R",$F$3:$F$65)*INDEX($Q$20:$Q$77,MATCH(B27,$N$20:$N$77,0))),"")))</f>
        <v/>
      </c>
      <c r="F27" s="42">
        <f t="shared" si="0"/>
        <v>0.77139999999999997</v>
      </c>
      <c r="H27" s="192"/>
      <c r="I27" s="214" t="str">
        <f>IFERROR(VLOOKUP(H27,$B$3:$F$62,5,FALSE),"")</f>
        <v/>
      </c>
      <c r="J27" s="204"/>
      <c r="L27" s="56"/>
      <c r="M27" s="56"/>
      <c r="N27" s="56" t="s">
        <v>18</v>
      </c>
      <c r="O27" s="56" t="s">
        <v>110</v>
      </c>
      <c r="P27" s="125">
        <v>4</v>
      </c>
      <c r="Q27" s="126">
        <v>2.1857999999999999E-2</v>
      </c>
      <c r="R27" s="56"/>
      <c r="T27" s="56"/>
      <c r="U27" s="87" t="str">
        <f>IFERROR(VLOOKUP(T27,$B$3:$F$64,5,FALSE),"")</f>
        <v/>
      </c>
      <c r="V27" s="116"/>
    </row>
    <row r="28" spans="2:22" s="1" customFormat="1" x14ac:dyDescent="0.3">
      <c r="B28" s="40" t="s">
        <v>44</v>
      </c>
      <c r="C28" s="41" t="s">
        <v>146</v>
      </c>
      <c r="D28" s="42">
        <v>0.3614</v>
      </c>
      <c r="E28" s="24" t="str">
        <f>IF(IF(B28="MDZ140R","",IFERROR((SUMIF($B$3:$B$65,"MDZ140R",$F$3:$F$65)*INDEX($Q$20:$Q$77,MATCH(B28,$N$20:$N$77,0))),""))=0,"",IF(B28="MDZ140R","",IFERROR((SUMIF($B$3:$B$65,"MDZ140R",$F$3:$F$65)*INDEX($Q$20:$Q$77,MATCH(B28,$N$20:$N$77,0))),"")))</f>
        <v/>
      </c>
      <c r="F28" s="42">
        <f t="shared" si="0"/>
        <v>0.3614</v>
      </c>
      <c r="H28" s="192"/>
      <c r="I28" s="214" t="str">
        <f>IFERROR(VLOOKUP(H28,$B$3:$F$62,5,FALSE),"")</f>
        <v/>
      </c>
      <c r="J28" s="204"/>
      <c r="L28" s="56"/>
      <c r="M28" s="56"/>
      <c r="N28" s="56" t="s">
        <v>24</v>
      </c>
      <c r="O28" s="56" t="s">
        <v>111</v>
      </c>
      <c r="P28" s="125">
        <v>1</v>
      </c>
      <c r="Q28" s="126">
        <v>5.4640000000000001E-3</v>
      </c>
      <c r="R28" s="56"/>
      <c r="T28" s="56"/>
      <c r="U28" s="87" t="str">
        <f>IFERROR(VLOOKUP(T28,$B$3:$F$64,5,FALSE),"")</f>
        <v/>
      </c>
      <c r="V28" s="116"/>
    </row>
    <row r="29" spans="2:22" s="1" customFormat="1" x14ac:dyDescent="0.3">
      <c r="B29" s="40" t="s">
        <v>45</v>
      </c>
      <c r="C29" s="41" t="s">
        <v>183</v>
      </c>
      <c r="D29" s="42">
        <v>0.80269999999999997</v>
      </c>
      <c r="E29" s="24" t="str">
        <f>IF(IF(B29="MDZ140R","",IFERROR((SUMIF($B$3:$B$65,"MDZ140R",$F$3:$F$65)*INDEX($Q$20:$Q$77,MATCH(B29,$N$20:$N$77,0))),""))=0,"",IF(B29="MDZ140R","",IFERROR((SUMIF($B$3:$B$65,"MDZ140R",$F$3:$F$65)*INDEX($Q$20:$Q$77,MATCH(B29,$N$20:$N$77,0))),"")))</f>
        <v/>
      </c>
      <c r="F29" s="42">
        <f t="shared" si="0"/>
        <v>0.80269999999999997</v>
      </c>
      <c r="H29" s="192"/>
      <c r="I29" s="214" t="str">
        <f>IFERROR(VLOOKUP(H29,$B$3:$F$62,5,FALSE),"")</f>
        <v/>
      </c>
      <c r="J29" s="204"/>
      <c r="L29" s="56"/>
      <c r="M29" s="56"/>
      <c r="N29" s="56" t="s">
        <v>64</v>
      </c>
      <c r="O29" s="127">
        <v>4020</v>
      </c>
      <c r="P29" s="125">
        <v>3</v>
      </c>
      <c r="Q29" s="126">
        <v>1.6393000000000001E-2</v>
      </c>
      <c r="R29" s="56"/>
      <c r="T29" s="56"/>
      <c r="U29" s="87" t="str">
        <f>IFERROR(VLOOKUP(T29,$B$3:$F$64,5,FALSE),"")</f>
        <v/>
      </c>
      <c r="V29" s="116"/>
    </row>
    <row r="30" spans="2:22" s="1" customFormat="1" x14ac:dyDescent="0.3">
      <c r="B30" s="40" t="s">
        <v>46</v>
      </c>
      <c r="C30" s="41" t="s">
        <v>47</v>
      </c>
      <c r="D30" s="42">
        <v>0.6925</v>
      </c>
      <c r="E30" s="24" t="str">
        <f>IF(IF(B30="MDZ140R","",IFERROR((SUMIF($B$3:$B$65,"MDZ140R",$F$3:$F$65)*INDEX($Q$20:$Q$77,MATCH(B30,$N$20:$N$77,0))),""))=0,"",IF(B30="MDZ140R","",IFERROR((SUMIF($B$3:$B$65,"MDZ140R",$F$3:$F$65)*INDEX($Q$20:$Q$77,MATCH(B30,$N$20:$N$77,0))),"")))</f>
        <v/>
      </c>
      <c r="F30" s="42">
        <f t="shared" si="0"/>
        <v>0.6925</v>
      </c>
      <c r="H30" s="205"/>
      <c r="I30" s="214" t="str">
        <f>IFERROR(VLOOKUP(H30,$B$3:$F$62,5,FALSE),"")</f>
        <v/>
      </c>
      <c r="J30" s="204"/>
      <c r="L30" s="56"/>
      <c r="M30" s="56"/>
      <c r="N30" s="56" t="s">
        <v>34</v>
      </c>
      <c r="O30" s="56" t="s">
        <v>112</v>
      </c>
      <c r="P30" s="125">
        <v>2</v>
      </c>
      <c r="Q30" s="126">
        <v>1.0928999999999999E-2</v>
      </c>
      <c r="R30" s="56"/>
      <c r="T30" s="117"/>
      <c r="U30" s="87" t="str">
        <f>IFERROR(VLOOKUP(T30,$B$3:$F$64,5,FALSE),"")</f>
        <v/>
      </c>
      <c r="V30" s="116"/>
    </row>
    <row r="31" spans="2:22" s="1" customFormat="1" x14ac:dyDescent="0.3">
      <c r="B31" s="40" t="s">
        <v>48</v>
      </c>
      <c r="C31" s="41" t="s">
        <v>49</v>
      </c>
      <c r="D31" s="42">
        <v>7.1800000000000003E-2</v>
      </c>
      <c r="E31" s="24" t="str">
        <f>IF(IF(B31="MDZ140R","",IFERROR((SUMIF($B$3:$B$65,"MDZ140R",$F$3:$F$65)*INDEX($Q$20:$Q$77,MATCH(B31,$N$20:$N$77,0))),""))=0,"",IF(B31="MDZ140R","",IFERROR((SUMIF($B$3:$B$65,"MDZ140R",$F$3:$F$65)*INDEX($Q$20:$Q$77,MATCH(B31,$N$20:$N$77,0))),"")))</f>
        <v/>
      </c>
      <c r="F31" s="42">
        <f t="shared" si="0"/>
        <v>7.1800000000000003E-2</v>
      </c>
      <c r="H31" s="192"/>
      <c r="I31" s="214" t="str">
        <f>IFERROR(VLOOKUP(H31,$B$3:$F$62,5,FALSE),"")</f>
        <v/>
      </c>
      <c r="J31" s="198"/>
      <c r="L31" s="56"/>
      <c r="M31" s="56"/>
      <c r="N31" s="56" t="s">
        <v>63</v>
      </c>
      <c r="O31" s="56" t="s">
        <v>23</v>
      </c>
      <c r="P31" s="125">
        <v>1</v>
      </c>
      <c r="Q31" s="126">
        <v>5.4640000000000001E-3</v>
      </c>
      <c r="R31" s="56"/>
      <c r="T31" s="56"/>
      <c r="U31" s="87" t="str">
        <f>IFERROR(VLOOKUP(T31,$B$3:$F$64,5,FALSE),"")</f>
        <v/>
      </c>
      <c r="V31" s="113"/>
    </row>
    <row r="32" spans="2:22" s="1" customFormat="1" x14ac:dyDescent="0.3">
      <c r="B32" s="40" t="s">
        <v>50</v>
      </c>
      <c r="C32" s="41" t="s">
        <v>51</v>
      </c>
      <c r="D32" s="42">
        <v>4.8500000000000001E-2</v>
      </c>
      <c r="E32" s="24" t="str">
        <f>IF(IF(B32="MDZ140R","",IFERROR((SUMIF($B$3:$B$65,"MDZ140R",$F$3:$F$65)*INDEX($Q$20:$Q$77,MATCH(B32,$N$20:$N$77,0))),""))=0,"",IF(B32="MDZ140R","",IFERROR((SUMIF($B$3:$B$65,"MDZ140R",$F$3:$F$65)*INDEX($Q$20:$Q$77,MATCH(B32,$N$20:$N$77,0))),"")))</f>
        <v/>
      </c>
      <c r="F32" s="42">
        <f t="shared" si="0"/>
        <v>4.8500000000000001E-2</v>
      </c>
      <c r="H32" s="192"/>
      <c r="I32" s="214" t="str">
        <f>IFERROR(VLOOKUP(H32,$B$3:$F$62,5,FALSE),"")</f>
        <v/>
      </c>
      <c r="J32" s="198"/>
      <c r="L32" s="56"/>
      <c r="M32" s="56"/>
      <c r="N32" s="56" t="s">
        <v>7</v>
      </c>
      <c r="O32" s="56" t="s">
        <v>8</v>
      </c>
      <c r="P32" s="125">
        <v>1</v>
      </c>
      <c r="Q32" s="126">
        <v>5.4640000000000001E-3</v>
      </c>
      <c r="R32" s="56"/>
      <c r="T32" s="56"/>
      <c r="U32" s="87" t="str">
        <f>IFERROR(VLOOKUP(T32,$B$3:$F$64,5,FALSE),"")</f>
        <v/>
      </c>
      <c r="V32" s="113"/>
    </row>
    <row r="33" spans="2:22" s="1" customFormat="1" x14ac:dyDescent="0.3">
      <c r="B33" s="40" t="s">
        <v>52</v>
      </c>
      <c r="C33" s="41" t="s">
        <v>184</v>
      </c>
      <c r="D33" s="42">
        <v>0.34699999999999998</v>
      </c>
      <c r="E33" s="24" t="str">
        <f>IF(IF(B33="MDZ140R","",IFERROR((SUMIF($B$3:$B$65,"MDZ140R",$F$3:$F$65)*INDEX($Q$20:$Q$77,MATCH(B33,$N$20:$N$77,0))),""))=0,"",IF(B33="MDZ140R","",IFERROR((SUMIF($B$3:$B$65,"MDZ140R",$F$3:$F$65)*INDEX($Q$20:$Q$77,MATCH(B33,$N$20:$N$77,0))),"")))</f>
        <v/>
      </c>
      <c r="F33" s="42">
        <f t="shared" si="0"/>
        <v>0.34699999999999998</v>
      </c>
      <c r="H33" s="189"/>
      <c r="I33" s="214" t="str">
        <f>IFERROR(VLOOKUP(H33,$B$3:$F$62,5,FALSE),"")</f>
        <v/>
      </c>
      <c r="J33" s="198"/>
      <c r="L33" s="56"/>
      <c r="M33" s="56"/>
      <c r="N33" s="56" t="s">
        <v>27</v>
      </c>
      <c r="O33" s="56" t="s">
        <v>113</v>
      </c>
      <c r="P33" s="125">
        <v>1</v>
      </c>
      <c r="Q33" s="126">
        <v>5.4640000000000001E-3</v>
      </c>
      <c r="R33" s="56"/>
      <c r="T33" s="59"/>
      <c r="U33" s="87" t="str">
        <f>IFERROR(VLOOKUP(T33,$B$3:$F$64,5,FALSE),"")</f>
        <v/>
      </c>
      <c r="V33" s="113"/>
    </row>
    <row r="34" spans="2:22" s="144" customFormat="1" x14ac:dyDescent="0.3">
      <c r="B34" s="179"/>
      <c r="C34" s="180"/>
      <c r="D34" s="181"/>
      <c r="E34" s="182"/>
      <c r="F34" s="181"/>
      <c r="H34" s="189" t="s">
        <v>72</v>
      </c>
      <c r="I34" s="216"/>
      <c r="J34" s="191">
        <f>SUM(I34:I76)</f>
        <v>0.41917500000000002</v>
      </c>
      <c r="L34" s="183"/>
      <c r="M34" s="183"/>
      <c r="N34" s="183"/>
      <c r="O34" s="183"/>
      <c r="P34" s="185"/>
      <c r="Q34" s="186"/>
      <c r="R34" s="183"/>
      <c r="T34" s="183"/>
      <c r="U34" s="195"/>
      <c r="V34" s="184"/>
    </row>
    <row r="35" spans="2:22" s="144" customFormat="1" x14ac:dyDescent="0.3">
      <c r="B35" s="179"/>
      <c r="C35" s="180"/>
      <c r="D35" s="181"/>
      <c r="E35" s="182"/>
      <c r="F35" s="181"/>
      <c r="H35" s="183" t="s">
        <v>427</v>
      </c>
      <c r="I35" s="218">
        <v>0.41917500000000002</v>
      </c>
      <c r="J35" s="184"/>
      <c r="L35" s="183"/>
      <c r="M35" s="183"/>
      <c r="N35" s="183"/>
      <c r="O35" s="183"/>
      <c r="P35" s="185"/>
      <c r="Q35" s="186"/>
      <c r="R35" s="183"/>
      <c r="T35" s="183"/>
      <c r="U35" s="195"/>
      <c r="V35" s="184"/>
    </row>
    <row r="36" spans="2:22" s="144" customFormat="1" x14ac:dyDescent="0.3">
      <c r="B36" s="179"/>
      <c r="C36" s="180"/>
      <c r="D36" s="181"/>
      <c r="E36" s="182"/>
      <c r="F36" s="181"/>
      <c r="H36" s="189"/>
      <c r="I36" s="214"/>
      <c r="J36" s="191"/>
      <c r="L36" s="183"/>
      <c r="M36" s="183"/>
      <c r="N36" s="183"/>
      <c r="O36" s="183"/>
      <c r="P36" s="185"/>
      <c r="Q36" s="186"/>
      <c r="R36" s="183"/>
      <c r="T36" s="183"/>
      <c r="U36" s="195"/>
      <c r="V36" s="184"/>
    </row>
    <row r="37" spans="2:22" s="144" customFormat="1" x14ac:dyDescent="0.3">
      <c r="B37" s="179"/>
      <c r="C37" s="180"/>
      <c r="D37" s="181"/>
      <c r="E37" s="182"/>
      <c r="F37" s="181"/>
      <c r="H37" s="192"/>
      <c r="I37" s="214"/>
      <c r="J37" s="206"/>
      <c r="L37" s="183"/>
      <c r="M37" s="183"/>
      <c r="N37" s="183"/>
      <c r="O37" s="183"/>
      <c r="P37" s="185"/>
      <c r="Q37" s="186"/>
      <c r="R37" s="183"/>
      <c r="T37" s="183"/>
      <c r="U37" s="195"/>
      <c r="V37" s="184"/>
    </row>
    <row r="38" spans="2:22" s="144" customFormat="1" x14ac:dyDescent="0.3">
      <c r="B38" s="179"/>
      <c r="C38" s="180"/>
      <c r="D38" s="181"/>
      <c r="E38" s="182"/>
      <c r="F38" s="181"/>
      <c r="H38" s="192"/>
      <c r="I38" s="214"/>
      <c r="J38" s="206"/>
      <c r="L38" s="183"/>
      <c r="M38" s="183"/>
      <c r="N38" s="183"/>
      <c r="O38" s="183"/>
      <c r="P38" s="185"/>
      <c r="Q38" s="186"/>
      <c r="R38" s="183"/>
      <c r="T38" s="189"/>
      <c r="U38" s="190"/>
      <c r="V38" s="191"/>
    </row>
    <row r="39" spans="2:22" s="144" customFormat="1" x14ac:dyDescent="0.3">
      <c r="B39" s="179"/>
      <c r="C39" s="180"/>
      <c r="D39" s="181"/>
      <c r="E39" s="182"/>
      <c r="F39" s="181"/>
      <c r="H39" s="192"/>
      <c r="I39" s="214" t="str">
        <f>IFERROR(VLOOKUP(H39,$B$3:$F$62,5,FALSE),"")</f>
        <v/>
      </c>
      <c r="J39" s="206"/>
      <c r="L39" s="183"/>
      <c r="M39" s="183"/>
      <c r="N39" s="183"/>
      <c r="O39" s="183"/>
      <c r="P39" s="185"/>
      <c r="Q39" s="186"/>
      <c r="R39" s="183"/>
      <c r="T39" s="183"/>
      <c r="U39" s="87"/>
      <c r="V39" s="184"/>
    </row>
    <row r="40" spans="2:22" s="144" customFormat="1" x14ac:dyDescent="0.3">
      <c r="B40" s="40" t="s">
        <v>55</v>
      </c>
      <c r="C40" s="89" t="s">
        <v>56</v>
      </c>
      <c r="D40" s="42">
        <v>0.61050000000000004</v>
      </c>
      <c r="E40" s="24" t="str">
        <f>IF(IF(B40="MDZ140R","",IFERROR((SUMIF($B$3:$B$65,"MDZ140R",$F$3:$F$65)*INDEX($Q$20:$Q$77,MATCH(B40,$N$20:$N$77,0))),""))=0,"",IF(B40="MDZ140R","",IFERROR((SUMIF($B$3:$B$65,"MDZ140R",$F$3:$F$65)*INDEX($Q$20:$Q$77,MATCH(B40,$N$20:$N$77,0))),"")))</f>
        <v/>
      </c>
      <c r="F40" s="42">
        <f t="shared" ref="F40:F60" si="2">IF(D40="","",D40+ IF(E40="",0,E40))</f>
        <v>0.61050000000000004</v>
      </c>
      <c r="H40" s="192"/>
      <c r="I40" s="214" t="str">
        <f>IFERROR(VLOOKUP(H40,$B$3:$F$62,5,FALSE),"")</f>
        <v/>
      </c>
      <c r="J40" s="206"/>
      <c r="L40" s="145"/>
      <c r="M40" s="145"/>
      <c r="N40" s="145"/>
      <c r="O40" s="145"/>
      <c r="P40" s="147"/>
      <c r="Q40" s="148"/>
      <c r="R40" s="145"/>
      <c r="T40" s="145"/>
      <c r="U40" s="87"/>
      <c r="V40" s="146"/>
    </row>
    <row r="41" spans="2:22" s="1" customFormat="1" x14ac:dyDescent="0.3">
      <c r="B41" s="89" t="s">
        <v>114</v>
      </c>
      <c r="C41" s="141" t="s">
        <v>115</v>
      </c>
      <c r="D41" s="42">
        <v>0.80359999999999998</v>
      </c>
      <c r="E41" s="24" t="str">
        <f>IF(IF(B41="MDZ140R","",IFERROR((SUMIF($B$3:$B$65,"MDZ140R",$F$3:$F$65)*INDEX($Q$20:$Q$77,MATCH(B41,$N$20:$N$77,0))),""))=0,"",IF(B41="MDZ140R","",IFERROR((SUMIF($B$3:$B$65,"MDZ140R",$F$3:$F$65)*INDEX($Q$20:$Q$77,MATCH(B41,$N$20:$N$77,0))),"")))</f>
        <v/>
      </c>
      <c r="F41" s="42">
        <f t="shared" si="2"/>
        <v>0.80359999999999998</v>
      </c>
      <c r="H41" s="192"/>
      <c r="I41" s="214" t="str">
        <f>IFERROR(VLOOKUP(H41,$B$3:$F$62,5,FALSE),"")</f>
        <v/>
      </c>
      <c r="J41" s="206"/>
      <c r="L41" s="56"/>
      <c r="M41" s="56"/>
      <c r="N41" s="56"/>
      <c r="O41" s="56"/>
      <c r="P41" s="125"/>
      <c r="Q41" s="126"/>
      <c r="R41" s="56"/>
      <c r="T41" s="56"/>
      <c r="U41" s="87" t="str">
        <f>IFERROR(VLOOKUP(T41,$B$3:$F$64,5,FALSE),"")</f>
        <v/>
      </c>
      <c r="V41" s="129"/>
    </row>
    <row r="42" spans="2:22" s="1" customFormat="1" x14ac:dyDescent="0.3">
      <c r="B42" s="89" t="s">
        <v>116</v>
      </c>
      <c r="C42" s="89" t="s">
        <v>117</v>
      </c>
      <c r="D42" s="42">
        <v>0.89659999999999995</v>
      </c>
      <c r="E42" s="24" t="str">
        <f>IF(IF(B42="MDZ140R","",IFERROR((SUMIF($B$3:$B$65,"MDZ140R",$F$3:$F$65)*INDEX($Q$20:$Q$77,MATCH(B42,$N$20:$N$77,0))),""))=0,"",IF(B42="MDZ140R","",IFERROR((SUMIF($B$3:$B$65,"MDZ140R",$F$3:$F$65)*INDEX($Q$20:$Q$77,MATCH(B42,$N$20:$N$77,0))),"")))</f>
        <v/>
      </c>
      <c r="F42" s="42">
        <f t="shared" si="2"/>
        <v>0.89659999999999995</v>
      </c>
      <c r="H42" s="192"/>
      <c r="I42" s="214" t="str">
        <f>IFERROR(VLOOKUP(H42,$B$3:$F$62,5,FALSE),"")</f>
        <v/>
      </c>
      <c r="J42" s="206"/>
      <c r="L42" s="56"/>
      <c r="M42" s="56"/>
      <c r="N42" s="56"/>
      <c r="O42" s="56"/>
      <c r="P42" s="125"/>
      <c r="Q42" s="126"/>
      <c r="R42" s="56"/>
      <c r="T42" s="56"/>
      <c r="U42" s="87" t="str">
        <f>IFERROR(VLOOKUP(T42,$B$3:$F$64,5,FALSE),"")</f>
        <v/>
      </c>
      <c r="V42" s="129"/>
    </row>
    <row r="43" spans="2:22" s="1" customFormat="1" x14ac:dyDescent="0.3">
      <c r="B43" s="89" t="s">
        <v>87</v>
      </c>
      <c r="C43" s="89" t="s">
        <v>118</v>
      </c>
      <c r="D43" s="42">
        <v>0.55889999999999995</v>
      </c>
      <c r="E43" s="24" t="str">
        <f>IF(IF(B43="MDZ140R","",IFERROR((SUMIF($B$3:$B$65,"MDZ140R",$F$3:$F$65)*INDEX($Q$20:$Q$77,MATCH(B43,$N$20:$N$77,0))),""))=0,"",IF(B43="MDZ140R","",IFERROR((SUMIF($B$3:$B$65,"MDZ140R",$F$3:$F$65)*INDEX($Q$20:$Q$77,MATCH(B43,$N$20:$N$77,0))),"")))</f>
        <v/>
      </c>
      <c r="F43" s="42">
        <f t="shared" si="2"/>
        <v>0.55889999999999995</v>
      </c>
      <c r="H43" s="192"/>
      <c r="I43" s="214" t="str">
        <f>IFERROR(VLOOKUP(H43,$B$3:$F$62,5,FALSE),"")</f>
        <v/>
      </c>
      <c r="J43" s="206"/>
      <c r="L43" s="56"/>
      <c r="M43" s="56"/>
      <c r="N43" s="56"/>
      <c r="O43" s="56"/>
      <c r="P43" s="125"/>
      <c r="Q43" s="126"/>
      <c r="R43" s="56"/>
      <c r="T43" s="56"/>
      <c r="U43" s="87" t="str">
        <f>IFERROR(VLOOKUP(T43,$B$3:$F$64,5,FALSE),"")</f>
        <v/>
      </c>
      <c r="V43" s="129"/>
    </row>
    <row r="44" spans="2:22" s="1" customFormat="1" x14ac:dyDescent="0.3">
      <c r="B44" s="89" t="s">
        <v>119</v>
      </c>
      <c r="C44" s="89" t="s">
        <v>120</v>
      </c>
      <c r="D44" s="42">
        <v>0.46700000000000003</v>
      </c>
      <c r="E44" s="24" t="str">
        <f>IF(IF(B44="MDZ140R","",IFERROR((SUMIF($B$3:$B$65,"MDZ140R",$F$3:$F$65)*INDEX($Q$20:$Q$77,MATCH(B44,$N$20:$N$77,0))),""))=0,"",IF(B44="MDZ140R","",IFERROR((SUMIF($B$3:$B$65,"MDZ140R",$F$3:$F$65)*INDEX($Q$20:$Q$77,MATCH(B44,$N$20:$N$77,0))),"")))</f>
        <v/>
      </c>
      <c r="F44" s="42">
        <f t="shared" si="2"/>
        <v>0.46700000000000003</v>
      </c>
      <c r="H44" s="192"/>
      <c r="I44" s="214" t="str">
        <f>IFERROR(VLOOKUP(H44,$B$3:$F$62,5,FALSE),"")</f>
        <v/>
      </c>
      <c r="J44" s="206"/>
      <c r="L44" s="56"/>
      <c r="M44" s="56"/>
      <c r="N44" s="56"/>
      <c r="O44" s="56"/>
      <c r="P44" s="125"/>
      <c r="Q44" s="126"/>
      <c r="R44" s="56"/>
      <c r="T44" s="56"/>
      <c r="U44" s="87" t="str">
        <f>IFERROR(VLOOKUP(T44,$B$3:$F$64,5,FALSE),"")</f>
        <v/>
      </c>
      <c r="V44" s="129"/>
    </row>
    <row r="45" spans="2:22" s="1" customFormat="1" x14ac:dyDescent="0.3">
      <c r="B45" s="89" t="s">
        <v>121</v>
      </c>
      <c r="C45" s="89" t="s">
        <v>122</v>
      </c>
      <c r="D45" s="42">
        <v>0.36759999999999998</v>
      </c>
      <c r="E45" s="24" t="str">
        <f>IF(IF(B45="MDZ140R","",IFERROR((SUMIF($B$3:$B$65,"MDZ140R",$F$3:$F$65)*INDEX($Q$20:$Q$77,MATCH(B45,$N$20:$N$77,0))),""))=0,"",IF(B45="MDZ140R","",IFERROR((SUMIF($B$3:$B$65,"MDZ140R",$F$3:$F$65)*INDEX($Q$20:$Q$77,MATCH(B45,$N$20:$N$77,0))),"")))</f>
        <v/>
      </c>
      <c r="F45" s="42">
        <f t="shared" si="2"/>
        <v>0.36759999999999998</v>
      </c>
      <c r="H45" s="192"/>
      <c r="I45" s="214" t="str">
        <f>IFERROR(VLOOKUP(H45,$B$3:$F$62,5,FALSE),"")</f>
        <v/>
      </c>
      <c r="J45" s="206"/>
      <c r="L45" s="56"/>
      <c r="M45" s="56"/>
      <c r="N45" s="56"/>
      <c r="O45" s="56"/>
      <c r="P45" s="125"/>
      <c r="Q45" s="126"/>
      <c r="R45" s="56"/>
      <c r="T45" s="56"/>
      <c r="U45" s="87" t="str">
        <f>IFERROR(VLOOKUP(T45,$B$3:$F$64,5,FALSE),"")</f>
        <v/>
      </c>
      <c r="V45" s="129"/>
    </row>
    <row r="46" spans="2:22" s="1" customFormat="1" x14ac:dyDescent="0.3">
      <c r="B46" s="89" t="s">
        <v>123</v>
      </c>
      <c r="C46" s="89" t="s">
        <v>124</v>
      </c>
      <c r="D46" s="42">
        <v>0.37890000000000001</v>
      </c>
      <c r="E46" s="24" t="str">
        <f>IF(IF(B46="MDZ140R","",IFERROR((SUMIF($B$3:$B$65,"MDZ140R",$F$3:$F$65)*INDEX($Q$20:$Q$77,MATCH(B46,$N$20:$N$77,0))),""))=0,"",IF(B46="MDZ140R","",IFERROR((SUMIF($B$3:$B$65,"MDZ140R",$F$3:$F$65)*INDEX($Q$20:$Q$77,MATCH(B46,$N$20:$N$77,0))),"")))</f>
        <v/>
      </c>
      <c r="F46" s="42">
        <f t="shared" si="2"/>
        <v>0.37890000000000001</v>
      </c>
      <c r="H46" s="192"/>
      <c r="I46" s="214" t="str">
        <f>IFERROR(VLOOKUP(H46,$B$3:$F$62,5,FALSE),"")</f>
        <v/>
      </c>
      <c r="J46" s="206"/>
      <c r="L46" s="56"/>
      <c r="M46" s="56"/>
      <c r="N46" s="56"/>
      <c r="O46" s="56"/>
      <c r="P46" s="125"/>
      <c r="Q46" s="126"/>
      <c r="R46" s="56"/>
      <c r="T46" s="56"/>
      <c r="U46" s="87" t="str">
        <f>IFERROR(VLOOKUP(T46,$B$3:$F$64,5,FALSE),"")</f>
        <v/>
      </c>
      <c r="V46" s="129"/>
    </row>
    <row r="47" spans="2:22" s="1" customFormat="1" x14ac:dyDescent="0.3">
      <c r="B47" s="89" t="s">
        <v>125</v>
      </c>
      <c r="C47" s="89" t="s">
        <v>126</v>
      </c>
      <c r="D47" s="42">
        <v>0.90859999999999996</v>
      </c>
      <c r="E47" s="24" t="str">
        <f>IF(IF(B47="MDZ140R","",IFERROR((SUMIF($B$3:$B$65,"MDZ140R",$F$3:$F$65)*INDEX($Q$20:$Q$77,MATCH(B47,$N$20:$N$77,0))),""))=0,"",IF(B47="MDZ140R","",IFERROR((SUMIF($B$3:$B$65,"MDZ140R",$F$3:$F$65)*INDEX($Q$20:$Q$77,MATCH(B47,$N$20:$N$77,0))),"")))</f>
        <v/>
      </c>
      <c r="F47" s="42">
        <f t="shared" si="2"/>
        <v>0.90859999999999996</v>
      </c>
      <c r="H47" s="192"/>
      <c r="I47" s="214" t="str">
        <f>IFERROR(VLOOKUP(H47,$B$3:$F$62,5,FALSE),"")</f>
        <v/>
      </c>
      <c r="J47" s="206"/>
      <c r="L47" s="56"/>
      <c r="M47" s="56"/>
      <c r="N47" s="56"/>
      <c r="O47" s="56"/>
      <c r="P47" s="125"/>
      <c r="Q47" s="126"/>
      <c r="R47" s="56"/>
      <c r="T47" s="56"/>
      <c r="U47" s="87" t="str">
        <f>IFERROR(VLOOKUP(T47,$B$3:$F$64,5,FALSE),"")</f>
        <v/>
      </c>
      <c r="V47" s="129"/>
    </row>
    <row r="48" spans="2:22" s="1" customFormat="1" x14ac:dyDescent="0.3">
      <c r="B48" s="89" t="s">
        <v>94</v>
      </c>
      <c r="C48" s="89" t="s">
        <v>127</v>
      </c>
      <c r="D48" s="42">
        <v>0.70540000000000003</v>
      </c>
      <c r="E48" s="24" t="str">
        <f>IF(IF(B48="MDZ140R","",IFERROR((SUMIF($B$3:$B$65,"MDZ140R",$F$3:$F$65)*INDEX($Q$20:$Q$77,MATCH(B48,$N$20:$N$77,0))),""))=0,"",IF(B48="MDZ140R","",IFERROR((SUMIF($B$3:$B$65,"MDZ140R",$F$3:$F$65)*INDEX($Q$20:$Q$77,MATCH(B48,$N$20:$N$77,0))),"")))</f>
        <v/>
      </c>
      <c r="F48" s="42">
        <f t="shared" si="2"/>
        <v>0.70540000000000003</v>
      </c>
      <c r="H48" s="192"/>
      <c r="I48" s="214" t="str">
        <f>IFERROR(VLOOKUP(H48,$B$3:$F$62,5,FALSE),"")</f>
        <v/>
      </c>
      <c r="J48" s="206"/>
      <c r="L48" s="56"/>
      <c r="M48" s="56"/>
      <c r="N48" s="56"/>
      <c r="O48" s="56"/>
      <c r="P48" s="125"/>
      <c r="Q48" s="126"/>
      <c r="R48" s="56"/>
      <c r="T48" s="56"/>
      <c r="U48" s="87" t="str">
        <f>IFERROR(VLOOKUP(T48,$B$3:$F$64,5,FALSE),"")</f>
        <v/>
      </c>
      <c r="V48" s="129"/>
    </row>
    <row r="49" spans="2:22" s="1" customFormat="1" x14ac:dyDescent="0.3">
      <c r="B49" s="89" t="s">
        <v>95</v>
      </c>
      <c r="C49" s="89" t="s">
        <v>128</v>
      </c>
      <c r="D49" s="11">
        <v>0.2908</v>
      </c>
      <c r="E49" s="24" t="str">
        <f>IF(IF(B49="MDZ140R","",IFERROR((SUMIF($B$3:$B$65,"MDZ140R",$F$3:$F$65)*INDEX($Q$20:$Q$77,MATCH(B49,$N$20:$N$77,0))),""))=0,"",IF(B49="MDZ140R","",IFERROR((SUMIF($B$3:$B$65,"MDZ140R",$F$3:$F$65)*INDEX($Q$20:$Q$77,MATCH(B49,$N$20:$N$77,0))),"")))</f>
        <v/>
      </c>
      <c r="F49" s="42">
        <f t="shared" si="2"/>
        <v>0.2908</v>
      </c>
      <c r="H49" s="192"/>
      <c r="I49" s="214" t="str">
        <f>IFERROR(VLOOKUP(H49,$B$3:$F$62,5,FALSE),"")</f>
        <v/>
      </c>
      <c r="J49" s="206"/>
      <c r="L49" s="56"/>
      <c r="M49" s="56"/>
      <c r="N49" s="56"/>
      <c r="O49" s="56"/>
      <c r="P49" s="125"/>
      <c r="Q49" s="126"/>
      <c r="R49" s="56"/>
      <c r="T49" s="56"/>
      <c r="U49" s="87" t="str">
        <f>IFERROR(VLOOKUP(T49,$B$3:$F$64,5,FALSE),"")</f>
        <v/>
      </c>
      <c r="V49" s="129"/>
    </row>
    <row r="50" spans="2:22" s="1" customFormat="1" x14ac:dyDescent="0.3">
      <c r="B50" s="89" t="s">
        <v>129</v>
      </c>
      <c r="C50" s="89" t="s">
        <v>130</v>
      </c>
      <c r="D50" s="42">
        <v>0.3241</v>
      </c>
      <c r="E50" s="24" t="str">
        <f>IF(IF(B50="MDZ140R","",IFERROR((SUMIF($B$3:$B$65,"MDZ140R",$F$3:$F$65)*INDEX($Q$20:$Q$77,MATCH(B50,$N$20:$N$77,0))),""))=0,"",IF(B50="MDZ140R","",IFERROR((SUMIF($B$3:$B$65,"MDZ140R",$F$3:$F$65)*INDEX($Q$20:$Q$77,MATCH(B50,$N$20:$N$77,0))),"")))</f>
        <v/>
      </c>
      <c r="F50" s="42">
        <f t="shared" si="2"/>
        <v>0.3241</v>
      </c>
      <c r="H50" s="192"/>
      <c r="I50" s="214" t="str">
        <f>IFERROR(VLOOKUP(H50,$B$3:$F$62,5,FALSE),"")</f>
        <v/>
      </c>
      <c r="J50" s="206"/>
      <c r="L50" s="56"/>
      <c r="M50" s="56"/>
      <c r="N50" s="56"/>
      <c r="O50" s="56"/>
      <c r="P50" s="125"/>
      <c r="Q50" s="126"/>
      <c r="R50" s="56"/>
      <c r="T50" s="56"/>
      <c r="U50" s="87" t="str">
        <f>IFERROR(VLOOKUP(T50,$B$3:$F$64,5,FALSE),"")</f>
        <v/>
      </c>
      <c r="V50" s="129"/>
    </row>
    <row r="51" spans="2:22" s="1" customFormat="1" x14ac:dyDescent="0.3">
      <c r="B51" s="89" t="s">
        <v>131</v>
      </c>
      <c r="C51" s="89" t="s">
        <v>132</v>
      </c>
      <c r="D51" s="42">
        <v>0.98089999999999999</v>
      </c>
      <c r="E51" s="24" t="str">
        <f>IF(IF(B51="MDZ140R","",IFERROR((SUMIF($B$3:$B$65,"MDZ140R",$F$3:$F$65)*INDEX($Q$20:$Q$77,MATCH(B51,$N$20:$N$77,0))),""))=0,"",IF(B51="MDZ140R","",IFERROR((SUMIF($B$3:$B$65,"MDZ140R",$F$3:$F$65)*INDEX($Q$20:$Q$77,MATCH(B51,$N$20:$N$77,0))),"")))</f>
        <v/>
      </c>
      <c r="F51" s="42">
        <f t="shared" si="2"/>
        <v>0.98089999999999999</v>
      </c>
      <c r="H51" s="192"/>
      <c r="I51" s="214" t="str">
        <f>IFERROR(VLOOKUP(H51,$B$3:$F$62,5,FALSE),"")</f>
        <v/>
      </c>
      <c r="J51" s="206"/>
      <c r="L51" s="56"/>
      <c r="M51" s="56"/>
      <c r="N51" s="56"/>
      <c r="O51" s="56"/>
      <c r="P51" s="125"/>
      <c r="Q51" s="126"/>
      <c r="R51" s="56"/>
      <c r="T51" s="56"/>
      <c r="U51" s="87" t="str">
        <f>IFERROR(VLOOKUP(T51,$B$3:$F$64,5,FALSE),"")</f>
        <v/>
      </c>
      <c r="V51" s="129"/>
    </row>
    <row r="52" spans="2:22" s="1" customFormat="1" x14ac:dyDescent="0.3">
      <c r="B52" s="89" t="s">
        <v>133</v>
      </c>
      <c r="C52" s="89" t="s">
        <v>134</v>
      </c>
      <c r="D52" s="42">
        <v>0.64649999999999996</v>
      </c>
      <c r="E52" s="24" t="str">
        <f>IF(IF(B52="MDZ140R","",IFERROR((SUMIF($B$3:$B$65,"MDZ140R",$F$3:$F$65)*INDEX($Q$20:$Q$77,MATCH(B52,$N$20:$N$77,0))),""))=0,"",IF(B52="MDZ140R","",IFERROR((SUMIF($B$3:$B$65,"MDZ140R",$F$3:$F$65)*INDEX($Q$20:$Q$77,MATCH(B52,$N$20:$N$77,0))),"")))</f>
        <v/>
      </c>
      <c r="F52" s="42">
        <f t="shared" si="2"/>
        <v>0.64649999999999996</v>
      </c>
      <c r="H52" s="192"/>
      <c r="I52" s="214" t="str">
        <f>IFERROR(VLOOKUP(H52,$B$3:$F$62,5,FALSE),"")</f>
        <v/>
      </c>
      <c r="J52" s="206"/>
      <c r="L52" s="56"/>
      <c r="M52" s="56"/>
      <c r="N52" s="56"/>
      <c r="O52" s="56"/>
      <c r="P52" s="125"/>
      <c r="Q52" s="126"/>
      <c r="R52" s="56"/>
      <c r="T52" s="56"/>
      <c r="U52" s="87" t="str">
        <f>IFERROR(VLOOKUP(T52,$B$3:$F$64,5,FALSE),"")</f>
        <v/>
      </c>
      <c r="V52" s="129"/>
    </row>
    <row r="53" spans="2:22" s="1" customFormat="1" x14ac:dyDescent="0.3">
      <c r="B53" s="89" t="s">
        <v>135</v>
      </c>
      <c r="C53" s="89" t="s">
        <v>136</v>
      </c>
      <c r="D53" s="42">
        <v>0.90029999999999999</v>
      </c>
      <c r="E53" s="24" t="str">
        <f>IF(IF(B53="MDZ140R","",IFERROR((SUMIF($B$3:$B$65,"MDZ140R",$F$3:$F$65)*INDEX($Q$20:$Q$77,MATCH(B53,$N$20:$N$77,0))),""))=0,"",IF(B53="MDZ140R","",IFERROR((SUMIF($B$3:$B$65,"MDZ140R",$F$3:$F$65)*INDEX($Q$20:$Q$77,MATCH(B53,$N$20:$N$77,0))),"")))</f>
        <v/>
      </c>
      <c r="F53" s="42">
        <f t="shared" si="2"/>
        <v>0.90029999999999999</v>
      </c>
      <c r="H53" s="192"/>
      <c r="I53" s="214" t="str">
        <f>IFERROR(VLOOKUP(H53,$B$3:$F$62,5,FALSE),"")</f>
        <v/>
      </c>
      <c r="J53" s="206"/>
      <c r="L53" s="56"/>
      <c r="M53" s="56"/>
      <c r="N53" s="56"/>
      <c r="O53" s="56"/>
      <c r="P53" s="125"/>
      <c r="Q53" s="126"/>
      <c r="R53" s="56"/>
      <c r="T53" s="56"/>
      <c r="U53" s="87" t="str">
        <f>IFERROR(VLOOKUP(T53,$B$3:$F$64,5,FALSE),"")</f>
        <v/>
      </c>
      <c r="V53" s="129"/>
    </row>
    <row r="54" spans="2:22" s="1" customFormat="1" x14ac:dyDescent="0.3">
      <c r="B54" s="89" t="s">
        <v>137</v>
      </c>
      <c r="C54" s="89" t="s">
        <v>138</v>
      </c>
      <c r="D54" s="42">
        <v>0.98670000000000002</v>
      </c>
      <c r="E54" s="24" t="str">
        <f>IF(IF(B54="MDZ140R","",IFERROR((SUMIF($B$3:$B$65,"MDZ140R",$F$3:$F$65)*INDEX($Q$20:$Q$77,MATCH(B54,$N$20:$N$77,0))),""))=0,"",IF(B54="MDZ140R","",IFERROR((SUMIF($B$3:$B$65,"MDZ140R",$F$3:$F$65)*INDEX($Q$20:$Q$77,MATCH(B54,$N$20:$N$77,0))),"")))</f>
        <v/>
      </c>
      <c r="F54" s="42">
        <f t="shared" si="2"/>
        <v>0.98670000000000002</v>
      </c>
      <c r="H54" s="192"/>
      <c r="I54" s="214" t="str">
        <f>IFERROR(VLOOKUP(H54,$B$3:$F$62,5,FALSE),"")</f>
        <v/>
      </c>
      <c r="J54" s="206"/>
      <c r="L54" s="56"/>
      <c r="M54" s="56"/>
      <c r="N54" s="56"/>
      <c r="O54" s="56"/>
      <c r="P54" s="125"/>
      <c r="Q54" s="126"/>
      <c r="R54" s="56"/>
      <c r="T54" s="56"/>
      <c r="U54" s="87" t="str">
        <f>IFERROR(VLOOKUP(T54,$B$3:$F$64,5,FALSE),"")</f>
        <v/>
      </c>
      <c r="V54" s="129"/>
    </row>
    <row r="55" spans="2:22" s="1" customFormat="1" x14ac:dyDescent="0.3">
      <c r="B55" s="89" t="s">
        <v>139</v>
      </c>
      <c r="C55" s="89" t="s">
        <v>188</v>
      </c>
      <c r="D55" s="42">
        <v>0.45850000000000002</v>
      </c>
      <c r="E55" s="24" t="str">
        <f>IF(IF(B55="MDZ140R","",IFERROR((SUMIF($B$3:$B$65,"MDZ140R",$F$3:$F$65)*INDEX($Q$20:$Q$77,MATCH(B55,$N$20:$N$77,0))),""))=0,"",IF(B55="MDZ140R","",IFERROR((SUMIF($B$3:$B$65,"MDZ140R",$F$3:$F$65)*INDEX($Q$20:$Q$77,MATCH(B55,$N$20:$N$77,0))),"")))</f>
        <v/>
      </c>
      <c r="F55" s="42">
        <f t="shared" si="2"/>
        <v>0.45850000000000002</v>
      </c>
      <c r="H55" s="192"/>
      <c r="I55" s="214" t="str">
        <f>IFERROR(VLOOKUP(H55,$B$3:$F$62,5,FALSE),"")</f>
        <v/>
      </c>
      <c r="J55" s="206"/>
      <c r="L55" s="56"/>
      <c r="M55" s="56"/>
      <c r="N55" s="56"/>
      <c r="O55" s="56"/>
      <c r="P55" s="125"/>
      <c r="Q55" s="126"/>
      <c r="R55" s="56"/>
      <c r="T55" s="56"/>
      <c r="U55" s="87" t="str">
        <f>IFERROR(VLOOKUP(T55,$B$3:$F$64,5,FALSE),"")</f>
        <v/>
      </c>
      <c r="V55" s="129"/>
    </row>
    <row r="56" spans="2:22" s="1" customFormat="1" x14ac:dyDescent="0.3">
      <c r="B56" s="89" t="s">
        <v>141</v>
      </c>
      <c r="C56" s="89" t="s">
        <v>142</v>
      </c>
      <c r="D56" s="42">
        <v>0.55830000000000002</v>
      </c>
      <c r="E56" s="24" t="str">
        <f>IF(IF(B56="MDZ140R","",IFERROR((SUMIF($B$3:$B$65,"MDZ140R",$F$3:$F$65)*INDEX($Q$20:$Q$77,MATCH(B56,$N$20:$N$77,0))),""))=0,"",IF(B56="MDZ140R","",IFERROR((SUMIF($B$3:$B$65,"MDZ140R",$F$3:$F$65)*INDEX($Q$20:$Q$77,MATCH(B56,$N$20:$N$77,0))),"")))</f>
        <v/>
      </c>
      <c r="F56" s="42">
        <f t="shared" si="2"/>
        <v>0.55830000000000002</v>
      </c>
      <c r="H56" s="192"/>
      <c r="I56" s="214" t="str">
        <f>IFERROR(VLOOKUP(H56,$B$3:$F$62,5,FALSE),"")</f>
        <v/>
      </c>
      <c r="J56" s="206"/>
      <c r="L56" s="56"/>
      <c r="M56" s="56"/>
      <c r="N56" s="56"/>
      <c r="O56" s="56"/>
      <c r="P56" s="125"/>
      <c r="Q56" s="126"/>
      <c r="R56" s="56"/>
      <c r="T56" s="56"/>
      <c r="U56" s="87" t="str">
        <f>IFERROR(VLOOKUP(T56,$B$3:$F$64,5,FALSE),"")</f>
        <v/>
      </c>
      <c r="V56" s="129"/>
    </row>
    <row r="57" spans="2:22" s="1" customFormat="1" x14ac:dyDescent="0.3">
      <c r="B57" s="89"/>
      <c r="C57" s="89"/>
      <c r="D57" s="42"/>
      <c r="E57" s="24" t="str">
        <f>IF(IF(B57="MDZ140R","",IFERROR((SUMIF($B$3:$B$65,"MDZ140R",$F$3:$F$65)*INDEX($Q$20:$Q$77,MATCH(B57,$N$20:$N$77,0))),""))=0,"",IF(B57="MDZ140R","",IFERROR((SUMIF($B$3:$B$65,"MDZ140R",$F$3:$F$65)*INDEX($Q$20:$Q$77,MATCH(B57,$N$20:$N$77,0))),"")))</f>
        <v/>
      </c>
      <c r="F57" s="42" t="str">
        <f t="shared" si="2"/>
        <v/>
      </c>
      <c r="H57" s="192"/>
      <c r="I57" s="214" t="str">
        <f>IFERROR(VLOOKUP(H57,$B$3:$F$62,5,FALSE),"")</f>
        <v/>
      </c>
      <c r="J57" s="206"/>
      <c r="L57" s="56"/>
      <c r="M57" s="56"/>
      <c r="N57" s="56"/>
      <c r="O57" s="56"/>
      <c r="P57" s="125"/>
      <c r="Q57" s="126"/>
      <c r="R57" s="56"/>
      <c r="T57" s="56"/>
      <c r="U57" s="87" t="str">
        <f>IFERROR(VLOOKUP(T57,$B$3:$F$64,5,FALSE),"")</f>
        <v/>
      </c>
      <c r="V57" s="129"/>
    </row>
    <row r="58" spans="2:22" s="1" customFormat="1" x14ac:dyDescent="0.3">
      <c r="B58" s="89"/>
      <c r="C58" s="89"/>
      <c r="D58" s="42"/>
      <c r="E58" s="24" t="str">
        <f>IF(IF(B58="MDZ140R","",IFERROR((SUMIF($B$3:$B$65,"MDZ140R",$F$3:$F$65)*INDEX($Q$20:$Q$77,MATCH(B58,$N$20:$N$77,0))),""))=0,"",IF(B58="MDZ140R","",IFERROR((SUMIF($B$3:$B$65,"MDZ140R",$F$3:$F$65)*INDEX($Q$20:$Q$77,MATCH(B58,$N$20:$N$77,0))),"")))</f>
        <v/>
      </c>
      <c r="F58" s="42" t="str">
        <f t="shared" si="2"/>
        <v/>
      </c>
      <c r="H58" s="192"/>
      <c r="I58" s="214" t="str">
        <f>IFERROR(VLOOKUP(H58,$B$3:$F$62,5,FALSE),"")</f>
        <v/>
      </c>
      <c r="J58" s="206"/>
      <c r="L58" s="56"/>
      <c r="M58" s="56"/>
      <c r="N58" s="56"/>
      <c r="O58" s="56"/>
      <c r="P58" s="125"/>
      <c r="Q58" s="126"/>
      <c r="R58" s="56"/>
      <c r="T58" s="56"/>
      <c r="U58" s="87" t="str">
        <f>IFERROR(VLOOKUP(T58,$B$3:$F$64,5,FALSE),"")</f>
        <v/>
      </c>
      <c r="V58" s="129"/>
    </row>
    <row r="59" spans="2:22" s="1" customFormat="1" x14ac:dyDescent="0.3">
      <c r="B59" s="89"/>
      <c r="C59" s="89"/>
      <c r="D59" s="42"/>
      <c r="E59" s="24" t="str">
        <f>IF(IF(B59="MDZ140R","",IFERROR((SUMIF($B$3:$B$65,"MDZ140R",$F$3:$F$65)*INDEX($Q$20:$Q$77,MATCH(B59,$N$20:$N$77,0))),""))=0,"",IF(B59="MDZ140R","",IFERROR((SUMIF($B$3:$B$65,"MDZ140R",$F$3:$F$65)*INDEX($Q$20:$Q$77,MATCH(B59,$N$20:$N$77,0))),"")))</f>
        <v/>
      </c>
      <c r="F59" s="42" t="str">
        <f t="shared" si="2"/>
        <v/>
      </c>
      <c r="H59" s="192"/>
      <c r="I59" s="214" t="str">
        <f>IFERROR(VLOOKUP(H59,$B$3:$F$62,5,FALSE),"")</f>
        <v/>
      </c>
      <c r="J59" s="206"/>
      <c r="L59" s="56"/>
      <c r="M59" s="56"/>
      <c r="N59" s="56"/>
      <c r="O59" s="56"/>
      <c r="P59" s="125"/>
      <c r="Q59" s="126"/>
      <c r="R59" s="56"/>
      <c r="T59" s="56"/>
      <c r="U59" s="87" t="str">
        <f>IFERROR(VLOOKUP(T59,$B$3:$F$64,5,FALSE),"")</f>
        <v/>
      </c>
      <c r="V59" s="129"/>
    </row>
    <row r="60" spans="2:22" s="1" customFormat="1" x14ac:dyDescent="0.3">
      <c r="B60" s="89"/>
      <c r="C60" s="89"/>
      <c r="D60" s="42"/>
      <c r="E60" s="24" t="str">
        <f>IF(IF(B60="MDZ140R","",IFERROR((SUMIF($B$3:$B$65,"MDZ140R",$F$3:$F$65)*INDEX($Q$20:$Q$77,MATCH(B60,$N$20:$N$77,0))),""))=0,"",IF(B60="MDZ140R","",IFERROR((SUMIF($B$3:$B$65,"MDZ140R",$F$3:$F$65)*INDEX($Q$20:$Q$77,MATCH(B60,$N$20:$N$77,0))),"")))</f>
        <v/>
      </c>
      <c r="F60" s="42" t="str">
        <f t="shared" si="2"/>
        <v/>
      </c>
      <c r="H60" s="192"/>
      <c r="I60" s="214" t="str">
        <f>IFERROR(VLOOKUP(H60,$B$3:$F$62,5,FALSE),"")</f>
        <v/>
      </c>
      <c r="J60" s="206"/>
      <c r="L60" s="56"/>
      <c r="M60" s="56"/>
      <c r="N60" s="56"/>
      <c r="O60" s="56"/>
      <c r="P60" s="125"/>
      <c r="Q60" s="126"/>
      <c r="R60" s="56"/>
      <c r="T60" s="56"/>
      <c r="U60" s="87" t="str">
        <f>IFERROR(VLOOKUP(T60,$B$3:$F$64,5,FALSE),"")</f>
        <v/>
      </c>
      <c r="V60" s="129"/>
    </row>
    <row r="61" spans="2:22" s="1" customFormat="1" x14ac:dyDescent="0.3">
      <c r="B61" s="89"/>
      <c r="C61" s="89"/>
      <c r="D61" s="42"/>
      <c r="E61" s="24"/>
      <c r="F61" s="42"/>
      <c r="H61" s="192"/>
      <c r="I61" s="214" t="str">
        <f>IFERROR(VLOOKUP(H61,$B$3:$F$62,5,FALSE),"")</f>
        <v/>
      </c>
      <c r="J61" s="206"/>
      <c r="L61" s="56"/>
      <c r="M61" s="56"/>
      <c r="N61" s="56"/>
      <c r="O61" s="56"/>
      <c r="P61" s="125"/>
      <c r="Q61" s="126"/>
      <c r="R61" s="56"/>
      <c r="T61" s="56"/>
      <c r="U61" s="87" t="str">
        <f>IFERROR(VLOOKUP(T61,$B$3:$F$64,5,FALSE),"")</f>
        <v/>
      </c>
      <c r="V61" s="129"/>
    </row>
    <row r="62" spans="2:22" s="1" customFormat="1" x14ac:dyDescent="0.3">
      <c r="B62" s="89"/>
      <c r="C62" s="89"/>
      <c r="D62" s="42"/>
      <c r="E62" s="24" t="str">
        <f>IF(IF(B62="MDZ140R","",IFERROR((SUMIF($B$3:$B$65,"MDZ140R",$F$3:$F$65)*INDEX($Q$20:$Q$77,MATCH(B62,$N$20:$N$77,0))),""))=0,"",IF(B62="MDZ140R","",IFERROR((SUMIF($B$3:$B$65,"MDZ140R",$F$3:$F$65)*INDEX($Q$20:$Q$77,MATCH(B62,$N$20:$N$77,0))),"")))</f>
        <v/>
      </c>
      <c r="F62" s="42" t="str">
        <f>IF(D62="","",D62+ IF(E62="",0,E62))</f>
        <v/>
      </c>
      <c r="H62" s="192"/>
      <c r="I62" s="214" t="str">
        <f>IFERROR(VLOOKUP(H62,$B$3:$F$62,5,FALSE),"")</f>
        <v/>
      </c>
      <c r="J62" s="206"/>
      <c r="L62" s="56"/>
      <c r="M62" s="56"/>
      <c r="N62" s="56"/>
      <c r="O62" s="56"/>
      <c r="P62" s="125"/>
      <c r="Q62" s="126"/>
      <c r="R62" s="56"/>
      <c r="T62" s="56"/>
      <c r="U62" s="87" t="str">
        <f>IFERROR(VLOOKUP(T62,$B$3:$F$64,5,FALSE),"")</f>
        <v/>
      </c>
      <c r="V62" s="129"/>
    </row>
    <row r="63" spans="2:22" s="1" customFormat="1" x14ac:dyDescent="0.3">
      <c r="B63" s="89"/>
      <c r="C63" s="89"/>
      <c r="D63" s="42"/>
      <c r="E63" s="24" t="str">
        <f>IF(IF(B63="MDZ140R","",IFERROR((SUMIF($B$3:$B$65,"MDZ140R",$F$3:$F$65)*INDEX($Q$20:$Q$77,MATCH(B63,$N$20:$N$77,0))),""))=0,"",IF(B63="MDZ140R","",IFERROR((SUMIF($B$3:$B$65,"MDZ140R",$F$3:$F$65)*INDEX($Q$20:$Q$77,MATCH(B63,$N$20:$N$77,0))),"")))</f>
        <v/>
      </c>
      <c r="F63" s="42" t="str">
        <f>IF(D63="","",D63+ IF(E63="",0,E63))</f>
        <v/>
      </c>
      <c r="H63" s="192"/>
      <c r="I63" s="214" t="str">
        <f>IFERROR(VLOOKUP(H63,$B$3:$F$62,5,FALSE),"")</f>
        <v/>
      </c>
      <c r="J63" s="206"/>
      <c r="L63" s="56"/>
      <c r="M63" s="56"/>
      <c r="N63" s="56"/>
      <c r="O63" s="56"/>
      <c r="P63" s="125"/>
      <c r="Q63" s="126"/>
      <c r="R63" s="56"/>
      <c r="T63" s="56"/>
      <c r="U63" s="87" t="str">
        <f>IFERROR(VLOOKUP(T63,$B$3:$F$64,5,FALSE),"")</f>
        <v/>
      </c>
      <c r="V63" s="129"/>
    </row>
    <row r="64" spans="2:22" s="1" customFormat="1" x14ac:dyDescent="0.3">
      <c r="B64" s="89" t="s">
        <v>143</v>
      </c>
      <c r="C64" s="89" t="s">
        <v>144</v>
      </c>
      <c r="D64" s="42">
        <v>0.55089999999999995</v>
      </c>
      <c r="E64" s="24" t="str">
        <f>IF(IF(B64="MDZ140R","",IFERROR((SUMIF($B$3:$B$65,"MDZ140R",$F$3:$F$65)*INDEX($Q$20:$Q$77,MATCH(B64,$N$20:$N$77,0))),""))=0,"",IF(B64="MDZ140R","",IFERROR((SUMIF($B$3:$B$65,"MDZ140R",$F$3:$F$65)*INDEX($Q$20:$Q$77,MATCH(B64,$N$20:$N$77,0))),"")))</f>
        <v/>
      </c>
      <c r="F64" s="42">
        <f>IF(D64="","",D64+ IF(E64="",0,E64))</f>
        <v>0.55089999999999995</v>
      </c>
      <c r="H64" s="192"/>
      <c r="I64" s="214" t="str">
        <f>IFERROR(VLOOKUP(H64,$B$3:$F$62,5,FALSE),"")</f>
        <v/>
      </c>
      <c r="J64" s="206"/>
      <c r="L64" s="56"/>
      <c r="M64" s="56"/>
      <c r="N64" s="56"/>
      <c r="O64" s="56"/>
      <c r="P64" s="125"/>
      <c r="Q64" s="126"/>
      <c r="R64" s="56"/>
      <c r="T64" s="56"/>
      <c r="U64" s="87" t="str">
        <f>IFERROR(VLOOKUP(T64,$B$3:$F$64,5,FALSE),"")</f>
        <v/>
      </c>
      <c r="V64" s="129"/>
    </row>
    <row r="65" spans="2:22" s="1" customFormat="1" x14ac:dyDescent="0.3">
      <c r="B65" s="127"/>
      <c r="C65" s="60" t="s">
        <v>145</v>
      </c>
      <c r="D65" s="133">
        <f>SUM(D3:D64)</f>
        <v>27.097099999999998</v>
      </c>
      <c r="E65" s="134"/>
      <c r="F65" s="135">
        <f>D65+E65</f>
        <v>27.097099999999998</v>
      </c>
      <c r="H65" s="192"/>
      <c r="I65" s="214" t="str">
        <f>IFERROR(VLOOKUP(H65,$B$3:$F$62,5,FALSE),"")</f>
        <v/>
      </c>
      <c r="J65" s="206"/>
      <c r="L65" s="56"/>
      <c r="M65" s="56"/>
      <c r="N65" s="56"/>
      <c r="O65" s="56"/>
      <c r="P65" s="125"/>
      <c r="Q65" s="126"/>
      <c r="R65" s="56"/>
      <c r="T65" s="56"/>
      <c r="U65" s="87" t="str">
        <f>IFERROR(VLOOKUP(T65,$B$3:$F$64,5,FALSE),"")</f>
        <v/>
      </c>
      <c r="V65" s="129"/>
    </row>
    <row r="66" spans="2:22" s="1" customFormat="1" x14ac:dyDescent="0.3">
      <c r="B66" s="127"/>
      <c r="C66" s="60"/>
      <c r="D66" s="133"/>
      <c r="E66" s="134"/>
      <c r="F66" s="135"/>
      <c r="H66" s="192"/>
      <c r="I66" s="214" t="str">
        <f>IFERROR(VLOOKUP(H66,$B$3:$F$62,5,FALSE),"")</f>
        <v/>
      </c>
      <c r="J66" s="206"/>
      <c r="L66" s="56"/>
      <c r="M66" s="56"/>
      <c r="N66" s="56"/>
      <c r="O66" s="56"/>
      <c r="P66" s="125"/>
      <c r="Q66" s="126"/>
      <c r="R66" s="56"/>
      <c r="T66" s="56"/>
      <c r="U66" s="87" t="str">
        <f>IFERROR(VLOOKUP(T66,$B$3:$F$64,5,FALSE),"")</f>
        <v/>
      </c>
      <c r="V66" s="129"/>
    </row>
    <row r="67" spans="2:22" s="1" customFormat="1" x14ac:dyDescent="0.3">
      <c r="B67" s="136"/>
      <c r="C67" s="136"/>
      <c r="D67" s="133">
        <v>0</v>
      </c>
      <c r="E67" s="134"/>
      <c r="F67" s="135">
        <f>D67+E67</f>
        <v>0</v>
      </c>
      <c r="H67" s="192"/>
      <c r="I67" s="214" t="str">
        <f>IFERROR(VLOOKUP(H67,$B$3:$F$62,5,FALSE),"")</f>
        <v/>
      </c>
      <c r="J67" s="206"/>
      <c r="L67" s="56"/>
      <c r="M67" s="56"/>
      <c r="N67" s="56"/>
      <c r="O67" s="56"/>
      <c r="P67" s="125"/>
      <c r="Q67" s="126"/>
      <c r="R67" s="56"/>
      <c r="T67" s="56"/>
      <c r="U67" s="87" t="str">
        <f>IFERROR(VLOOKUP(T67,$B$3:$F$64,5,FALSE),"")</f>
        <v/>
      </c>
      <c r="V67" s="129"/>
    </row>
    <row r="68" spans="2:22" s="1" customFormat="1" x14ac:dyDescent="0.3">
      <c r="B68" s="136"/>
      <c r="C68" s="136"/>
      <c r="D68" s="133">
        <v>0</v>
      </c>
      <c r="E68" s="134"/>
      <c r="F68" s="135">
        <f>D68+E68</f>
        <v>0</v>
      </c>
      <c r="H68" s="192"/>
      <c r="I68" s="214" t="str">
        <f>IFERROR(VLOOKUP(H68,$B$3:$F$62,5,FALSE),"")</f>
        <v/>
      </c>
      <c r="J68" s="206"/>
      <c r="L68" s="56"/>
      <c r="M68" s="56"/>
      <c r="N68" s="56"/>
      <c r="O68" s="56"/>
      <c r="P68" s="125"/>
      <c r="Q68" s="126"/>
      <c r="R68" s="56"/>
      <c r="T68" s="56"/>
      <c r="U68" s="87" t="str">
        <f>IFERROR(VLOOKUP(T68,$B$3:$F$64,5,FALSE),"")</f>
        <v/>
      </c>
      <c r="V68" s="129"/>
    </row>
    <row r="69" spans="2:22" s="1" customFormat="1" x14ac:dyDescent="0.3">
      <c r="B69" s="40"/>
      <c r="C69" s="41"/>
      <c r="D69" s="42"/>
      <c r="E69" s="24"/>
      <c r="F69" s="42"/>
      <c r="H69" s="192"/>
      <c r="I69" s="214" t="str">
        <f>IFERROR(VLOOKUP(H69,$B$3:$F$62,5,FALSE),"")</f>
        <v/>
      </c>
      <c r="J69" s="206"/>
      <c r="L69" s="56"/>
      <c r="M69" s="56"/>
      <c r="N69" s="56"/>
      <c r="O69" s="56"/>
      <c r="P69" s="125"/>
      <c r="Q69" s="126"/>
      <c r="R69" s="56"/>
      <c r="T69" s="56"/>
      <c r="U69" s="87" t="str">
        <f>IFERROR(VLOOKUP(T69,$B$3:$F$64,5,FALSE),"")</f>
        <v/>
      </c>
      <c r="V69" s="129"/>
    </row>
    <row r="70" spans="2:22" s="1" customFormat="1" x14ac:dyDescent="0.3">
      <c r="B70" s="40"/>
      <c r="C70" s="41"/>
      <c r="D70" s="42"/>
      <c r="E70" s="24"/>
      <c r="F70" s="42"/>
      <c r="H70" s="192"/>
      <c r="I70" s="214" t="str">
        <f>IFERROR(VLOOKUP(H70,$B$3:$F$62,5,FALSE),"")</f>
        <v/>
      </c>
      <c r="J70" s="191"/>
      <c r="L70" s="56"/>
      <c r="M70" s="56"/>
      <c r="N70" s="56"/>
      <c r="O70" s="56"/>
      <c r="P70" s="125"/>
      <c r="Q70" s="126"/>
      <c r="R70" s="56"/>
      <c r="T70" s="56"/>
      <c r="U70" s="87" t="str">
        <f>IFERROR(VLOOKUP(T70,$B$3:$F$64,5,FALSE),"")</f>
        <v/>
      </c>
      <c r="V70" s="129"/>
    </row>
    <row r="71" spans="2:22" s="1" customFormat="1" x14ac:dyDescent="0.3">
      <c r="B71" s="40"/>
      <c r="C71" s="41"/>
      <c r="D71" s="42"/>
      <c r="E71" s="24" t="str">
        <f>IF(IF(B71="MDZ140R","",IFERROR((SUMIF($B$3:$B$65,"MDZ140R",$F$3:$F$65)*INDEX($Q$20:$Q$77,MATCH(B71,$N$20:$N$77,0))),""))=0,"",IF(B71="MDZ140R","",IFERROR((SUMIF($B$3:$B$65,"MDZ140R",$F$3:$F$65)*INDEX($Q$20:$Q$77,MATCH(B71,$N$20:$N$77,0))),"")))</f>
        <v/>
      </c>
      <c r="F71" s="42" t="str">
        <f t="shared" si="0"/>
        <v/>
      </c>
      <c r="H71" s="192"/>
      <c r="I71" s="214" t="str">
        <f>IFERROR(VLOOKUP(H71,$B$3:$F$62,5,FALSE),"")</f>
        <v/>
      </c>
      <c r="J71" s="191"/>
      <c r="L71" s="56"/>
      <c r="M71" s="56"/>
      <c r="N71" s="56"/>
      <c r="O71" s="56"/>
      <c r="P71" s="125"/>
      <c r="Q71" s="126"/>
      <c r="R71" s="56"/>
      <c r="T71" s="56"/>
      <c r="U71" s="87" t="str">
        <f>IFERROR(VLOOKUP(T71,$B$3:$F$64,5,FALSE),"")</f>
        <v/>
      </c>
      <c r="V71" s="129"/>
    </row>
    <row r="72" spans="2:22" s="1" customFormat="1" x14ac:dyDescent="0.3">
      <c r="B72" s="40"/>
      <c r="C72" s="41"/>
      <c r="D72" s="42"/>
      <c r="E72" s="24" t="str">
        <f>IF(IF(B72="MDZ140R","",IFERROR((SUMIF($B$3:$B$65,"MDZ140R",$F$3:$F$65)*INDEX($Q$20:$Q$77,MATCH(B72,$N$20:$N$77,0))),""))=0,"",IF(B72="MDZ140R","",IFERROR((SUMIF($B$3:$B$65,"MDZ140R",$F$3:$F$65)*INDEX($Q$20:$Q$77,MATCH(B72,$N$20:$N$77,0))),"")))</f>
        <v/>
      </c>
      <c r="F72" s="42" t="str">
        <f t="shared" si="0"/>
        <v/>
      </c>
      <c r="H72" s="192"/>
      <c r="I72" s="214" t="str">
        <f>IFERROR(VLOOKUP(H72,$B$3:$F$62,5,FALSE),"")</f>
        <v/>
      </c>
      <c r="J72" s="191"/>
      <c r="L72" s="56"/>
      <c r="M72" s="56"/>
      <c r="N72" s="56"/>
      <c r="O72" s="56"/>
      <c r="P72" s="125"/>
      <c r="Q72" s="126"/>
      <c r="R72" s="56"/>
      <c r="T72" s="56"/>
      <c r="U72" s="87" t="str">
        <f>IFERROR(VLOOKUP(T72,$B$3:$F$64,5,FALSE),"")</f>
        <v/>
      </c>
      <c r="V72" s="128"/>
    </row>
    <row r="73" spans="2:22" s="1" customFormat="1" x14ac:dyDescent="0.3">
      <c r="B73" s="40"/>
      <c r="C73" s="41"/>
      <c r="D73" s="42"/>
      <c r="E73" s="24" t="str">
        <f>IF(IF(B73="MDZ140R","",IFERROR((SUMIF($B$3:$B$65,"MDZ140R",$F$3:$F$65)*INDEX($Q$20:$Q$77,MATCH(B73,$N$20:$N$77,0))),""))=0,"",IF(B73="MDZ140R","",IFERROR((SUMIF($B$3:$B$65,"MDZ140R",$F$3:$F$65)*INDEX($Q$20:$Q$77,MATCH(B73,$N$20:$N$77,0))),"")))</f>
        <v/>
      </c>
      <c r="F73" s="42" t="str">
        <f t="shared" si="0"/>
        <v/>
      </c>
      <c r="H73" s="192"/>
      <c r="I73" s="214" t="str">
        <f>IFERROR(VLOOKUP(H73,$B$3:$F$62,5,FALSE),"")</f>
        <v/>
      </c>
      <c r="J73" s="191"/>
      <c r="L73" s="56"/>
      <c r="M73" s="56"/>
      <c r="N73" s="56"/>
      <c r="O73" s="56"/>
      <c r="P73" s="125"/>
      <c r="Q73" s="126"/>
      <c r="R73" s="56"/>
      <c r="T73" s="56"/>
      <c r="U73" s="87" t="str">
        <f>IFERROR(VLOOKUP(T73,$B$3:$F$64,5,FALSE),"")</f>
        <v/>
      </c>
      <c r="V73" s="128"/>
    </row>
    <row r="74" spans="2:22" s="1" customFormat="1" x14ac:dyDescent="0.3">
      <c r="B74" s="40"/>
      <c r="C74" s="41"/>
      <c r="D74" s="42"/>
      <c r="E74" s="24" t="str">
        <f>IF(IF(B74="MDZ140R","",IFERROR((SUMIF($B$3:$B$65,"MDZ140R",$F$3:$F$65)*INDEX($Q$20:$Q$77,MATCH(B74,$N$20:$N$77,0))),""))=0,"",IF(B74="MDZ140R","",IFERROR((SUMIF($B$3:$B$65,"MDZ140R",$F$3:$F$65)*INDEX($Q$20:$Q$77,MATCH(B74,$N$20:$N$77,0))),"")))</f>
        <v/>
      </c>
      <c r="F74" s="42" t="str">
        <f t="shared" si="0"/>
        <v/>
      </c>
      <c r="H74" s="192"/>
      <c r="I74" s="214" t="str">
        <f>IFERROR(VLOOKUP(H74,$B$3:$F$62,5,FALSE),"")</f>
        <v/>
      </c>
      <c r="J74" s="191"/>
      <c r="L74" s="56"/>
      <c r="M74" s="56"/>
      <c r="N74" s="56"/>
      <c r="O74" s="56"/>
      <c r="P74" s="125"/>
      <c r="Q74" s="126"/>
      <c r="R74" s="56"/>
      <c r="T74" s="56"/>
      <c r="U74" s="87" t="str">
        <f>IFERROR(VLOOKUP(T74,$B$3:$F$64,5,FALSE),"")</f>
        <v/>
      </c>
      <c r="V74" s="128"/>
    </row>
    <row r="75" spans="2:22" s="1" customFormat="1" x14ac:dyDescent="0.3">
      <c r="B75" s="40"/>
      <c r="C75" s="41"/>
      <c r="D75" s="42"/>
      <c r="E75" s="24" t="str">
        <f>IF(IF(B75="MDZ140R","",IFERROR((SUMIF($B$3:$B$65,"MDZ140R",$F$3:$F$65)*INDEX($Q$20:$Q$77,MATCH(B75,$N$20:$N$77,0))),""))=0,"",IF(B75="MDZ140R","",IFERROR((SUMIF($B$3:$B$65,"MDZ140R",$F$3:$F$65)*INDEX($Q$20:$Q$77,MATCH(B75,$N$20:$N$77,0))),"")))</f>
        <v/>
      </c>
      <c r="F75" s="42" t="str">
        <f t="shared" si="0"/>
        <v/>
      </c>
      <c r="H75" s="192"/>
      <c r="I75" s="214" t="str">
        <f>IFERROR(VLOOKUP(H75,$B$3:$F$62,5,FALSE),"")</f>
        <v/>
      </c>
      <c r="J75" s="191"/>
      <c r="L75" s="56"/>
      <c r="M75" s="56"/>
      <c r="N75" s="56"/>
      <c r="O75" s="56"/>
      <c r="P75" s="125"/>
      <c r="Q75" s="126"/>
      <c r="R75" s="56"/>
      <c r="T75" s="56"/>
      <c r="U75" s="87" t="str">
        <f>IFERROR(VLOOKUP(T75,$B$3:$F$64,5,FALSE),"")</f>
        <v/>
      </c>
      <c r="V75" s="128"/>
    </row>
    <row r="76" spans="2:22" s="1" customFormat="1" x14ac:dyDescent="0.3">
      <c r="B76" s="40"/>
      <c r="C76" s="41"/>
      <c r="D76" s="42"/>
      <c r="E76" s="24" t="str">
        <f>IF(IF(B76="MDZ140R","",IFERROR((SUMIF($B$3:$B$65,"MDZ140R",$F$3:$F$65)*INDEX($Q$20:$Q$77,MATCH(B76,$N$20:$N$77,0))),""))=0,"",IF(B76="MDZ140R","",IFERROR((SUMIF($B$3:$B$65,"MDZ140R",$F$3:$F$65)*INDEX($Q$20:$Q$77,MATCH(B76,$N$20:$N$77,0))),"")))</f>
        <v/>
      </c>
      <c r="F76" s="42" t="str">
        <f t="shared" si="0"/>
        <v/>
      </c>
      <c r="H76" s="192"/>
      <c r="I76" s="214" t="str">
        <f>IFERROR(VLOOKUP(H76,$B$3:$F$62,5,FALSE),"")</f>
        <v/>
      </c>
      <c r="J76" s="207"/>
      <c r="L76" s="56"/>
      <c r="M76" s="56"/>
      <c r="N76" s="56"/>
      <c r="O76" s="56"/>
      <c r="P76" s="125"/>
      <c r="Q76" s="126"/>
      <c r="R76" s="56"/>
      <c r="T76" s="56"/>
      <c r="U76" s="87" t="str">
        <f>IFERROR(VLOOKUP(T76,$B$3:$F$64,5,FALSE),"")</f>
        <v/>
      </c>
      <c r="V76" s="128"/>
    </row>
    <row r="77" spans="2:22" s="1" customFormat="1" x14ac:dyDescent="0.3">
      <c r="B77" s="40"/>
      <c r="C77" s="41"/>
      <c r="D77" s="42"/>
      <c r="E77" s="24" t="str">
        <f>IF(IF(B77="MDZ140R","",IFERROR((SUMIF($B$3:$B$65,"MDZ140R",$F$3:$F$65)*INDEX($Q$20:$Q$77,MATCH(B77,$N$20:$N$77,0))),""))=0,"",IF(B77="MDZ140R","",IFERROR((SUMIF($B$3:$B$65,"MDZ140R",$F$3:$F$65)*INDEX($Q$20:$Q$77,MATCH(B77,$N$20:$N$77,0))),"")))</f>
        <v/>
      </c>
      <c r="F77" s="42" t="str">
        <f t="shared" si="0"/>
        <v/>
      </c>
      <c r="H77" s="189" t="s">
        <v>73</v>
      </c>
      <c r="I77" s="214"/>
      <c r="J77" s="191">
        <f>SUM(I77:I91)</f>
        <v>2.2454943749999998</v>
      </c>
      <c r="L77" s="56"/>
      <c r="M77" s="56"/>
      <c r="N77" s="56"/>
      <c r="O77" s="56"/>
      <c r="P77" s="125"/>
      <c r="Q77" s="126"/>
      <c r="R77" s="56"/>
      <c r="T77" s="56"/>
      <c r="U77" s="87" t="str">
        <f>IFERROR(VLOOKUP(T77,$B$3:$F$64,5,FALSE),"")</f>
        <v/>
      </c>
      <c r="V77" s="128"/>
    </row>
    <row r="78" spans="2:22" s="1" customFormat="1" x14ac:dyDescent="0.3">
      <c r="H78" s="196" t="s">
        <v>44</v>
      </c>
      <c r="I78" s="215">
        <v>2.25875E-2</v>
      </c>
      <c r="J78" s="201"/>
      <c r="L78" s="56"/>
      <c r="M78" s="56"/>
      <c r="N78" s="56"/>
      <c r="O78" s="59" t="s">
        <v>3</v>
      </c>
      <c r="P78" s="131">
        <f>SUM(P20:P33)</f>
        <v>182</v>
      </c>
      <c r="Q78" s="131">
        <f>SUM(Q20:Q33)</f>
        <v>0.994533</v>
      </c>
      <c r="R78" s="59">
        <v>0</v>
      </c>
      <c r="T78" s="56"/>
      <c r="U78" s="87" t="str">
        <f>IFERROR(VLOOKUP(T78,$B$3:$F$64,5,FALSE),"")</f>
        <v/>
      </c>
      <c r="V78" s="130"/>
    </row>
    <row r="79" spans="2:22" x14ac:dyDescent="0.3">
      <c r="H79" s="196" t="s">
        <v>38</v>
      </c>
      <c r="I79" s="211">
        <v>5.646875E-3</v>
      </c>
      <c r="J79" s="201"/>
      <c r="T79" s="59" t="s">
        <v>73</v>
      </c>
      <c r="U79" s="87"/>
      <c r="V79" s="128">
        <f>SUM(U79:U94)</f>
        <v>2.2511412499999999</v>
      </c>
    </row>
    <row r="80" spans="2:22" x14ac:dyDescent="0.3">
      <c r="H80" s="196" t="s">
        <v>9</v>
      </c>
      <c r="I80" s="214">
        <f>IFERROR(VLOOKUP(H80,$B$3:$F$62,5,FALSE),"")</f>
        <v>0.20330000000000001</v>
      </c>
      <c r="J80" s="201"/>
      <c r="T80" s="43" t="s">
        <v>44</v>
      </c>
      <c r="U80" s="87">
        <v>2.25875E-2</v>
      </c>
      <c r="V80" s="88"/>
    </row>
    <row r="81" spans="8:22" x14ac:dyDescent="0.3">
      <c r="H81" s="196" t="s">
        <v>119</v>
      </c>
      <c r="I81" s="214">
        <f>IFERROR(VLOOKUP(H81,$B$3:$F$62,5,FALSE),"")</f>
        <v>0.46700000000000003</v>
      </c>
      <c r="J81" s="201"/>
      <c r="T81" s="43" t="s">
        <v>38</v>
      </c>
      <c r="U81" s="87">
        <v>1.129375E-2</v>
      </c>
      <c r="V81" s="88"/>
    </row>
    <row r="82" spans="8:22" x14ac:dyDescent="0.3">
      <c r="H82" s="196" t="s">
        <v>133</v>
      </c>
      <c r="I82" s="214">
        <f>IFERROR(VLOOKUP(H82,$B$3:$F$62,5,FALSE),"")</f>
        <v>0.64649999999999996</v>
      </c>
      <c r="J82" s="201"/>
      <c r="T82" s="43" t="s">
        <v>9</v>
      </c>
      <c r="U82" s="87">
        <f>IFERROR(VLOOKUP(T82,$B$3:$F$64,5,FALSE),"")</f>
        <v>0.20330000000000001</v>
      </c>
      <c r="V82" s="88"/>
    </row>
    <row r="83" spans="8:22" x14ac:dyDescent="0.3">
      <c r="H83" s="196" t="s">
        <v>147</v>
      </c>
      <c r="I83" s="214">
        <v>0.41376000000000002</v>
      </c>
      <c r="J83" s="201"/>
      <c r="T83" s="43" t="s">
        <v>119</v>
      </c>
      <c r="U83" s="87">
        <f>IFERROR(VLOOKUP(T83,$B$3:$F$64,5,FALSE),"")</f>
        <v>0.46700000000000003</v>
      </c>
      <c r="V83" s="88"/>
    </row>
    <row r="84" spans="8:22" x14ac:dyDescent="0.3">
      <c r="H84" s="196" t="s">
        <v>148</v>
      </c>
      <c r="I84" s="214" t="str">
        <f>IFERROR(VLOOKUP(H84,$B$3:$F$62,5,FALSE),"")</f>
        <v/>
      </c>
      <c r="J84" s="201"/>
      <c r="T84" s="43" t="s">
        <v>133</v>
      </c>
      <c r="U84" s="87">
        <f>IFERROR(VLOOKUP(T84,$B$3:$F$64,5,FALSE),"")</f>
        <v>0.64649999999999996</v>
      </c>
      <c r="V84" s="88"/>
    </row>
    <row r="85" spans="8:22" x14ac:dyDescent="0.3">
      <c r="H85" s="196" t="s">
        <v>11</v>
      </c>
      <c r="I85" s="214">
        <f>IFERROR(VLOOKUP(H85,$B$3:$F$62,5,FALSE),"")</f>
        <v>0.1191</v>
      </c>
      <c r="J85" s="201"/>
      <c r="T85" s="43" t="s">
        <v>147</v>
      </c>
      <c r="U85" s="87">
        <v>0.41376000000000002</v>
      </c>
      <c r="V85" s="88"/>
    </row>
    <row r="86" spans="8:22" x14ac:dyDescent="0.3">
      <c r="H86" s="196" t="s">
        <v>149</v>
      </c>
      <c r="I86" s="214" t="str">
        <f>IFERROR(VLOOKUP(H86,$B$3:$F$62,5,FALSE),"")</f>
        <v/>
      </c>
      <c r="J86" s="201"/>
      <c r="T86" s="43" t="s">
        <v>148</v>
      </c>
      <c r="U86" s="87" t="str">
        <f>IFERROR(VLOOKUP(T86,$B$3:$F$64,5,FALSE),"")</f>
        <v/>
      </c>
      <c r="V86" s="88"/>
    </row>
    <row r="87" spans="8:22" x14ac:dyDescent="0.3">
      <c r="H87" s="196" t="s">
        <v>121</v>
      </c>
      <c r="I87" s="214">
        <f>IFERROR(VLOOKUP(H87,$B$3:$F$62,5,FALSE),"")</f>
        <v>0.36759999999999998</v>
      </c>
      <c r="J87" s="201"/>
      <c r="T87" s="43" t="s">
        <v>11</v>
      </c>
      <c r="U87" s="87">
        <f>IFERROR(VLOOKUP(T87,$B$3:$F$64,5,FALSE),"")</f>
        <v>0.1191</v>
      </c>
      <c r="V87" s="88"/>
    </row>
    <row r="88" spans="8:22" x14ac:dyDescent="0.3">
      <c r="H88" s="196" t="s">
        <v>150</v>
      </c>
      <c r="I88" s="214" t="str">
        <f>IFERROR(VLOOKUP(H88,$B$3:$F$62,5,FALSE),"")</f>
        <v/>
      </c>
      <c r="J88" s="191"/>
      <c r="T88" s="43" t="s">
        <v>149</v>
      </c>
      <c r="U88" s="87" t="str">
        <f>IFERROR(VLOOKUP(T88,$B$3:$F$64,5,FALSE),"")</f>
        <v/>
      </c>
      <c r="V88" s="88"/>
    </row>
    <row r="89" spans="8:22" x14ac:dyDescent="0.3">
      <c r="H89" s="196"/>
      <c r="I89" s="214" t="str">
        <f>IFERROR(VLOOKUP(H89,$B$3:$F$62,5,FALSE),"")</f>
        <v/>
      </c>
      <c r="J89" s="201"/>
      <c r="T89" s="43" t="s">
        <v>121</v>
      </c>
      <c r="U89" s="87">
        <f>IFERROR(VLOOKUP(T89,$B$3:$F$64,5,FALSE),"")</f>
        <v>0.36759999999999998</v>
      </c>
      <c r="V89" s="88"/>
    </row>
    <row r="90" spans="8:22" x14ac:dyDescent="0.3">
      <c r="H90" s="196"/>
      <c r="I90" s="214" t="str">
        <f>IFERROR(VLOOKUP(H90,$B$3:$F$62,5,FALSE),"")</f>
        <v/>
      </c>
      <c r="J90" s="201"/>
      <c r="T90" s="43" t="s">
        <v>150</v>
      </c>
      <c r="U90" s="87" t="str">
        <f>IFERROR(VLOOKUP(T90,$B$3:$F$64,5,FALSE),"")</f>
        <v/>
      </c>
      <c r="V90" s="128"/>
    </row>
    <row r="91" spans="8:22" x14ac:dyDescent="0.3">
      <c r="H91" s="196"/>
      <c r="I91" s="214" t="str">
        <f>IFERROR(VLOOKUP(H91,$B$3:$F$62,5,FALSE),"")</f>
        <v/>
      </c>
      <c r="J91" s="201"/>
      <c r="T91" s="43"/>
      <c r="U91" s="87" t="str">
        <f>IFERROR(VLOOKUP(T91,$B$3:$F$64,5,FALSE),"")</f>
        <v/>
      </c>
      <c r="V91" s="88"/>
    </row>
    <row r="92" spans="8:22" x14ac:dyDescent="0.3">
      <c r="H92" s="200" t="s">
        <v>74</v>
      </c>
      <c r="I92" s="214" t="str">
        <f>IFERROR(VLOOKUP(H92,$B$3:$F$62,5,FALSE),"")</f>
        <v/>
      </c>
      <c r="J92" s="201">
        <f>SUM(I92:I96)</f>
        <v>5.646875E-3</v>
      </c>
      <c r="T92" s="43"/>
      <c r="U92" s="87" t="str">
        <f>IFERROR(VLOOKUP(T92,$B$3:$F$64,5,FALSE),"")</f>
        <v/>
      </c>
      <c r="V92" s="88"/>
    </row>
    <row r="93" spans="8:22" s="175" customFormat="1" x14ac:dyDescent="0.3">
      <c r="H93" s="176" t="s">
        <v>438</v>
      </c>
      <c r="I93" s="217">
        <v>5.646875E-3</v>
      </c>
      <c r="J93" s="177"/>
      <c r="T93" s="176"/>
      <c r="U93" s="195"/>
      <c r="V93" s="177"/>
    </row>
    <row r="94" spans="8:22" x14ac:dyDescent="0.3">
      <c r="H94" s="196"/>
      <c r="I94" s="214"/>
      <c r="J94" s="208"/>
      <c r="T94" s="43"/>
      <c r="U94" s="87" t="str">
        <f>IFERROR(VLOOKUP(T94,$B$3:$F$64,5,FALSE),"")</f>
        <v/>
      </c>
      <c r="V94" s="88"/>
    </row>
    <row r="95" spans="8:22" x14ac:dyDescent="0.3">
      <c r="H95" s="196"/>
      <c r="I95" s="214"/>
      <c r="J95" s="201"/>
      <c r="T95" s="46" t="s">
        <v>74</v>
      </c>
      <c r="U95" s="87" t="str">
        <f>IFERROR(VLOOKUP(T95,$B$3:$F$64,5,FALSE),"")</f>
        <v/>
      </c>
      <c r="V95" s="88">
        <f>SUM(U95:U98)</f>
        <v>0</v>
      </c>
    </row>
    <row r="96" spans="8:22" s="175" customFormat="1" x14ac:dyDescent="0.3">
      <c r="H96" s="196"/>
      <c r="I96" s="214" t="str">
        <f>IFERROR(VLOOKUP(H96,$B$3:$F$62,5,FALSE),"")</f>
        <v/>
      </c>
      <c r="J96" s="201"/>
      <c r="T96" s="176"/>
      <c r="U96" s="195"/>
      <c r="V96" s="177"/>
    </row>
    <row r="97" spans="8:22" x14ac:dyDescent="0.3">
      <c r="H97" s="200" t="s">
        <v>75</v>
      </c>
      <c r="I97" s="214" t="str">
        <f>IFERROR(VLOOKUP(H97,$B$3:$F$62,5,FALSE),"")</f>
        <v/>
      </c>
      <c r="J97" s="201">
        <f>SUM(I97:I103)</f>
        <v>0.69840000000000002</v>
      </c>
      <c r="T97" s="43"/>
      <c r="U97" s="87"/>
      <c r="V97" s="88"/>
    </row>
    <row r="98" spans="8:22" x14ac:dyDescent="0.3">
      <c r="H98" s="196" t="s">
        <v>215</v>
      </c>
      <c r="I98" s="214" t="str">
        <f>IFERROR(VLOOKUP(H98,$B$3:$F$62,5,FALSE),"")</f>
        <v/>
      </c>
      <c r="J98" s="201"/>
      <c r="T98" s="43"/>
      <c r="U98" s="87" t="str">
        <f>IFERROR(VLOOKUP(T98,$B$3:$F$64,5,FALSE),"")</f>
        <v/>
      </c>
      <c r="V98" s="88"/>
    </row>
    <row r="99" spans="8:22" x14ac:dyDescent="0.3">
      <c r="H99" s="196" t="s">
        <v>151</v>
      </c>
      <c r="I99" s="211">
        <v>0.46560000000000001</v>
      </c>
      <c r="J99" s="201"/>
      <c r="T99" s="46" t="s">
        <v>75</v>
      </c>
      <c r="U99" s="87" t="str">
        <f>IFERROR(VLOOKUP(T99,$B$3:$F$64,5,FALSE),"")</f>
        <v/>
      </c>
      <c r="V99" s="88">
        <f>SUM(U99:U105)</f>
        <v>0.69840000000000002</v>
      </c>
    </row>
    <row r="100" spans="8:22" x14ac:dyDescent="0.3">
      <c r="H100" s="196" t="s">
        <v>14</v>
      </c>
      <c r="I100" s="214">
        <v>0.23280000000000001</v>
      </c>
      <c r="J100" s="201"/>
      <c r="T100" s="43" t="s">
        <v>215</v>
      </c>
      <c r="U100" s="87" t="str">
        <f>IFERROR(VLOOKUP(T100,$B$3:$F$64,5,FALSE),"")</f>
        <v/>
      </c>
      <c r="V100" s="88"/>
    </row>
    <row r="101" spans="8:22" x14ac:dyDescent="0.3">
      <c r="H101" s="196" t="s">
        <v>152</v>
      </c>
      <c r="I101" s="214" t="str">
        <f>IFERROR(VLOOKUP(H101,$B$3:$F$62,5,FALSE),"")</f>
        <v/>
      </c>
      <c r="J101" s="201"/>
      <c r="T101" s="43" t="s">
        <v>151</v>
      </c>
      <c r="U101" s="87">
        <v>0.46560000000000001</v>
      </c>
      <c r="V101" s="88"/>
    </row>
    <row r="102" spans="8:22" x14ac:dyDescent="0.3">
      <c r="H102" s="196" t="s">
        <v>211</v>
      </c>
      <c r="I102" s="214" t="str">
        <f>IFERROR(VLOOKUP(H102,$B$3:$F$62,5,FALSE),"")</f>
        <v/>
      </c>
      <c r="J102" s="201"/>
      <c r="T102" s="43" t="s">
        <v>14</v>
      </c>
      <c r="U102" s="87">
        <v>0.23280000000000001</v>
      </c>
      <c r="V102" s="88"/>
    </row>
    <row r="103" spans="8:22" x14ac:dyDescent="0.3">
      <c r="H103" s="196" t="s">
        <v>212</v>
      </c>
      <c r="I103" s="214" t="str">
        <f>IFERROR(VLOOKUP(H103,$B$3:$F$62,5,FALSE),"")</f>
        <v/>
      </c>
      <c r="J103" s="201"/>
      <c r="T103" s="43" t="s">
        <v>152</v>
      </c>
      <c r="U103" s="87" t="str">
        <f>IFERROR(VLOOKUP(T103,$B$3:$F$64,5,FALSE),"")</f>
        <v/>
      </c>
      <c r="V103" s="88"/>
    </row>
    <row r="104" spans="8:22" x14ac:dyDescent="0.3">
      <c r="H104" s="200" t="s">
        <v>76</v>
      </c>
      <c r="I104" s="214" t="str">
        <f>IFERROR(VLOOKUP(H104,$B$3:$F$62,5,FALSE),"")</f>
        <v/>
      </c>
      <c r="J104" s="201">
        <f>SUM(I104:I108)</f>
        <v>0</v>
      </c>
      <c r="T104" s="43" t="s">
        <v>211</v>
      </c>
      <c r="U104" s="87" t="str">
        <f>IFERROR(VLOOKUP(T104,$B$3:$F$64,5,FALSE),"")</f>
        <v/>
      </c>
      <c r="V104" s="88"/>
    </row>
    <row r="105" spans="8:22" x14ac:dyDescent="0.3">
      <c r="H105" s="196"/>
      <c r="I105" s="214"/>
      <c r="J105" s="208"/>
      <c r="T105" s="43" t="s">
        <v>212</v>
      </c>
      <c r="U105" s="87" t="str">
        <f>IFERROR(VLOOKUP(T105,$B$3:$F$64,5,FALSE),"")</f>
        <v/>
      </c>
      <c r="V105" s="88"/>
    </row>
    <row r="106" spans="8:22" x14ac:dyDescent="0.3">
      <c r="H106" s="196"/>
      <c r="I106" s="214"/>
      <c r="J106" s="201"/>
      <c r="T106" s="46" t="s">
        <v>76</v>
      </c>
      <c r="U106" s="87" t="str">
        <f>IFERROR(VLOOKUP(T106,$B$3:$F$64,5,FALSE),"")</f>
        <v/>
      </c>
      <c r="V106" s="88">
        <f>SUM(U106:U111)</f>
        <v>0</v>
      </c>
    </row>
    <row r="107" spans="8:22" s="175" customFormat="1" x14ac:dyDescent="0.3">
      <c r="H107" s="196"/>
      <c r="I107" s="214"/>
      <c r="J107" s="201"/>
      <c r="T107" s="176"/>
      <c r="U107" s="195"/>
      <c r="V107" s="177"/>
    </row>
    <row r="108" spans="8:22" x14ac:dyDescent="0.3">
      <c r="H108" s="196"/>
      <c r="I108" s="214" t="str">
        <f>IFERROR(VLOOKUP(H108,$B$3:$F$62,5,FALSE),"")</f>
        <v/>
      </c>
      <c r="J108" s="201"/>
      <c r="T108" s="43"/>
      <c r="U108" s="87"/>
      <c r="V108" s="88"/>
    </row>
    <row r="109" spans="8:22" x14ac:dyDescent="0.3">
      <c r="H109" s="200" t="s">
        <v>78</v>
      </c>
      <c r="I109" s="214" t="str">
        <f>IFERROR(VLOOKUP(H109,$B$3:$F$62,5,FALSE),"")</f>
        <v/>
      </c>
      <c r="J109" s="201">
        <f>SUM(I109:I115)</f>
        <v>0.28610000000000002</v>
      </c>
      <c r="T109" s="43"/>
      <c r="U109" s="87"/>
      <c r="V109" s="88"/>
    </row>
    <row r="110" spans="8:22" s="175" customFormat="1" x14ac:dyDescent="0.3">
      <c r="H110" s="176" t="s">
        <v>337</v>
      </c>
      <c r="I110" s="218">
        <v>0.28610000000000002</v>
      </c>
      <c r="J110" s="177"/>
      <c r="T110" s="176"/>
      <c r="U110" s="195"/>
      <c r="V110" s="177"/>
    </row>
    <row r="111" spans="8:22" x14ac:dyDescent="0.3">
      <c r="H111" s="196"/>
      <c r="I111" s="214" t="str">
        <f>IFERROR(VLOOKUP(H111,$B$3:$F$62,5,FALSE),"")</f>
        <v/>
      </c>
      <c r="J111" s="208"/>
      <c r="T111" s="43"/>
      <c r="U111" s="87" t="str">
        <f>IFERROR(VLOOKUP(T111,$B$3:$F$64,5,FALSE),"")</f>
        <v/>
      </c>
      <c r="V111" s="88"/>
    </row>
    <row r="112" spans="8:22" x14ac:dyDescent="0.3">
      <c r="H112" s="196"/>
      <c r="I112" s="214"/>
      <c r="J112" s="208"/>
      <c r="T112" s="46" t="s">
        <v>78</v>
      </c>
      <c r="U112" s="87" t="str">
        <f>IFERROR(VLOOKUP(T112,$B$3:$F$64,5,FALSE),"")</f>
        <v/>
      </c>
      <c r="V112" s="88">
        <f>SUM(U112:U117)</f>
        <v>0</v>
      </c>
    </row>
    <row r="113" spans="8:22" x14ac:dyDescent="0.3">
      <c r="H113" s="196"/>
      <c r="I113" s="214" t="str">
        <f>IFERROR(VLOOKUP(H113,$B$3:$F$62,5,FALSE),"")</f>
        <v/>
      </c>
      <c r="J113" s="208"/>
      <c r="T113" s="176"/>
      <c r="U113" s="87" t="str">
        <f>IFERROR(VLOOKUP(T113,$B$3:$F$64,5,FALSE),"")</f>
        <v/>
      </c>
      <c r="V113" s="177"/>
    </row>
    <row r="114" spans="8:22" s="175" customFormat="1" x14ac:dyDescent="0.3">
      <c r="H114" s="196"/>
      <c r="I114" s="214" t="str">
        <f>IFERROR(VLOOKUP(H114,$B$3:$F$62,5,FALSE),"")</f>
        <v/>
      </c>
      <c r="J114" s="201"/>
      <c r="T114" s="43"/>
      <c r="U114" s="87"/>
      <c r="V114" s="132"/>
    </row>
    <row r="115" spans="8:22" x14ac:dyDescent="0.3">
      <c r="H115" s="196"/>
      <c r="I115" s="214" t="str">
        <f>IFERROR(VLOOKUP(H115,$B$3:$F$62,5,FALSE),"")</f>
        <v/>
      </c>
      <c r="J115" s="201"/>
      <c r="T115" s="43"/>
      <c r="U115" s="87" t="str">
        <f>IFERROR(VLOOKUP(T115,$B$3:$F$64,5,FALSE),"")</f>
        <v/>
      </c>
      <c r="V115" s="132"/>
    </row>
    <row r="116" spans="8:22" x14ac:dyDescent="0.3">
      <c r="H116" s="200" t="s">
        <v>77</v>
      </c>
      <c r="I116" s="214" t="str">
        <f>IFERROR(VLOOKUP(H116,$B$3:$F$62,5,FALSE),"")</f>
        <v/>
      </c>
      <c r="J116" s="201">
        <f>SUM(I116:I164)</f>
        <v>13.870999999999997</v>
      </c>
      <c r="T116" s="43"/>
      <c r="U116" s="87" t="str">
        <f>IFERROR(VLOOKUP(T116,$B$3:$F$64,5,FALSE),"")</f>
        <v/>
      </c>
      <c r="V116" s="88"/>
    </row>
    <row r="117" spans="8:22" x14ac:dyDescent="0.3">
      <c r="H117" s="196" t="s">
        <v>60</v>
      </c>
      <c r="I117" s="211">
        <v>0.28610000000000002</v>
      </c>
      <c r="J117" s="201"/>
      <c r="T117" s="43"/>
      <c r="U117" s="87" t="str">
        <f>IFERROR(VLOOKUP(T117,$B$3:$F$64,5,FALSE),"")</f>
        <v/>
      </c>
      <c r="V117" s="88"/>
    </row>
    <row r="118" spans="8:22" x14ac:dyDescent="0.3">
      <c r="H118" s="196" t="s">
        <v>153</v>
      </c>
      <c r="I118" s="214" t="str">
        <f>IFERROR(VLOOKUP(H118,$B$3:$F$62,5,FALSE),"")</f>
        <v/>
      </c>
      <c r="J118" s="201"/>
      <c r="L118" s="211"/>
      <c r="T118" s="46" t="s">
        <v>77</v>
      </c>
      <c r="U118" s="87" t="str">
        <f>IFERROR(VLOOKUP(T118,$B$3:$F$64,5,FALSE),"")</f>
        <v/>
      </c>
      <c r="V118" s="88">
        <f>SUM(U118:U166)</f>
        <v>14.157099999999998</v>
      </c>
    </row>
    <row r="119" spans="8:22" x14ac:dyDescent="0.3">
      <c r="H119" s="196" t="s">
        <v>154</v>
      </c>
      <c r="I119" s="214" t="str">
        <f>IFERROR(VLOOKUP(H119,$B$3:$F$62,5,FALSE),"")</f>
        <v/>
      </c>
      <c r="J119" s="201"/>
      <c r="T119" s="43" t="s">
        <v>60</v>
      </c>
      <c r="U119" s="87">
        <f>IFERROR(VLOOKUP(T119,$B$3:$F$64,5,FALSE),"")</f>
        <v>0.57220000000000004</v>
      </c>
      <c r="V119" s="88"/>
    </row>
    <row r="120" spans="8:22" x14ac:dyDescent="0.3">
      <c r="H120" s="196" t="s">
        <v>114</v>
      </c>
      <c r="I120" s="214">
        <f>IFERROR(VLOOKUP(H120,$B$3:$F$62,5,FALSE),"")</f>
        <v>0.80359999999999998</v>
      </c>
      <c r="J120" s="201"/>
      <c r="T120" s="43" t="s">
        <v>153</v>
      </c>
      <c r="U120" s="87" t="str">
        <f>IFERROR(VLOOKUP(T120,$B$3:$F$64,5,FALSE),"")</f>
        <v/>
      </c>
      <c r="V120" s="88"/>
    </row>
    <row r="121" spans="8:22" x14ac:dyDescent="0.3">
      <c r="H121" s="196" t="s">
        <v>116</v>
      </c>
      <c r="I121" s="214">
        <f>IFERROR(VLOOKUP(H121,$B$3:$F$62,5,FALSE),"")</f>
        <v>0.89659999999999995</v>
      </c>
      <c r="J121" s="200"/>
      <c r="T121" s="43" t="s">
        <v>154</v>
      </c>
      <c r="U121" s="87" t="str">
        <f>IFERROR(VLOOKUP(T121,$B$3:$F$64,5,FALSE),"")</f>
        <v/>
      </c>
      <c r="V121" s="88"/>
    </row>
    <row r="122" spans="8:22" x14ac:dyDescent="0.3">
      <c r="H122" s="196" t="s">
        <v>62</v>
      </c>
      <c r="I122" s="214">
        <f>IFERROR(VLOOKUP(H122,$B$3:$F$62,5,FALSE),"")</f>
        <v>0.29099999999999998</v>
      </c>
      <c r="J122" s="200"/>
      <c r="T122" s="43" t="s">
        <v>114</v>
      </c>
      <c r="U122" s="87">
        <f>IFERROR(VLOOKUP(T122,$B$3:$F$64,5,FALSE),"")</f>
        <v>0.80359999999999998</v>
      </c>
      <c r="V122" s="88"/>
    </row>
    <row r="123" spans="8:22" x14ac:dyDescent="0.3">
      <c r="H123" s="196" t="s">
        <v>48</v>
      </c>
      <c r="I123" s="214">
        <f>IFERROR(VLOOKUP(H123,$B$3:$F$62,5,FALSE),"")</f>
        <v>7.1800000000000003E-2</v>
      </c>
      <c r="J123" s="200"/>
      <c r="T123" s="43" t="s">
        <v>116</v>
      </c>
      <c r="U123" s="87">
        <f>IFERROR(VLOOKUP(T123,$B$3:$F$64,5,FALSE),"")</f>
        <v>0.89659999999999995</v>
      </c>
      <c r="V123" s="46"/>
    </row>
    <row r="124" spans="8:22" x14ac:dyDescent="0.3">
      <c r="H124" s="196" t="s">
        <v>63</v>
      </c>
      <c r="I124" s="214">
        <f>IFERROR(VLOOKUP(H124,$B$3:$F$62,5,FALSE),"")</f>
        <v>9.3600000000000003E-2</v>
      </c>
      <c r="J124" s="200"/>
      <c r="T124" s="43" t="s">
        <v>62</v>
      </c>
      <c r="U124" s="87">
        <f>IFERROR(VLOOKUP(T124,$B$3:$F$64,5,FALSE),"")</f>
        <v>0.29099999999999998</v>
      </c>
      <c r="V124" s="46"/>
    </row>
    <row r="125" spans="8:22" x14ac:dyDescent="0.3">
      <c r="H125" s="196" t="s">
        <v>131</v>
      </c>
      <c r="I125" s="214">
        <f>IFERROR(VLOOKUP(H125,$B$3:$F$62,5,FALSE),"")</f>
        <v>0.98089999999999999</v>
      </c>
      <c r="J125" s="200"/>
      <c r="T125" s="43" t="s">
        <v>48</v>
      </c>
      <c r="U125" s="87">
        <f>IFERROR(VLOOKUP(T125,$B$3:$F$64,5,FALSE),"")</f>
        <v>7.1800000000000003E-2</v>
      </c>
      <c r="V125" s="46"/>
    </row>
    <row r="126" spans="8:22" x14ac:dyDescent="0.3">
      <c r="H126" s="196" t="s">
        <v>155</v>
      </c>
      <c r="I126" s="214" t="str">
        <f>IFERROR(VLOOKUP(H126,$B$3:$F$62,5,FALSE),"")</f>
        <v/>
      </c>
      <c r="J126" s="200"/>
      <c r="T126" s="43" t="s">
        <v>63</v>
      </c>
      <c r="U126" s="87">
        <f>IFERROR(VLOOKUP(T126,$B$3:$F$64,5,FALSE),"")</f>
        <v>9.3600000000000003E-2</v>
      </c>
      <c r="V126" s="46"/>
    </row>
    <row r="127" spans="8:22" x14ac:dyDescent="0.3">
      <c r="H127" s="196" t="s">
        <v>156</v>
      </c>
      <c r="I127" s="214" t="str">
        <f>IFERROR(VLOOKUP(H127,$B$3:$F$62,5,FALSE),"")</f>
        <v/>
      </c>
      <c r="J127" s="200"/>
      <c r="T127" s="43" t="s">
        <v>131</v>
      </c>
      <c r="U127" s="87">
        <f>IFERROR(VLOOKUP(T127,$B$3:$F$64,5,FALSE),"")</f>
        <v>0.98089999999999999</v>
      </c>
      <c r="V127" s="46"/>
    </row>
    <row r="128" spans="8:22" x14ac:dyDescent="0.3">
      <c r="H128" s="196" t="s">
        <v>64</v>
      </c>
      <c r="I128" s="214">
        <f>IFERROR(VLOOKUP(H128,$B$3:$F$62,5,FALSE),"")</f>
        <v>0.77470000000000006</v>
      </c>
      <c r="J128" s="200"/>
      <c r="T128" s="43" t="s">
        <v>155</v>
      </c>
      <c r="U128" s="87" t="str">
        <f>IFERROR(VLOOKUP(T128,$B$3:$F$64,5,FALSE),"")</f>
        <v/>
      </c>
      <c r="V128" s="46"/>
    </row>
    <row r="129" spans="8:22" x14ac:dyDescent="0.3">
      <c r="H129" s="196" t="s">
        <v>24</v>
      </c>
      <c r="I129" s="214">
        <f>IFERROR(VLOOKUP(H129,$B$3:$F$62,5,FALSE),"")</f>
        <v>0.41470000000000001</v>
      </c>
      <c r="J129" s="200"/>
      <c r="T129" s="43" t="s">
        <v>156</v>
      </c>
      <c r="U129" s="87" t="str">
        <f>IFERROR(VLOOKUP(T129,$B$3:$F$64,5,FALSE),"")</f>
        <v/>
      </c>
      <c r="V129" s="46"/>
    </row>
    <row r="130" spans="8:22" x14ac:dyDescent="0.3">
      <c r="H130" s="196" t="s">
        <v>34</v>
      </c>
      <c r="I130" s="214">
        <f>IFERROR(VLOOKUP(H130,$B$3:$F$62,5,FALSE),"")</f>
        <v>0.52310000000000001</v>
      </c>
      <c r="J130" s="200"/>
      <c r="T130" s="43" t="s">
        <v>64</v>
      </c>
      <c r="U130" s="87">
        <f>IFERROR(VLOOKUP(T130,$B$3:$F$64,5,FALSE),"")</f>
        <v>0.77470000000000006</v>
      </c>
      <c r="V130" s="46"/>
    </row>
    <row r="131" spans="8:22" x14ac:dyDescent="0.3">
      <c r="H131" s="196" t="s">
        <v>157</v>
      </c>
      <c r="I131" s="214" t="str">
        <f>IFERROR(VLOOKUP(H131,$B$3:$F$62,5,FALSE),"")</f>
        <v/>
      </c>
      <c r="J131" s="200"/>
      <c r="T131" s="43" t="s">
        <v>24</v>
      </c>
      <c r="U131" s="87">
        <f>IFERROR(VLOOKUP(T131,$B$3:$F$64,5,FALSE),"")</f>
        <v>0.41470000000000001</v>
      </c>
      <c r="V131" s="46"/>
    </row>
    <row r="132" spans="8:22" x14ac:dyDescent="0.3">
      <c r="H132" s="196" t="s">
        <v>158</v>
      </c>
      <c r="I132" s="214" t="str">
        <f>IFERROR(VLOOKUP(H132,$B$3:$F$62,5,FALSE),"")</f>
        <v/>
      </c>
      <c r="J132" s="200"/>
      <c r="T132" s="43" t="s">
        <v>34</v>
      </c>
      <c r="U132" s="87">
        <f>IFERROR(VLOOKUP(T132,$B$3:$F$64,5,FALSE),"")</f>
        <v>0.52310000000000001</v>
      </c>
      <c r="V132" s="46"/>
    </row>
    <row r="133" spans="8:22" x14ac:dyDescent="0.3">
      <c r="H133" s="196" t="s">
        <v>159</v>
      </c>
      <c r="I133" s="214" t="str">
        <f>IFERROR(VLOOKUP(H133,$B$3:$F$62,5,FALSE),"")</f>
        <v/>
      </c>
      <c r="J133" s="200"/>
      <c r="T133" s="43" t="s">
        <v>157</v>
      </c>
      <c r="U133" s="87" t="str">
        <f>IFERROR(VLOOKUP(T133,$B$3:$F$64,5,FALSE),"")</f>
        <v/>
      </c>
      <c r="V133" s="46"/>
    </row>
    <row r="134" spans="8:22" x14ac:dyDescent="0.3">
      <c r="H134" s="196" t="s">
        <v>160</v>
      </c>
      <c r="I134" s="214" t="str">
        <f>IFERROR(VLOOKUP(H134,$B$3:$F$62,5,FALSE),"")</f>
        <v/>
      </c>
      <c r="J134" s="200"/>
      <c r="T134" s="43" t="s">
        <v>158</v>
      </c>
      <c r="U134" s="87" t="str">
        <f>IFERROR(VLOOKUP(T134,$B$3:$F$64,5,FALSE),"")</f>
        <v/>
      </c>
      <c r="V134" s="46"/>
    </row>
    <row r="135" spans="8:22" x14ac:dyDescent="0.3">
      <c r="H135" s="196" t="s">
        <v>50</v>
      </c>
      <c r="I135" s="214">
        <f>IFERROR(VLOOKUP(H135,$B$3:$F$62,5,FALSE),"")</f>
        <v>4.8500000000000001E-2</v>
      </c>
      <c r="J135" s="200"/>
      <c r="T135" s="43" t="s">
        <v>159</v>
      </c>
      <c r="U135" s="87" t="str">
        <f>IFERROR(VLOOKUP(T135,$B$3:$F$64,5,FALSE),"")</f>
        <v/>
      </c>
      <c r="V135" s="46"/>
    </row>
    <row r="136" spans="8:22" x14ac:dyDescent="0.3">
      <c r="H136" s="196" t="s">
        <v>161</v>
      </c>
      <c r="I136" s="214" t="str">
        <f>IFERROR(VLOOKUP(H136,$B$3:$F$62,5,FALSE),"")</f>
        <v/>
      </c>
      <c r="J136" s="200"/>
      <c r="T136" s="43" t="s">
        <v>160</v>
      </c>
      <c r="U136" s="87" t="str">
        <f>IFERROR(VLOOKUP(T136,$B$3:$F$64,5,FALSE),"")</f>
        <v/>
      </c>
      <c r="V136" s="46"/>
    </row>
    <row r="137" spans="8:22" x14ac:dyDescent="0.3">
      <c r="H137" s="196" t="s">
        <v>162</v>
      </c>
      <c r="I137" s="214" t="str">
        <f>IFERROR(VLOOKUP(H137,$B$3:$F$62,5,FALSE),"")</f>
        <v/>
      </c>
      <c r="J137" s="200"/>
      <c r="T137" s="43" t="s">
        <v>50</v>
      </c>
      <c r="U137" s="87">
        <f>IFERROR(VLOOKUP(T137,$B$3:$F$64,5,FALSE),"")</f>
        <v>4.8500000000000001E-2</v>
      </c>
      <c r="V137" s="46"/>
    </row>
    <row r="138" spans="8:22" x14ac:dyDescent="0.3">
      <c r="H138" s="196" t="s">
        <v>7</v>
      </c>
      <c r="I138" s="214">
        <f>IFERROR(VLOOKUP(H138,$B$3:$F$62,5,FALSE),"")</f>
        <v>7.2099999999999997E-2</v>
      </c>
      <c r="J138" s="200"/>
      <c r="T138" s="43" t="s">
        <v>161</v>
      </c>
      <c r="U138" s="87" t="str">
        <f>IFERROR(VLOOKUP(T138,$B$3:$F$64,5,FALSE),"")</f>
        <v/>
      </c>
      <c r="V138" s="46"/>
    </row>
    <row r="139" spans="8:22" x14ac:dyDescent="0.3">
      <c r="H139" s="196" t="s">
        <v>27</v>
      </c>
      <c r="I139" s="214">
        <f>IFERROR(VLOOKUP(H139,$B$3:$F$62,5,FALSE),"")</f>
        <v>0.3967</v>
      </c>
      <c r="J139" s="200"/>
      <c r="T139" s="43" t="s">
        <v>162</v>
      </c>
      <c r="U139" s="87" t="str">
        <f>IFERROR(VLOOKUP(T139,$B$3:$F$64,5,FALSE),"")</f>
        <v/>
      </c>
      <c r="V139" s="46"/>
    </row>
    <row r="140" spans="8:22" x14ac:dyDescent="0.3">
      <c r="H140" s="196" t="s">
        <v>163</v>
      </c>
      <c r="I140" s="214" t="str">
        <f>IFERROR(VLOOKUP(H140,$B$3:$F$62,5,FALSE),"")</f>
        <v/>
      </c>
      <c r="J140" s="200"/>
      <c r="T140" s="43" t="s">
        <v>7</v>
      </c>
      <c r="U140" s="87">
        <f>IFERROR(VLOOKUP(T140,$B$3:$F$64,5,FALSE),"")</f>
        <v>7.2099999999999997E-2</v>
      </c>
      <c r="V140" s="46"/>
    </row>
    <row r="141" spans="8:22" x14ac:dyDescent="0.3">
      <c r="H141" s="196" t="s">
        <v>164</v>
      </c>
      <c r="I141" s="214" t="str">
        <f>IFERROR(VLOOKUP(H141,$B$3:$F$62,5,FALSE),"")</f>
        <v/>
      </c>
      <c r="J141" s="200"/>
      <c r="T141" s="43" t="s">
        <v>27</v>
      </c>
      <c r="U141" s="87">
        <f>IFERROR(VLOOKUP(T141,$B$3:$F$64,5,FALSE),"")</f>
        <v>0.3967</v>
      </c>
      <c r="V141" s="46"/>
    </row>
    <row r="142" spans="8:22" x14ac:dyDescent="0.3">
      <c r="H142" s="196" t="s">
        <v>165</v>
      </c>
      <c r="I142" s="214" t="str">
        <f>IFERROR(VLOOKUP(H142,$B$3:$F$62,5,FALSE),"")</f>
        <v/>
      </c>
      <c r="J142" s="200"/>
      <c r="T142" s="43" t="s">
        <v>163</v>
      </c>
      <c r="U142" s="87" t="str">
        <f>IFERROR(VLOOKUP(T142,$B$3:$F$64,5,FALSE),"")</f>
        <v/>
      </c>
      <c r="V142" s="46"/>
    </row>
    <row r="143" spans="8:22" x14ac:dyDescent="0.3">
      <c r="H143" s="196" t="s">
        <v>166</v>
      </c>
      <c r="I143" s="214" t="str">
        <f>IFERROR(VLOOKUP(H143,$B$3:$F$62,5,FALSE),"")</f>
        <v/>
      </c>
      <c r="J143" s="200"/>
      <c r="T143" s="43" t="s">
        <v>164</v>
      </c>
      <c r="U143" s="87" t="str">
        <f>IFERROR(VLOOKUP(T143,$B$3:$F$64,5,FALSE),"")</f>
        <v/>
      </c>
      <c r="V143" s="46"/>
    </row>
    <row r="144" spans="8:22" x14ac:dyDescent="0.3">
      <c r="H144" s="196" t="s">
        <v>135</v>
      </c>
      <c r="I144" s="214">
        <f>IFERROR(VLOOKUP(H144,$B$3:$F$62,5,FALSE),"")</f>
        <v>0.90029999999999999</v>
      </c>
      <c r="J144" s="200"/>
      <c r="T144" s="43" t="s">
        <v>165</v>
      </c>
      <c r="U144" s="87" t="str">
        <f>IFERROR(VLOOKUP(T144,$B$3:$F$64,5,FALSE),"")</f>
        <v/>
      </c>
      <c r="V144" s="46"/>
    </row>
    <row r="145" spans="8:22" x14ac:dyDescent="0.3">
      <c r="H145" s="196" t="s">
        <v>123</v>
      </c>
      <c r="I145" s="214">
        <f>IFERROR(VLOOKUP(H145,$B$3:$F$62,5,FALSE),"")</f>
        <v>0.37890000000000001</v>
      </c>
      <c r="J145" s="200"/>
      <c r="T145" s="43" t="s">
        <v>166</v>
      </c>
      <c r="U145" s="87" t="str">
        <f>IFERROR(VLOOKUP(T145,$B$3:$F$64,5,FALSE),"")</f>
        <v/>
      </c>
      <c r="V145" s="46"/>
    </row>
    <row r="146" spans="8:22" x14ac:dyDescent="0.3">
      <c r="H146" s="196" t="s">
        <v>125</v>
      </c>
      <c r="I146" s="214">
        <f>IFERROR(VLOOKUP(H146,$B$3:$F$62,5,FALSE),"")</f>
        <v>0.90859999999999996</v>
      </c>
      <c r="J146" s="200"/>
      <c r="T146" s="43" t="s">
        <v>135</v>
      </c>
      <c r="U146" s="87">
        <f>IFERROR(VLOOKUP(T146,$B$3:$F$64,5,FALSE),"")</f>
        <v>0.90029999999999999</v>
      </c>
      <c r="V146" s="46"/>
    </row>
    <row r="147" spans="8:22" x14ac:dyDescent="0.3">
      <c r="H147" s="196" t="s">
        <v>167</v>
      </c>
      <c r="I147" s="214" t="str">
        <f>IFERROR(VLOOKUP(H147,$B$3:$F$62,5,FALSE),"")</f>
        <v/>
      </c>
      <c r="J147" s="200"/>
      <c r="T147" s="43" t="s">
        <v>123</v>
      </c>
      <c r="U147" s="87">
        <f>IFERROR(VLOOKUP(T147,$B$3:$F$64,5,FALSE),"")</f>
        <v>0.37890000000000001</v>
      </c>
      <c r="V147" s="46"/>
    </row>
    <row r="148" spans="8:22" x14ac:dyDescent="0.3">
      <c r="H148" s="196" t="s">
        <v>65</v>
      </c>
      <c r="I148" s="214">
        <f>IFERROR(VLOOKUP(H148,$B$3:$F$62,5,FALSE),"")</f>
        <v>0.7137</v>
      </c>
      <c r="J148" s="200"/>
      <c r="T148" s="43" t="s">
        <v>125</v>
      </c>
      <c r="U148" s="87">
        <f>IFERROR(VLOOKUP(T148,$B$3:$F$64,5,FALSE),"")</f>
        <v>0.90859999999999996</v>
      </c>
      <c r="V148" s="46"/>
    </row>
    <row r="149" spans="8:22" x14ac:dyDescent="0.3">
      <c r="H149" s="196" t="s">
        <v>41</v>
      </c>
      <c r="I149" s="214">
        <f>IFERROR(VLOOKUP(H149,$B$3:$F$62,5,FALSE),"")</f>
        <v>0.84079999999999999</v>
      </c>
      <c r="J149" s="200"/>
      <c r="T149" s="43" t="s">
        <v>167</v>
      </c>
      <c r="U149" s="87" t="str">
        <f>IFERROR(VLOOKUP(T149,$B$3:$F$64,5,FALSE),"")</f>
        <v/>
      </c>
      <c r="V149" s="46"/>
    </row>
    <row r="150" spans="8:22" x14ac:dyDescent="0.3">
      <c r="H150" s="196" t="s">
        <v>42</v>
      </c>
      <c r="I150" s="214">
        <f>IFERROR(VLOOKUP(H150,$B$3:$F$62,5,FALSE),"")</f>
        <v>0.77139999999999997</v>
      </c>
      <c r="J150" s="200"/>
      <c r="T150" s="43" t="s">
        <v>65</v>
      </c>
      <c r="U150" s="87">
        <f>IFERROR(VLOOKUP(T150,$B$3:$F$64,5,FALSE),"")</f>
        <v>0.7137</v>
      </c>
      <c r="V150" s="46"/>
    </row>
    <row r="151" spans="8:22" x14ac:dyDescent="0.3">
      <c r="H151" s="196" t="s">
        <v>29</v>
      </c>
      <c r="I151" s="214">
        <f>IFERROR(VLOOKUP(H151,$B$3:$F$62,5,FALSE),"")</f>
        <v>0.82340000000000002</v>
      </c>
      <c r="J151" s="200"/>
      <c r="T151" s="43" t="s">
        <v>41</v>
      </c>
      <c r="U151" s="87">
        <f>IFERROR(VLOOKUP(T151,$B$3:$F$64,5,FALSE),"")</f>
        <v>0.84079999999999999</v>
      </c>
      <c r="V151" s="46"/>
    </row>
    <row r="152" spans="8:22" x14ac:dyDescent="0.3">
      <c r="H152" s="196" t="s">
        <v>16</v>
      </c>
      <c r="I152" s="214">
        <f>IFERROR(VLOOKUP(H152,$B$3:$F$62,5,FALSE),"")</f>
        <v>0.68889999999999996</v>
      </c>
      <c r="J152" s="200"/>
      <c r="T152" s="43" t="s">
        <v>42</v>
      </c>
      <c r="U152" s="87">
        <f>IFERROR(VLOOKUP(T152,$B$3:$F$64,5,FALSE),"")</f>
        <v>0.77139999999999997</v>
      </c>
      <c r="V152" s="46"/>
    </row>
    <row r="153" spans="8:22" x14ac:dyDescent="0.3">
      <c r="H153" s="196" t="s">
        <v>168</v>
      </c>
      <c r="I153" s="214" t="str">
        <f>IFERROR(VLOOKUP(H153,$B$3:$F$62,5,FALSE),"")</f>
        <v/>
      </c>
      <c r="J153" s="200"/>
      <c r="T153" s="43" t="s">
        <v>29</v>
      </c>
      <c r="U153" s="87">
        <f>IFERROR(VLOOKUP(T153,$B$3:$F$64,5,FALSE),"")</f>
        <v>0.82340000000000002</v>
      </c>
      <c r="V153" s="46"/>
    </row>
    <row r="154" spans="8:22" x14ac:dyDescent="0.3">
      <c r="H154" s="196" t="s">
        <v>18</v>
      </c>
      <c r="I154" s="214">
        <f>IFERROR(VLOOKUP(H154,$B$3:$F$62,5,FALSE),"")</f>
        <v>0.43140000000000001</v>
      </c>
      <c r="J154" s="200"/>
      <c r="T154" s="43" t="s">
        <v>16</v>
      </c>
      <c r="U154" s="87">
        <f>IFERROR(VLOOKUP(T154,$B$3:$F$64,5,FALSE),"")</f>
        <v>0.68889999999999996</v>
      </c>
      <c r="V154" s="46"/>
    </row>
    <row r="155" spans="8:22" x14ac:dyDescent="0.3">
      <c r="H155" s="196" t="s">
        <v>45</v>
      </c>
      <c r="I155" s="214">
        <f>IFERROR(VLOOKUP(H155,$B$3:$F$62,5,FALSE),"")</f>
        <v>0.80269999999999997</v>
      </c>
      <c r="J155" s="200"/>
      <c r="T155" s="43" t="s">
        <v>168</v>
      </c>
      <c r="U155" s="87" t="str">
        <f>IFERROR(VLOOKUP(T155,$B$3:$F$64,5,FALSE),"")</f>
        <v/>
      </c>
      <c r="V155" s="46"/>
    </row>
    <row r="156" spans="8:22" x14ac:dyDescent="0.3">
      <c r="H156" s="196" t="s">
        <v>53</v>
      </c>
      <c r="I156" s="214" t="str">
        <f>IFERROR(VLOOKUP(H156,$B$3:$F$62,5,FALSE),"")</f>
        <v/>
      </c>
      <c r="J156" s="200"/>
      <c r="T156" s="43" t="s">
        <v>18</v>
      </c>
      <c r="U156" s="87">
        <f>IFERROR(VLOOKUP(T156,$B$3:$F$64,5,FALSE),"")</f>
        <v>0.43140000000000001</v>
      </c>
      <c r="V156" s="46"/>
    </row>
    <row r="157" spans="8:22" x14ac:dyDescent="0.3">
      <c r="H157" s="196" t="s">
        <v>187</v>
      </c>
      <c r="I157" s="214" t="str">
        <f>IFERROR(VLOOKUP(H157,$B$3:$F$62,5,FALSE),"")</f>
        <v/>
      </c>
      <c r="J157" s="200"/>
      <c r="T157" s="43" t="s">
        <v>45</v>
      </c>
      <c r="U157" s="87">
        <f>IFERROR(VLOOKUP(T157,$B$3:$F$64,5,FALSE),"")</f>
        <v>0.80269999999999997</v>
      </c>
      <c r="V157" s="46"/>
    </row>
    <row r="158" spans="8:22" x14ac:dyDescent="0.3">
      <c r="H158" s="196" t="s">
        <v>52</v>
      </c>
      <c r="I158" s="214">
        <f>IFERROR(VLOOKUP(H158,$B$3:$F$62,5,FALSE),"")</f>
        <v>0.34699999999999998</v>
      </c>
      <c r="J158" s="200"/>
      <c r="T158" s="43" t="s">
        <v>53</v>
      </c>
      <c r="U158" s="87" t="str">
        <f>IFERROR(VLOOKUP(T158,$B$3:$F$64,5,FALSE),"")</f>
        <v/>
      </c>
      <c r="V158" s="46"/>
    </row>
    <row r="159" spans="8:22" x14ac:dyDescent="0.3">
      <c r="H159" s="196" t="s">
        <v>55</v>
      </c>
      <c r="I159" s="214">
        <f>IFERROR(VLOOKUP(H159,$B$3:$F$62,5,FALSE),"")</f>
        <v>0.61050000000000004</v>
      </c>
      <c r="J159" s="200"/>
      <c r="T159" s="43" t="s">
        <v>187</v>
      </c>
      <c r="U159" s="87" t="str">
        <f>IFERROR(VLOOKUP(T159,$B$3:$F$64,5,FALSE),"")</f>
        <v/>
      </c>
      <c r="V159" s="46"/>
    </row>
    <row r="160" spans="8:22" x14ac:dyDescent="0.3">
      <c r="H160" s="196" t="s">
        <v>169</v>
      </c>
      <c r="I160" s="214" t="str">
        <f>IFERROR(VLOOKUP(H160,$B$3:$F$62,5,FALSE),"")</f>
        <v/>
      </c>
      <c r="J160" s="200"/>
      <c r="T160" s="43" t="s">
        <v>52</v>
      </c>
      <c r="U160" s="87">
        <f>IFERROR(VLOOKUP(T160,$B$3:$F$64,5,FALSE),"")</f>
        <v>0.34699999999999998</v>
      </c>
      <c r="V160" s="46"/>
    </row>
    <row r="161" spans="8:22" x14ac:dyDescent="0.3">
      <c r="H161" s="196" t="s">
        <v>213</v>
      </c>
      <c r="I161" s="214" t="str">
        <f>IFERROR(VLOOKUP(H161,$B$3:$F$62,5,FALSE),"")</f>
        <v/>
      </c>
      <c r="J161" s="200"/>
      <c r="T161" s="43" t="s">
        <v>55</v>
      </c>
      <c r="U161" s="87">
        <f>IFERROR(VLOOKUP(T161,$B$3:$F$64,5,FALSE),"")</f>
        <v>0.61050000000000004</v>
      </c>
      <c r="V161" s="46"/>
    </row>
    <row r="162" spans="8:22" x14ac:dyDescent="0.3">
      <c r="H162" s="196" t="s">
        <v>214</v>
      </c>
      <c r="I162" s="214" t="str">
        <f>IFERROR(VLOOKUP(H162,$B$3:$F$62,5,FALSE),"")</f>
        <v/>
      </c>
      <c r="J162" s="200"/>
      <c r="T162" s="43" t="s">
        <v>169</v>
      </c>
      <c r="U162" s="87" t="str">
        <f>IFERROR(VLOOKUP(T162,$B$3:$F$64,5,FALSE),"")</f>
        <v/>
      </c>
      <c r="V162" s="46"/>
    </row>
    <row r="163" spans="8:22" x14ac:dyDescent="0.3">
      <c r="H163" s="196"/>
      <c r="I163" s="214" t="str">
        <f>IFERROR(VLOOKUP(H163,$B$3:$F$62,5,FALSE),"")</f>
        <v/>
      </c>
      <c r="J163" s="200"/>
      <c r="T163" s="43" t="s">
        <v>213</v>
      </c>
      <c r="U163" s="87" t="str">
        <f>IFERROR(VLOOKUP(T163,$B$3:$F$64,5,FALSE),"")</f>
        <v/>
      </c>
      <c r="V163" s="46"/>
    </row>
    <row r="164" spans="8:22" x14ac:dyDescent="0.3">
      <c r="H164" s="196"/>
      <c r="I164" s="214" t="str">
        <f>IFERROR(VLOOKUP(H164,$B$3:$F$62,5,FALSE),"")</f>
        <v/>
      </c>
      <c r="J164" s="200"/>
      <c r="T164" s="43" t="s">
        <v>214</v>
      </c>
      <c r="U164" s="87" t="str">
        <f>IFERROR(VLOOKUP(T164,$B$3:$F$64,5,FALSE),"")</f>
        <v/>
      </c>
      <c r="V164" s="46"/>
    </row>
    <row r="165" spans="8:22" x14ac:dyDescent="0.3">
      <c r="H165" s="200" t="s">
        <v>79</v>
      </c>
      <c r="I165" s="214" t="str">
        <f>IFERROR(VLOOKUP(H165,$B$3:$F$62,5,FALSE),"")</f>
        <v/>
      </c>
      <c r="J165" s="209">
        <f>SUM(I165:I194)</f>
        <v>2.0034999999999998</v>
      </c>
      <c r="T165" s="43"/>
      <c r="U165" s="87" t="str">
        <f>IFERROR(VLOOKUP(T165,$B$3:$F$64,5,FALSE),"")</f>
        <v/>
      </c>
      <c r="V165" s="46"/>
    </row>
    <row r="166" spans="8:22" x14ac:dyDescent="0.3">
      <c r="H166" s="196" t="s">
        <v>170</v>
      </c>
      <c r="I166" s="214" t="str">
        <f>IFERROR(VLOOKUP(H166,$B$3:$F$62,5,FALSE),"")</f>
        <v/>
      </c>
      <c r="J166" s="200"/>
      <c r="T166" s="43"/>
      <c r="U166" s="87" t="str">
        <f>IFERROR(VLOOKUP(T166,$B$3:$F$64,5,FALSE),"")</f>
        <v/>
      </c>
      <c r="V166" s="46"/>
    </row>
    <row r="167" spans="8:22" x14ac:dyDescent="0.3">
      <c r="H167" s="196" t="s">
        <v>143</v>
      </c>
      <c r="I167" s="214" t="str">
        <f>IFERROR(VLOOKUP(H167,$B$3:$F$62,5,FALSE),"")</f>
        <v/>
      </c>
      <c r="J167" s="200"/>
      <c r="T167" s="46" t="s">
        <v>79</v>
      </c>
      <c r="U167" s="87" t="str">
        <f>IFERROR(VLOOKUP(T167,$B$3:$F$64,5,FALSE),"")</f>
        <v/>
      </c>
      <c r="V167" s="137">
        <f>SUM(U167:U196)</f>
        <v>2.5543999999999998</v>
      </c>
    </row>
    <row r="168" spans="8:22" x14ac:dyDescent="0.3">
      <c r="H168" s="196" t="s">
        <v>171</v>
      </c>
      <c r="I168" s="214" t="str">
        <f>IFERROR(VLOOKUP(H168,$B$3:$F$62,5,FALSE),"")</f>
        <v/>
      </c>
      <c r="J168" s="200"/>
      <c r="T168" s="43" t="s">
        <v>170</v>
      </c>
      <c r="U168" s="87" t="str">
        <f>IFERROR(VLOOKUP(T168,$B$3:$F$64,5,FALSE),"")</f>
        <v/>
      </c>
      <c r="V168" s="46"/>
    </row>
    <row r="169" spans="8:22" x14ac:dyDescent="0.3">
      <c r="H169" s="196" t="s">
        <v>141</v>
      </c>
      <c r="I169" s="214">
        <f>IFERROR(VLOOKUP(H169,$B$3:$F$62,5,FALSE),"")</f>
        <v>0.55830000000000002</v>
      </c>
      <c r="J169" s="200"/>
      <c r="T169" s="43" t="s">
        <v>143</v>
      </c>
      <c r="U169" s="87">
        <f>IFERROR(VLOOKUP(T169,$B$3:$F$64,5,FALSE),"")</f>
        <v>0.55089999999999995</v>
      </c>
      <c r="V169" s="46"/>
    </row>
    <row r="170" spans="8:22" x14ac:dyDescent="0.3">
      <c r="H170" s="196" t="s">
        <v>172</v>
      </c>
      <c r="I170" s="214" t="str">
        <f>IFERROR(VLOOKUP(H170,$B$3:$F$62,5,FALSE),"")</f>
        <v/>
      </c>
      <c r="J170" s="200"/>
      <c r="T170" s="43" t="s">
        <v>171</v>
      </c>
      <c r="U170" s="87" t="str">
        <f>IFERROR(VLOOKUP(T170,$B$3:$F$64,5,FALSE),"")</f>
        <v/>
      </c>
      <c r="V170" s="46"/>
    </row>
    <row r="171" spans="8:22" x14ac:dyDescent="0.3">
      <c r="H171" s="196" t="s">
        <v>173</v>
      </c>
      <c r="I171" s="214" t="str">
        <f>IFERROR(VLOOKUP(H171,$B$3:$F$62,5,FALSE),"")</f>
        <v/>
      </c>
      <c r="J171" s="200"/>
      <c r="T171" s="43" t="s">
        <v>141</v>
      </c>
      <c r="U171" s="87">
        <f>IFERROR(VLOOKUP(T171,$B$3:$F$64,5,FALSE),"")</f>
        <v>0.55830000000000002</v>
      </c>
      <c r="V171" s="46"/>
    </row>
    <row r="172" spans="8:22" x14ac:dyDescent="0.3">
      <c r="H172" s="196" t="s">
        <v>174</v>
      </c>
      <c r="I172" s="214" t="str">
        <f>IFERROR(VLOOKUP(H172,$B$3:$F$62,5,FALSE),"")</f>
        <v/>
      </c>
      <c r="J172" s="200"/>
      <c r="T172" s="43" t="s">
        <v>172</v>
      </c>
      <c r="U172" s="87" t="str">
        <f>IFERROR(VLOOKUP(T172,$B$3:$F$64,5,FALSE),"")</f>
        <v/>
      </c>
      <c r="V172" s="46"/>
    </row>
    <row r="173" spans="8:22" x14ac:dyDescent="0.3">
      <c r="H173" s="196" t="s">
        <v>175</v>
      </c>
      <c r="I173" s="214" t="str">
        <f>IFERROR(VLOOKUP(H173,$B$3:$F$62,5,FALSE),"")</f>
        <v/>
      </c>
      <c r="J173" s="200"/>
      <c r="L173">
        <f>0.925*0.2</f>
        <v>0.18500000000000003</v>
      </c>
      <c r="T173" s="43" t="s">
        <v>173</v>
      </c>
      <c r="U173" s="87" t="str">
        <f>IFERROR(VLOOKUP(T173,$B$3:$F$64,5,FALSE),"")</f>
        <v/>
      </c>
      <c r="V173" s="46"/>
    </row>
    <row r="174" spans="8:22" x14ac:dyDescent="0.3">
      <c r="H174" s="196" t="s">
        <v>176</v>
      </c>
      <c r="I174" s="214" t="str">
        <f>IFERROR(VLOOKUP(H174,$B$3:$F$62,5,FALSE),"")</f>
        <v/>
      </c>
      <c r="J174" s="200"/>
      <c r="T174" s="43" t="s">
        <v>174</v>
      </c>
      <c r="U174" s="87" t="str">
        <f>IFERROR(VLOOKUP(T174,$B$3:$F$64,5,FALSE),"")</f>
        <v/>
      </c>
      <c r="V174" s="46"/>
    </row>
    <row r="175" spans="8:22" x14ac:dyDescent="0.3">
      <c r="H175" s="196" t="s">
        <v>186</v>
      </c>
      <c r="I175" s="214" t="str">
        <f>IFERROR(VLOOKUP(H175,$B$3:$F$62,5,FALSE),"")</f>
        <v/>
      </c>
      <c r="J175" s="200"/>
      <c r="T175" s="43" t="s">
        <v>175</v>
      </c>
      <c r="U175" s="87" t="str">
        <f>IFERROR(VLOOKUP(T175,$B$3:$F$64,5,FALSE),"")</f>
        <v/>
      </c>
      <c r="V175" s="46"/>
    </row>
    <row r="176" spans="8:22" x14ac:dyDescent="0.3">
      <c r="H176" s="196" t="s">
        <v>185</v>
      </c>
      <c r="I176" s="214" t="str">
        <f>IFERROR(VLOOKUP(H176,$B$3:$F$62,5,FALSE),"")</f>
        <v/>
      </c>
      <c r="J176" s="200"/>
      <c r="T176" s="43" t="s">
        <v>176</v>
      </c>
      <c r="U176" s="87" t="str">
        <f>IFERROR(VLOOKUP(T176,$B$3:$F$64,5,FALSE),"")</f>
        <v/>
      </c>
      <c r="V176" s="46"/>
    </row>
    <row r="177" spans="8:22" x14ac:dyDescent="0.3">
      <c r="H177" s="196" t="s">
        <v>137</v>
      </c>
      <c r="I177" s="214">
        <f>IFERROR(VLOOKUP(H177,$B$3:$F$62,5,FALSE),"")</f>
        <v>0.98670000000000002</v>
      </c>
      <c r="J177" s="200"/>
      <c r="T177" s="43" t="s">
        <v>186</v>
      </c>
      <c r="U177" s="87" t="str">
        <f>IFERROR(VLOOKUP(T177,$B$3:$F$64,5,FALSE),"")</f>
        <v/>
      </c>
      <c r="V177" s="46"/>
    </row>
    <row r="178" spans="8:22" x14ac:dyDescent="0.3">
      <c r="H178" s="196" t="s">
        <v>177</v>
      </c>
      <c r="I178" s="214" t="str">
        <f>IFERROR(VLOOKUP(H178,$B$3:$F$62,5,FALSE),"")</f>
        <v/>
      </c>
      <c r="J178" s="200"/>
      <c r="T178" s="43" t="s">
        <v>185</v>
      </c>
      <c r="U178" s="87" t="str">
        <f>IFERROR(VLOOKUP(T178,$B$3:$F$64,5,FALSE),"")</f>
        <v/>
      </c>
      <c r="V178" s="46"/>
    </row>
    <row r="179" spans="8:22" x14ac:dyDescent="0.3">
      <c r="H179" s="196" t="s">
        <v>178</v>
      </c>
      <c r="I179" s="214" t="str">
        <f>IFERROR(VLOOKUP(H179,$B$3:$F$62,5,FALSE),"")</f>
        <v/>
      </c>
      <c r="J179" s="200"/>
      <c r="T179" s="43" t="s">
        <v>137</v>
      </c>
      <c r="U179" s="87">
        <f>IFERROR(VLOOKUP(T179,$B$3:$F$64,5,FALSE),"")</f>
        <v>0.98670000000000002</v>
      </c>
      <c r="V179" s="46"/>
    </row>
    <row r="180" spans="8:22" x14ac:dyDescent="0.3">
      <c r="H180" s="196" t="s">
        <v>179</v>
      </c>
      <c r="I180" s="214" t="str">
        <f>IFERROR(VLOOKUP(H180,$B$3:$F$62,5,FALSE),"")</f>
        <v/>
      </c>
      <c r="J180" s="200"/>
      <c r="T180" s="43" t="s">
        <v>177</v>
      </c>
      <c r="U180" s="87" t="str">
        <f>IFERROR(VLOOKUP(T180,$B$3:$F$64,5,FALSE),"")</f>
        <v/>
      </c>
      <c r="V180" s="46"/>
    </row>
    <row r="181" spans="8:22" x14ac:dyDescent="0.3">
      <c r="H181" s="196" t="s">
        <v>180</v>
      </c>
      <c r="I181" s="214" t="str">
        <f>IFERROR(VLOOKUP(H181,$B$3:$F$62,5,FALSE),"")</f>
        <v/>
      </c>
      <c r="J181" s="200"/>
      <c r="T181" s="43" t="s">
        <v>178</v>
      </c>
      <c r="U181" s="87" t="str">
        <f>IFERROR(VLOOKUP(T181,$B$3:$F$64,5,FALSE),"")</f>
        <v/>
      </c>
      <c r="V181" s="46"/>
    </row>
    <row r="182" spans="8:22" x14ac:dyDescent="0.3">
      <c r="H182" s="196" t="s">
        <v>139</v>
      </c>
      <c r="I182" s="214">
        <f>IFERROR(VLOOKUP(H182,$B$3:$F$62,5,FALSE),"")</f>
        <v>0.45850000000000002</v>
      </c>
      <c r="J182" s="200"/>
      <c r="T182" s="43" t="s">
        <v>179</v>
      </c>
      <c r="U182" s="87" t="str">
        <f>IFERROR(VLOOKUP(T182,$B$3:$F$64,5,FALSE),"")</f>
        <v/>
      </c>
      <c r="V182" s="46"/>
    </row>
    <row r="183" spans="8:22" x14ac:dyDescent="0.3">
      <c r="H183" s="196" t="s">
        <v>181</v>
      </c>
      <c r="I183" s="214" t="str">
        <f>IFERROR(VLOOKUP(H183,$B$3:$F$62,5,FALSE),"")</f>
        <v/>
      </c>
      <c r="J183" s="200"/>
      <c r="T183" s="43" t="s">
        <v>180</v>
      </c>
      <c r="U183" s="87" t="str">
        <f>IFERROR(VLOOKUP(T183,$B$3:$F$64,5,FALSE),"")</f>
        <v/>
      </c>
      <c r="V183" s="46"/>
    </row>
    <row r="184" spans="8:22" x14ac:dyDescent="0.3">
      <c r="H184" s="196" t="s">
        <v>182</v>
      </c>
      <c r="I184" s="214" t="str">
        <f>IFERROR(VLOOKUP(H184,$B$3:$F$62,5,FALSE),"")</f>
        <v/>
      </c>
      <c r="J184" s="200"/>
      <c r="T184" s="43" t="s">
        <v>139</v>
      </c>
      <c r="U184" s="87">
        <f>IFERROR(VLOOKUP(T184,$B$3:$F$64,5,FALSE),"")</f>
        <v>0.45850000000000002</v>
      </c>
      <c r="V184" s="46"/>
    </row>
    <row r="185" spans="8:22" x14ac:dyDescent="0.3">
      <c r="H185" s="196"/>
      <c r="I185" s="214" t="str">
        <f>IFERROR(VLOOKUP(H185,$B$3:$F$62,5,FALSE),"")</f>
        <v/>
      </c>
      <c r="J185" s="200"/>
      <c r="T185" s="43" t="s">
        <v>181</v>
      </c>
      <c r="U185" s="87" t="str">
        <f>IFERROR(VLOOKUP(T185,$B$3:$F$64,5,FALSE),"")</f>
        <v/>
      </c>
      <c r="V185" s="46"/>
    </row>
    <row r="186" spans="8:22" x14ac:dyDescent="0.3">
      <c r="H186" s="196"/>
      <c r="I186" s="214" t="str">
        <f>IFERROR(VLOOKUP(H186,$B$3:$F$62,5,FALSE),"")</f>
        <v/>
      </c>
      <c r="J186" s="200"/>
      <c r="T186" s="43" t="s">
        <v>182</v>
      </c>
      <c r="U186" s="87" t="str">
        <f>IFERROR(VLOOKUP(T186,$B$3:$F$64,5,FALSE),"")</f>
        <v/>
      </c>
      <c r="V186" s="46"/>
    </row>
    <row r="187" spans="8:22" x14ac:dyDescent="0.3">
      <c r="H187" s="196"/>
      <c r="I187" s="214" t="str">
        <f>IFERROR(VLOOKUP(H187,$B$3:$F$62,5,FALSE),"")</f>
        <v/>
      </c>
      <c r="J187" s="200"/>
      <c r="T187" s="43"/>
      <c r="U187" s="87" t="str">
        <f>IFERROR(VLOOKUP(T187,$B$3:$F$64,5,FALSE),"")</f>
        <v/>
      </c>
      <c r="V187" s="46"/>
    </row>
    <row r="188" spans="8:22" x14ac:dyDescent="0.3">
      <c r="H188" s="196"/>
      <c r="I188" s="214" t="str">
        <f>IFERROR(VLOOKUP(H188,$B$3:$F$62,5,FALSE),"")</f>
        <v/>
      </c>
      <c r="J188" s="200"/>
      <c r="T188" s="43"/>
      <c r="U188" s="87" t="str">
        <f>IFERROR(VLOOKUP(T188,$B$3:$F$64,5,FALSE),"")</f>
        <v/>
      </c>
      <c r="V188" s="46"/>
    </row>
    <row r="189" spans="8:22" x14ac:dyDescent="0.3">
      <c r="H189" s="196"/>
      <c r="I189" s="214" t="str">
        <f>IFERROR(VLOOKUP(H189,$B$3:$F$62,5,FALSE),"")</f>
        <v/>
      </c>
      <c r="J189" s="200"/>
      <c r="T189" s="43"/>
      <c r="U189" s="87" t="str">
        <f>IFERROR(VLOOKUP(T189,$B$3:$F$64,5,FALSE),"")</f>
        <v/>
      </c>
      <c r="V189" s="46"/>
    </row>
    <row r="190" spans="8:22" x14ac:dyDescent="0.3">
      <c r="H190" s="196"/>
      <c r="I190" s="214" t="str">
        <f>IFERROR(VLOOKUP(H190,$B$3:$F$62,5,FALSE),"")</f>
        <v/>
      </c>
      <c r="J190" s="200"/>
      <c r="T190" s="43"/>
      <c r="U190" s="87" t="str">
        <f>IFERROR(VLOOKUP(T190,$B$3:$F$64,5,FALSE),"")</f>
        <v/>
      </c>
      <c r="V190" s="46"/>
    </row>
    <row r="191" spans="8:22" x14ac:dyDescent="0.3">
      <c r="H191" s="196"/>
      <c r="I191" s="214" t="str">
        <f>IFERROR(VLOOKUP(H191,$B$3:$F$62,5,FALSE),"")</f>
        <v/>
      </c>
      <c r="J191" s="200"/>
      <c r="T191" s="43"/>
      <c r="U191" s="87" t="str">
        <f>IFERROR(VLOOKUP(T191,$B$3:$F$64,5,FALSE),"")</f>
        <v/>
      </c>
      <c r="V191" s="46"/>
    </row>
    <row r="192" spans="8:22" x14ac:dyDescent="0.3">
      <c r="H192" s="196"/>
      <c r="I192" s="214" t="str">
        <f>IFERROR(VLOOKUP(H192,$B$3:$F$62,5,FALSE),"")</f>
        <v/>
      </c>
      <c r="J192" s="200"/>
      <c r="T192" s="43"/>
      <c r="U192" s="87" t="str">
        <f>IFERROR(VLOOKUP(T192,$B$3:$F$64,5,FALSE),"")</f>
        <v/>
      </c>
      <c r="V192" s="46"/>
    </row>
    <row r="193" spans="8:22" x14ac:dyDescent="0.3">
      <c r="H193" s="196"/>
      <c r="I193" s="214" t="str">
        <f>IFERROR(VLOOKUP(H193,$B$3:$F$62,5,FALSE),"")</f>
        <v/>
      </c>
      <c r="J193" s="200"/>
      <c r="T193" s="43"/>
      <c r="U193" s="87" t="str">
        <f>IFERROR(VLOOKUP(T193,$B$3:$F$64,5,FALSE),"")</f>
        <v/>
      </c>
      <c r="V193" s="46"/>
    </row>
    <row r="194" spans="8:22" x14ac:dyDescent="0.3">
      <c r="H194" s="196"/>
      <c r="I194" s="214" t="str">
        <f>IFERROR(VLOOKUP(H194,$B$3:$F$62,5,FALSE),"")</f>
        <v/>
      </c>
      <c r="J194" s="200"/>
      <c r="T194" s="43"/>
      <c r="U194" s="87" t="str">
        <f>IFERROR(VLOOKUP(T194,$B$3:$F$64,5,FALSE),"")</f>
        <v/>
      </c>
      <c r="V194" s="46"/>
    </row>
    <row r="195" spans="8:22" x14ac:dyDescent="0.3">
      <c r="H195" s="200" t="s">
        <v>80</v>
      </c>
      <c r="I195" s="214" t="str">
        <f>IFERROR(VLOOKUP(H195,$B$3:$F$62,5,FALSE),"")</f>
        <v/>
      </c>
      <c r="J195" s="209">
        <f>SUM(I195:I205)</f>
        <v>0</v>
      </c>
      <c r="T195" s="43"/>
      <c r="U195" s="87" t="str">
        <f>IFERROR(VLOOKUP(T195,$B$3:$F$64,5,FALSE),"")</f>
        <v/>
      </c>
      <c r="V195" s="46"/>
    </row>
    <row r="196" spans="8:22" x14ac:dyDescent="0.3">
      <c r="H196" s="196"/>
      <c r="I196" s="214" t="str">
        <f>IFERROR(VLOOKUP(H196,$B$3:$F$62,5,FALSE),"")</f>
        <v/>
      </c>
      <c r="J196" s="196"/>
      <c r="T196" s="43"/>
      <c r="U196" s="87" t="str">
        <f>IFERROR(VLOOKUP(T196,$B$3:$F$64,5,FALSE),"")</f>
        <v/>
      </c>
      <c r="V196" s="46"/>
    </row>
    <row r="197" spans="8:22" x14ac:dyDescent="0.3">
      <c r="H197" s="196"/>
      <c r="I197" s="214" t="str">
        <f>IFERROR(VLOOKUP(H197,$B$3:$F$62,5,FALSE),"")</f>
        <v/>
      </c>
      <c r="J197" s="196"/>
      <c r="T197" s="46" t="s">
        <v>80</v>
      </c>
      <c r="U197" s="87" t="str">
        <f>IFERROR(VLOOKUP(T197,$B$3:$F$64,5,FALSE),"")</f>
        <v/>
      </c>
      <c r="V197" s="137">
        <f>SUM(U197:U207)</f>
        <v>0</v>
      </c>
    </row>
    <row r="198" spans="8:22" x14ac:dyDescent="0.3">
      <c r="H198" s="196"/>
      <c r="I198" s="214" t="str">
        <f>IFERROR(VLOOKUP(H198,$B$3:$F$62,5,FALSE),"")</f>
        <v/>
      </c>
      <c r="J198" s="196"/>
      <c r="T198" s="43"/>
      <c r="U198" s="87" t="str">
        <f>IFERROR(VLOOKUP(T198,$B$3:$F$64,5,FALSE),"")</f>
        <v/>
      </c>
      <c r="V198" s="43"/>
    </row>
    <row r="199" spans="8:22" x14ac:dyDescent="0.3">
      <c r="H199" s="196"/>
      <c r="I199" s="214" t="str">
        <f>IFERROR(VLOOKUP(H199,$B$3:$F$62,5,FALSE),"")</f>
        <v/>
      </c>
      <c r="J199" s="196"/>
      <c r="T199" s="43"/>
      <c r="U199" s="87" t="str">
        <f>IFERROR(VLOOKUP(T199,$B$3:$F$64,5,FALSE),"")</f>
        <v/>
      </c>
      <c r="V199" s="43"/>
    </row>
    <row r="200" spans="8:22" x14ac:dyDescent="0.3">
      <c r="H200" s="196"/>
      <c r="I200" s="214" t="str">
        <f>IFERROR(VLOOKUP(H200,$B$3:$F$62,5,FALSE),"")</f>
        <v/>
      </c>
      <c r="J200" s="196"/>
      <c r="T200" s="43"/>
      <c r="U200" s="87" t="str">
        <f>IFERROR(VLOOKUP(T200,$B$3:$F$64,5,FALSE),"")</f>
        <v/>
      </c>
      <c r="V200" s="43"/>
    </row>
    <row r="201" spans="8:22" x14ac:dyDescent="0.3">
      <c r="H201" s="196"/>
      <c r="I201" s="214" t="str">
        <f>IFERROR(VLOOKUP(H201,$B$3:$F$62,5,FALSE),"")</f>
        <v/>
      </c>
      <c r="J201" s="196"/>
      <c r="T201" s="43"/>
      <c r="U201" s="87" t="str">
        <f>IFERROR(VLOOKUP(T201,$B$3:$F$64,5,FALSE),"")</f>
        <v/>
      </c>
      <c r="V201" s="43"/>
    </row>
    <row r="202" spans="8:22" x14ac:dyDescent="0.3">
      <c r="H202" s="196"/>
      <c r="I202" s="214" t="str">
        <f>IFERROR(VLOOKUP(H202,$B$3:$F$62,5,FALSE),"")</f>
        <v/>
      </c>
      <c r="J202" s="196"/>
      <c r="T202" s="43"/>
      <c r="U202" s="87" t="str">
        <f>IFERROR(VLOOKUP(T202,$B$3:$F$64,5,FALSE),"")</f>
        <v/>
      </c>
      <c r="V202" s="43"/>
    </row>
    <row r="203" spans="8:22" x14ac:dyDescent="0.3">
      <c r="H203" s="196"/>
      <c r="I203" s="214" t="str">
        <f>IFERROR(VLOOKUP(H203,$B$3:$F$62,5,FALSE),"")</f>
        <v/>
      </c>
      <c r="J203" s="196"/>
      <c r="T203" s="43"/>
      <c r="U203" s="87" t="str">
        <f>IFERROR(VLOOKUP(T203,$B$3:$F$64,5,FALSE),"")</f>
        <v/>
      </c>
      <c r="V203" s="43"/>
    </row>
    <row r="204" spans="8:22" x14ac:dyDescent="0.3">
      <c r="H204" s="196"/>
      <c r="I204" s="214" t="str">
        <f>IFERROR(VLOOKUP(H204,$B$3:$F$62,5,FALSE),"")</f>
        <v/>
      </c>
      <c r="J204" s="196"/>
      <c r="T204" s="43"/>
      <c r="U204" s="87" t="str">
        <f>IFERROR(VLOOKUP(T204,$B$3:$F$64,5,FALSE),"")</f>
        <v/>
      </c>
      <c r="V204" s="43"/>
    </row>
    <row r="205" spans="8:22" x14ac:dyDescent="0.3">
      <c r="H205" s="196"/>
      <c r="I205" s="214" t="str">
        <f>IFERROR(VLOOKUP(H205,$B$3:$F$62,5,FALSE),"")</f>
        <v/>
      </c>
      <c r="J205" s="196"/>
      <c r="T205" s="43"/>
      <c r="U205" s="87" t="str">
        <f>IFERROR(VLOOKUP(T205,$B$3:$F$64,5,FALSE),"")</f>
        <v/>
      </c>
      <c r="V205" s="43"/>
    </row>
    <row r="206" spans="8:22" x14ac:dyDescent="0.3">
      <c r="I206" s="214" t="str">
        <f>IFERROR(VLOOKUP(H206,$B$3:$F$62,5,FALSE),"")</f>
        <v/>
      </c>
      <c r="T206" s="43"/>
      <c r="U206" s="87" t="str">
        <f>IFERROR(VLOOKUP(T206,$B$3:$F$64,5,FALSE),"")</f>
        <v/>
      </c>
      <c r="V206" s="43"/>
    </row>
    <row r="207" spans="8:22" x14ac:dyDescent="0.3">
      <c r="I207" s="214" t="str">
        <f>IFERROR(VLOOKUP(H207,$B$3:$F$62,5,FALSE),"")</f>
        <v/>
      </c>
      <c r="T207" s="43"/>
      <c r="U207" s="87" t="str">
        <f>IFERROR(VLOOKUP(T207,$B$3:$F$64,5,FALSE),"")</f>
        <v/>
      </c>
      <c r="V207" s="43"/>
    </row>
    <row r="208" spans="8:22" x14ac:dyDescent="0.3">
      <c r="I208" s="214" t="str">
        <f>IFERROR(VLOOKUP(H208,$B$3:$F$62,5,FALSE),"")</f>
        <v/>
      </c>
      <c r="U208" s="87" t="str">
        <f>IFERROR(VLOOKUP(T208,$B$3:$F$64,5,FALSE),"")</f>
        <v/>
      </c>
    </row>
    <row r="209" spans="9:21" x14ac:dyDescent="0.3">
      <c r="I209" s="214" t="str">
        <f>IFERROR(VLOOKUP(H209,$B$3:$F$62,5,FALSE),"")</f>
        <v/>
      </c>
      <c r="U209" s="87" t="str">
        <f>IFERROR(VLOOKUP(T209,$B$3:$F$64,5,FALSE),"")</f>
        <v/>
      </c>
    </row>
    <row r="210" spans="9:21" x14ac:dyDescent="0.3">
      <c r="I210" s="214" t="str">
        <f>IFERROR(VLOOKUP(H210,$B$3:$F$62,5,FALSE),"")</f>
        <v/>
      </c>
      <c r="U210" s="87" t="str">
        <f>IFERROR(VLOOKUP(T210,$B$3:$F$64,5,FALSE),"")</f>
        <v/>
      </c>
    </row>
    <row r="211" spans="9:21" x14ac:dyDescent="0.3">
      <c r="I211" s="214" t="str">
        <f>IFERROR(VLOOKUP(H211,$B$3:$F$62,5,FALSE),"")</f>
        <v/>
      </c>
      <c r="U211" s="87" t="str">
        <f>IFERROR(VLOOKUP(T211,$B$3:$F$64,5,FALSE),"")</f>
        <v/>
      </c>
    </row>
    <row r="212" spans="9:21" x14ac:dyDescent="0.3">
      <c r="I212" s="214" t="str">
        <f>IFERROR(VLOOKUP(H212,$B$3:$F$62,5,FALSE),"")</f>
        <v/>
      </c>
      <c r="U212" s="87" t="str">
        <f>IFERROR(VLOOKUP(T212,$B$3:$F$64,5,FALSE),"")</f>
        <v/>
      </c>
    </row>
    <row r="213" spans="9:21" x14ac:dyDescent="0.3">
      <c r="I213" s="214" t="str">
        <f>IFERROR(VLOOKUP(H213,$B$3:$F$62,5,FALSE),"")</f>
        <v/>
      </c>
      <c r="U213" s="87" t="str">
        <f>IFERROR(VLOOKUP(T213,$B$3:$F$64,5,FALSE),"")</f>
        <v/>
      </c>
    </row>
    <row r="214" spans="9:21" x14ac:dyDescent="0.3">
      <c r="I214" s="214" t="str">
        <f>IFERROR(VLOOKUP(H214,$B$3:$F$62,5,FALSE),"")</f>
        <v/>
      </c>
      <c r="U214" s="87" t="str">
        <f>IFERROR(VLOOKUP(T214,$B$3:$F$64,5,FALSE),"")</f>
        <v/>
      </c>
    </row>
    <row r="215" spans="9:21" x14ac:dyDescent="0.3">
      <c r="I215" s="214" t="str">
        <f>IFERROR(VLOOKUP(H215,$B$3:$F$62,5,FALSE),"")</f>
        <v/>
      </c>
      <c r="U215" s="87" t="str">
        <f>IFERROR(VLOOKUP(T215,$B$3:$F$64,5,FALSE),"")</f>
        <v/>
      </c>
    </row>
    <row r="216" spans="9:21" x14ac:dyDescent="0.3">
      <c r="I216" s="214" t="str">
        <f>IFERROR(VLOOKUP(H216,$B$3:$F$62,5,FALSE),"")</f>
        <v/>
      </c>
      <c r="U216" s="87" t="str">
        <f>IFERROR(VLOOKUP(T216,$B$3:$F$64,5,FALSE),"")</f>
        <v/>
      </c>
    </row>
    <row r="217" spans="9:21" x14ac:dyDescent="0.3">
      <c r="I217" s="214" t="str">
        <f>IFERROR(VLOOKUP(H217,$B$3:$F$62,5,FALSE),"")</f>
        <v/>
      </c>
      <c r="U217" s="87" t="str">
        <f>IFERROR(VLOOKUP(T217,$B$3:$F$64,5,FALSE),"")</f>
        <v/>
      </c>
    </row>
    <row r="218" spans="9:21" x14ac:dyDescent="0.3">
      <c r="I218" s="214" t="str">
        <f>IFERROR(VLOOKUP(H218,$B$3:$F$62,5,FALSE),"")</f>
        <v/>
      </c>
      <c r="U218" s="87" t="str">
        <f>IFERROR(VLOOKUP(T218,$B$3:$F$64,5,FALSE),"")</f>
        <v/>
      </c>
    </row>
    <row r="219" spans="9:21" x14ac:dyDescent="0.3">
      <c r="I219" s="214" t="str">
        <f>IFERROR(VLOOKUP(H219,$B$3:$F$62,5,FALSE),"")</f>
        <v/>
      </c>
      <c r="U219" s="87" t="str">
        <f>IFERROR(VLOOKUP(T219,$B$3:$F$64,5,FALSE),"")</f>
        <v/>
      </c>
    </row>
    <row r="220" spans="9:21" x14ac:dyDescent="0.3">
      <c r="I220" s="214" t="str">
        <f>IFERROR(VLOOKUP(H220,$B$3:$F$62,5,FALSE),"")</f>
        <v/>
      </c>
      <c r="U220" s="87" t="str">
        <f>IFERROR(VLOOKUP(T220,$B$3:$F$64,5,FALSE),"")</f>
        <v/>
      </c>
    </row>
    <row r="221" spans="9:21" x14ac:dyDescent="0.3">
      <c r="I221" s="214" t="str">
        <f>IFERROR(VLOOKUP(H221,$B$3:$F$62,5,FALSE),"")</f>
        <v/>
      </c>
      <c r="U221" s="87" t="str">
        <f>IFERROR(VLOOKUP(T221,$B$3:$F$64,5,FALSE),"")</f>
        <v/>
      </c>
    </row>
    <row r="222" spans="9:21" x14ac:dyDescent="0.3">
      <c r="I222" s="214" t="str">
        <f>IFERROR(VLOOKUP(H222,$B$3:$F$62,5,FALSE),"")</f>
        <v/>
      </c>
      <c r="U222" s="87" t="str">
        <f>IFERROR(VLOOKUP(T222,$B$3:$F$64,5,FALSE),"")</f>
        <v/>
      </c>
    </row>
    <row r="223" spans="9:21" x14ac:dyDescent="0.3">
      <c r="I223" s="214" t="str">
        <f>IFERROR(VLOOKUP(H223,$B$3:$F$62,5,FALSE),"")</f>
        <v/>
      </c>
      <c r="U223" s="87" t="str">
        <f>IFERROR(VLOOKUP(T223,$B$3:$F$64,5,FALSE),"")</f>
        <v/>
      </c>
    </row>
    <row r="224" spans="9:21" x14ac:dyDescent="0.3">
      <c r="I224" s="214" t="str">
        <f>IFERROR(VLOOKUP(H224,$B$3:$F$62,5,FALSE),"")</f>
        <v/>
      </c>
      <c r="U224" s="87" t="str">
        <f>IFERROR(VLOOKUP(T224,$B$3:$F$64,5,FALSE),"")</f>
        <v/>
      </c>
    </row>
    <row r="225" spans="9:21" x14ac:dyDescent="0.3">
      <c r="I225" s="214" t="str">
        <f>IFERROR(VLOOKUP(H225,$B$3:$F$62,5,FALSE),"")</f>
        <v/>
      </c>
      <c r="U225" s="87" t="str">
        <f>IFERROR(VLOOKUP(T225,$B$3:$F$64,5,FALSE),"")</f>
        <v/>
      </c>
    </row>
    <row r="226" spans="9:21" x14ac:dyDescent="0.3">
      <c r="I226" s="214" t="str">
        <f>IFERROR(VLOOKUP(H226,$B$3:$F$62,5,FALSE),"")</f>
        <v/>
      </c>
      <c r="U226" s="87" t="str">
        <f>IFERROR(VLOOKUP(T226,$B$3:$F$64,5,FALSE),"")</f>
        <v/>
      </c>
    </row>
    <row r="227" spans="9:21" x14ac:dyDescent="0.3">
      <c r="I227" s="214" t="str">
        <f>IFERROR(VLOOKUP(H227,$B$3:$F$62,5,FALSE),"")</f>
        <v/>
      </c>
      <c r="U227" s="87" t="str">
        <f>IFERROR(VLOOKUP(T227,$B$3:$F$64,5,FALSE),"")</f>
        <v/>
      </c>
    </row>
    <row r="228" spans="9:21" x14ac:dyDescent="0.3">
      <c r="I228" s="214" t="str">
        <f>IFERROR(VLOOKUP(H228,$B$3:$F$62,5,FALSE),"")</f>
        <v/>
      </c>
      <c r="U228" s="87" t="str">
        <f>IFERROR(VLOOKUP(T228,$B$3:$F$64,5,FALSE),"")</f>
        <v/>
      </c>
    </row>
    <row r="229" spans="9:21" x14ac:dyDescent="0.3">
      <c r="I229" s="214" t="str">
        <f>IFERROR(VLOOKUP(H229,$B$3:$F$62,5,FALSE),"")</f>
        <v/>
      </c>
      <c r="U229" s="87" t="str">
        <f>IFERROR(VLOOKUP(T229,$B$3:$F$64,5,FALSE),"")</f>
        <v/>
      </c>
    </row>
    <row r="230" spans="9:21" x14ac:dyDescent="0.3">
      <c r="I230" s="214" t="str">
        <f>IFERROR(VLOOKUP(H230,$B$3:$F$62,5,FALSE),"")</f>
        <v/>
      </c>
      <c r="U230" s="87" t="str">
        <f>IFERROR(VLOOKUP(T230,$B$3:$F$64,5,FALSE),"")</f>
        <v/>
      </c>
    </row>
    <row r="231" spans="9:21" x14ac:dyDescent="0.3">
      <c r="I231" s="214" t="str">
        <f>IFERROR(VLOOKUP(H231,$B$3:$F$62,5,FALSE),"")</f>
        <v/>
      </c>
      <c r="U231" s="87" t="str">
        <f>IFERROR(VLOOKUP(T231,$B$3:$F$64,5,FALSE),"")</f>
        <v/>
      </c>
    </row>
    <row r="232" spans="9:21" x14ac:dyDescent="0.3">
      <c r="I232" s="214" t="str">
        <f>IFERROR(VLOOKUP(H232,$B$3:$F$62,5,FALSE),"")</f>
        <v/>
      </c>
      <c r="U232" s="87" t="str">
        <f>IFERROR(VLOOKUP(T232,$B$3:$F$64,5,FALSE),"")</f>
        <v/>
      </c>
    </row>
    <row r="233" spans="9:21" x14ac:dyDescent="0.3">
      <c r="I233" s="214" t="str">
        <f>IFERROR(VLOOKUP(H233,$B$3:$F$62,5,FALSE),"")</f>
        <v/>
      </c>
      <c r="U233" s="87" t="str">
        <f>IFERROR(VLOOKUP(T233,$B$3:$F$64,5,FALSE),"")</f>
        <v/>
      </c>
    </row>
    <row r="234" spans="9:21" x14ac:dyDescent="0.3">
      <c r="I234" s="214" t="str">
        <f>IFERROR(VLOOKUP(H234,$B$3:$F$62,5,FALSE),"")</f>
        <v/>
      </c>
      <c r="U234" s="87" t="str">
        <f>IFERROR(VLOOKUP(T234,$B$3:$F$64,5,FALSE),"")</f>
        <v/>
      </c>
    </row>
    <row r="235" spans="9:21" x14ac:dyDescent="0.3">
      <c r="I235" s="214" t="str">
        <f>IFERROR(VLOOKUP(H235,$B$3:$F$62,5,FALSE),"")</f>
        <v/>
      </c>
      <c r="U235" s="87" t="str">
        <f>IFERROR(VLOOKUP(T235,$B$3:$F$64,5,FALSE),"")</f>
        <v/>
      </c>
    </row>
    <row r="236" spans="9:21" x14ac:dyDescent="0.3">
      <c r="I236" s="214" t="str">
        <f>IFERROR(VLOOKUP(H236,$B$3:$F$62,5,FALSE),"")</f>
        <v/>
      </c>
      <c r="U236" s="87" t="str">
        <f>IFERROR(VLOOKUP(T236,$B$3:$F$64,5,FALSE),"")</f>
        <v/>
      </c>
    </row>
    <row r="237" spans="9:21" x14ac:dyDescent="0.3">
      <c r="I237" s="214" t="str">
        <f>IFERROR(VLOOKUP(H237,$B$3:$F$62,5,FALSE),"")</f>
        <v/>
      </c>
      <c r="U237" s="87" t="str">
        <f>IFERROR(VLOOKUP(T237,$B$3:$F$64,5,FALSE),"")</f>
        <v/>
      </c>
    </row>
    <row r="238" spans="9:21" x14ac:dyDescent="0.3">
      <c r="I238" s="214" t="str">
        <f>IFERROR(VLOOKUP(H238,$B$3:$F$62,5,FALSE),"")</f>
        <v/>
      </c>
      <c r="U238" s="87" t="str">
        <f>IFERROR(VLOOKUP(T238,$B$3:$F$64,5,FALSE),"")</f>
        <v/>
      </c>
    </row>
    <row r="239" spans="9:21" x14ac:dyDescent="0.3">
      <c r="I239" s="214" t="str">
        <f>IFERROR(VLOOKUP(H239,$B$3:$F$62,5,FALSE),"")</f>
        <v/>
      </c>
      <c r="U239" s="87" t="str">
        <f>IFERROR(VLOOKUP(T239,$B$3:$F$64,5,FALSE),"")</f>
        <v/>
      </c>
    </row>
    <row r="240" spans="9:21" x14ac:dyDescent="0.3">
      <c r="I240" s="214" t="str">
        <f>IFERROR(VLOOKUP(H240,$B$3:$F$62,5,FALSE),"")</f>
        <v/>
      </c>
      <c r="U240" s="87" t="str">
        <f>IFERROR(VLOOKUP(T240,$B$3:$F$64,5,FALSE),"")</f>
        <v/>
      </c>
    </row>
    <row r="241" spans="9:21" x14ac:dyDescent="0.3">
      <c r="I241" s="214" t="str">
        <f>IFERROR(VLOOKUP(H241,$B$3:$F$62,5,FALSE),"")</f>
        <v/>
      </c>
      <c r="U241" s="87" t="str">
        <f>IFERROR(VLOOKUP(T241,$B$3:$F$64,5,FALSE),"")</f>
        <v/>
      </c>
    </row>
    <row r="242" spans="9:21" x14ac:dyDescent="0.3">
      <c r="I242" s="214" t="str">
        <f>IFERROR(VLOOKUP(H242,$B$3:$F$62,5,FALSE),"")</f>
        <v/>
      </c>
      <c r="U242" s="87" t="str">
        <f>IFERROR(VLOOKUP(T242,$B$3:$F$64,5,FALSE),"")</f>
        <v/>
      </c>
    </row>
    <row r="243" spans="9:21" x14ac:dyDescent="0.3">
      <c r="I243" s="214" t="str">
        <f>IFERROR(VLOOKUP(H243,$B$3:$F$62,5,FALSE),"")</f>
        <v/>
      </c>
      <c r="U243" s="87" t="str">
        <f>IFERROR(VLOOKUP(T243,$B$3:$F$64,5,FALSE),"")</f>
        <v/>
      </c>
    </row>
    <row r="244" spans="9:21" x14ac:dyDescent="0.3">
      <c r="I244" s="214" t="str">
        <f>IFERROR(VLOOKUP(H244,$B$3:$F$62,5,FALSE),"")</f>
        <v/>
      </c>
      <c r="U244" s="87" t="str">
        <f>IFERROR(VLOOKUP(T244,$B$3:$F$64,5,FALSE),"")</f>
        <v/>
      </c>
    </row>
    <row r="245" spans="9:21" x14ac:dyDescent="0.3">
      <c r="I245" s="214" t="str">
        <f>IFERROR(VLOOKUP(H245,$B$3:$F$62,5,FALSE),"")</f>
        <v/>
      </c>
      <c r="U245" s="87" t="str">
        <f>IFERROR(VLOOKUP(T245,$B$3:$F$64,5,FALSE),"")</f>
        <v/>
      </c>
    </row>
    <row r="246" spans="9:21" x14ac:dyDescent="0.3">
      <c r="I246" s="214" t="str">
        <f>IFERROR(VLOOKUP(H246,$B$3:$F$62,5,FALSE),"")</f>
        <v/>
      </c>
      <c r="U246" s="87" t="str">
        <f>IFERROR(VLOOKUP(T246,$B$3:$F$64,5,FALSE),"")</f>
        <v/>
      </c>
    </row>
    <row r="247" spans="9:21" x14ac:dyDescent="0.3">
      <c r="I247" s="214" t="str">
        <f>IFERROR(VLOOKUP(H247,$B$3:$F$62,5,FALSE),"")</f>
        <v/>
      </c>
      <c r="U247" s="87" t="str">
        <f>IFERROR(VLOOKUP(T247,$B$3:$F$64,5,FALSE),"")</f>
        <v/>
      </c>
    </row>
    <row r="248" spans="9:21" x14ac:dyDescent="0.3">
      <c r="I248" s="214" t="str">
        <f>IFERROR(VLOOKUP(H248,$B$3:$F$62,5,FALSE),"")</f>
        <v/>
      </c>
      <c r="U248" s="87" t="str">
        <f>IFERROR(VLOOKUP(T248,$B$3:$F$64,5,FALSE),"")</f>
        <v/>
      </c>
    </row>
    <row r="249" spans="9:21" x14ac:dyDescent="0.3">
      <c r="I249" s="214" t="str">
        <f>IFERROR(VLOOKUP(H249,$B$3:$F$62,5,FALSE),"")</f>
        <v/>
      </c>
      <c r="U249" s="87" t="str">
        <f>IFERROR(VLOOKUP(T249,$B$3:$F$64,5,FALSE),"")</f>
        <v/>
      </c>
    </row>
    <row r="250" spans="9:21" x14ac:dyDescent="0.3">
      <c r="I250" s="214" t="str">
        <f>IFERROR(VLOOKUP(H250,$B$3:$F$62,5,FALSE),"")</f>
        <v/>
      </c>
      <c r="U250" s="87" t="str">
        <f>IFERROR(VLOOKUP(T250,$B$3:$F$64,5,FALSE),"")</f>
        <v/>
      </c>
    </row>
    <row r="251" spans="9:21" x14ac:dyDescent="0.3">
      <c r="I251" s="214" t="str">
        <f>IFERROR(VLOOKUP(H251,$B$3:$F$62,5,FALSE),"")</f>
        <v/>
      </c>
      <c r="U251" s="87" t="str">
        <f>IFERROR(VLOOKUP(T251,$B$3:$F$64,5,FALSE),"")</f>
        <v/>
      </c>
    </row>
    <row r="252" spans="9:21" x14ac:dyDescent="0.3">
      <c r="I252" s="214" t="str">
        <f>IFERROR(VLOOKUP(H252,$B$3:$F$62,5,FALSE),"")</f>
        <v/>
      </c>
      <c r="U252" s="87" t="str">
        <f>IFERROR(VLOOKUP(T252,$B$3:$F$64,5,FALSE),"")</f>
        <v/>
      </c>
    </row>
    <row r="253" spans="9:21" x14ac:dyDescent="0.3">
      <c r="I253" s="214" t="str">
        <f>IFERROR(VLOOKUP(H253,$B$3:$F$62,5,FALSE),"")</f>
        <v/>
      </c>
      <c r="U253" s="87" t="str">
        <f>IFERROR(VLOOKUP(T253,$B$3:$F$64,5,FALSE),"")</f>
        <v/>
      </c>
    </row>
    <row r="254" spans="9:21" x14ac:dyDescent="0.3">
      <c r="I254" s="214" t="str">
        <f>IFERROR(VLOOKUP(H254,$B$3:$F$62,5,FALSE),"")</f>
        <v/>
      </c>
      <c r="U254" s="87" t="str">
        <f>IFERROR(VLOOKUP(T254,$B$3:$F$64,5,FALSE),"")</f>
        <v/>
      </c>
    </row>
    <row r="255" spans="9:21" x14ac:dyDescent="0.3">
      <c r="I255" s="214" t="str">
        <f>IFERROR(VLOOKUP(H255,$B$3:$F$62,5,FALSE),"")</f>
        <v/>
      </c>
      <c r="U255" s="87" t="str">
        <f>IFERROR(VLOOKUP(T255,$B$3:$F$64,5,FALSE),"")</f>
        <v/>
      </c>
    </row>
    <row r="256" spans="9:21" x14ac:dyDescent="0.3">
      <c r="I256" s="214" t="str">
        <f>IFERROR(VLOOKUP(H256,$B$3:$F$62,5,FALSE),"")</f>
        <v/>
      </c>
      <c r="U256" s="87" t="str">
        <f>IFERROR(VLOOKUP(T256,$B$3:$F$64,5,FALSE),"")</f>
        <v/>
      </c>
    </row>
    <row r="257" spans="9:21" x14ac:dyDescent="0.3">
      <c r="I257" s="214" t="str">
        <f>IFERROR(VLOOKUP(H257,$B$3:$F$62,5,FALSE),"")</f>
        <v/>
      </c>
      <c r="U257" s="87" t="str">
        <f>IFERROR(VLOOKUP(T257,$B$3:$F$64,5,FALSE),"")</f>
        <v/>
      </c>
    </row>
    <row r="258" spans="9:21" x14ac:dyDescent="0.3">
      <c r="I258" s="214" t="str">
        <f>IFERROR(VLOOKUP(H258,$B$3:$F$62,5,FALSE),"")</f>
        <v/>
      </c>
      <c r="U258" s="87" t="str">
        <f>IFERROR(VLOOKUP(T258,$B$3:$F$64,5,FALSE),"")</f>
        <v/>
      </c>
    </row>
    <row r="259" spans="9:21" x14ac:dyDescent="0.3">
      <c r="I259" s="214" t="str">
        <f>IFERROR(VLOOKUP(H259,$B$3:$F$62,5,FALSE),"")</f>
        <v/>
      </c>
      <c r="U259" s="87" t="str">
        <f>IFERROR(VLOOKUP(T259,$B$3:$F$64,5,FALSE),"")</f>
        <v/>
      </c>
    </row>
    <row r="260" spans="9:21" x14ac:dyDescent="0.3">
      <c r="I260" s="214" t="str">
        <f>IFERROR(VLOOKUP(H260,$B$3:$F$62,5,FALSE),"")</f>
        <v/>
      </c>
      <c r="U260" s="87" t="str">
        <f>IFERROR(VLOOKUP(T260,$B$3:$F$64,5,FALSE),"")</f>
        <v/>
      </c>
    </row>
    <row r="261" spans="9:21" x14ac:dyDescent="0.3">
      <c r="I261" s="214" t="str">
        <f>IFERROR(VLOOKUP(H261,$B$3:$F$62,5,FALSE),"")</f>
        <v/>
      </c>
      <c r="U261" s="87" t="str">
        <f>IFERROR(VLOOKUP(T261,$B$3:$F$64,5,FALSE),"")</f>
        <v/>
      </c>
    </row>
    <row r="262" spans="9:21" x14ac:dyDescent="0.3">
      <c r="I262" s="214" t="str">
        <f>IFERROR(VLOOKUP(H262,$B$3:$F$62,5,FALSE),"")</f>
        <v/>
      </c>
      <c r="U262" s="87" t="str">
        <f>IFERROR(VLOOKUP(T262,$B$3:$F$64,5,FALSE),"")</f>
        <v/>
      </c>
    </row>
    <row r="263" spans="9:21" x14ac:dyDescent="0.3">
      <c r="I263" s="214" t="str">
        <f>IFERROR(VLOOKUP(H263,$B$3:$F$62,5,FALSE),"")</f>
        <v/>
      </c>
      <c r="U263" s="87" t="str">
        <f>IFERROR(VLOOKUP(T263,$B$3:$F$64,5,FALSE),"")</f>
        <v/>
      </c>
    </row>
    <row r="264" spans="9:21" x14ac:dyDescent="0.3">
      <c r="I264" s="214" t="str">
        <f>IFERROR(VLOOKUP(H264,$B$3:$F$62,5,FALSE),"")</f>
        <v/>
      </c>
      <c r="U264" s="87" t="str">
        <f>IFERROR(VLOOKUP(T264,$B$3:$F$64,5,FALSE),"")</f>
        <v/>
      </c>
    </row>
    <row r="265" spans="9:21" x14ac:dyDescent="0.3">
      <c r="I265" s="214" t="str">
        <f>IFERROR(VLOOKUP(H265,$B$3:$F$62,5,FALSE),"")</f>
        <v/>
      </c>
      <c r="U265" s="87" t="str">
        <f>IFERROR(VLOOKUP(T265,$B$3:$F$64,5,FALSE),"")</f>
        <v/>
      </c>
    </row>
    <row r="266" spans="9:21" x14ac:dyDescent="0.3">
      <c r="U266" s="87" t="str">
        <f>IFERROR(VLOOKUP(T266,$B$3:$F$64,5,FALSE),"")</f>
        <v/>
      </c>
    </row>
    <row r="267" spans="9:21" x14ac:dyDescent="0.3">
      <c r="U267" s="87" t="str">
        <f>IFERROR(VLOOKUP(T267,$B$3:$F$64,5,FALSE),"")</f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18F1-0DAB-4573-BADF-30E68A1998B9}">
  <sheetPr codeName="Sheet6"/>
  <dimension ref="A2:M28"/>
  <sheetViews>
    <sheetView zoomScale="85" zoomScaleNormal="85" workbookViewId="0">
      <selection activeCell="B35" sqref="B35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348</v>
      </c>
      <c r="J3" s="16">
        <v>2023</v>
      </c>
      <c r="K3" s="17">
        <v>2024</v>
      </c>
    </row>
    <row r="4" spans="2:13" x14ac:dyDescent="0.3">
      <c r="B4" s="153" t="s">
        <v>70</v>
      </c>
      <c r="C4" s="154">
        <f ca="1">VLOOKUP($B4,XYZTU!$L$2:$N$15,3,FALSE)</f>
        <v>1.8954904663315345E-2</v>
      </c>
      <c r="D4" s="154">
        <f>VLOOKUP($B4,SPEC001!$L$2:$N$15,3,FALSE)</f>
        <v>6.1513715565281353E-3</v>
      </c>
      <c r="E4" s="154">
        <f>VLOOKUP($B4,SPEC002!$L$2:$N$15,3,FALSE)</f>
        <v>2.0355552003686931E-3</v>
      </c>
      <c r="F4" s="154">
        <f>VLOOKUP($B4,SPEC003!$L$2:$N$15,3,FALSE)</f>
        <v>6.0203099964227834E-3</v>
      </c>
      <c r="G4" s="154">
        <f>VLOOKUP($B4,SPEC004!$L$2:$N$15,3,FALSE)</f>
        <v>1.7561975843012841E-2</v>
      </c>
      <c r="H4" s="155">
        <f>VLOOKUP($B4,SPEC005!$L$2:$N$15,3,FALSE)</f>
        <v>1.7561975843012841E-2</v>
      </c>
      <c r="I4" s="19">
        <f ca="1">AVERAGE(C4:H4)</f>
        <v>1.1381015517110106E-2</v>
      </c>
      <c r="J4" s="20" cm="1">
        <f t="array" aca="1" ref="J4" ca="1">SUM(C4:I4*$C$17:$I$17)/$J$17</f>
        <v>1.0755977046030192E-2</v>
      </c>
      <c r="K4" s="20" cm="1">
        <f t="array" aca="1" ref="K4" ca="1">SUM(C4:I4*$C$20:$I$20)/$K$20</f>
        <v>1.0860150124543513E-2</v>
      </c>
      <c r="M4" s="142"/>
    </row>
    <row r="5" spans="2:13" x14ac:dyDescent="0.3">
      <c r="B5" s="156" t="s">
        <v>71</v>
      </c>
      <c r="C5" s="154">
        <f ca="1">VLOOKUP($B5,XYZTU!$L$2:$N$15,3,FALSE)</f>
        <v>0.13101480211108696</v>
      </c>
      <c r="D5" s="154">
        <f>VLOOKUP($B5,SPEC001!$L$2:$N$15,3,FALSE)</f>
        <v>0.16378072200360713</v>
      </c>
      <c r="E5" s="154">
        <f>VLOOKUP($B5,SPEC002!$L$2:$N$15,3,FALSE)</f>
        <v>0.19864032318978186</v>
      </c>
      <c r="F5" s="154">
        <f>VLOOKUP($B5,SPEC003!$L$2:$N$15,3,FALSE)</f>
        <v>0.18761225146762806</v>
      </c>
      <c r="G5" s="154">
        <f>VLOOKUP($B5,SPEC004!$L$2:$N$15,3,FALSE)</f>
        <v>0.14037227357250873</v>
      </c>
      <c r="H5" s="155">
        <f>VLOOKUP($B5,SPEC005!$L$2:$N$15,3,FALSE)</f>
        <v>0.14037227357250873</v>
      </c>
      <c r="I5" s="19">
        <f ca="1">AVERAGE(C5:H5)</f>
        <v>0.16029877431952025</v>
      </c>
      <c r="J5" s="20" cm="1">
        <f t="array" aca="1" ref="J5" ca="1">SUM(C5:I5*$C$17:$I$17)/$J$17</f>
        <v>0.16098809551368704</v>
      </c>
      <c r="K5" s="20" cm="1">
        <f t="array" aca="1" ref="K5" ca="1">SUM(C5:I5*$C$20:$I$20)/$K$20</f>
        <v>0.16087320864799257</v>
      </c>
    </row>
    <row r="6" spans="2:13" x14ac:dyDescent="0.3">
      <c r="B6" s="153" t="s">
        <v>72</v>
      </c>
      <c r="C6" s="154">
        <f ca="1">VLOOKUP($B6,XYZTU!$L$2:$N$15,3,FALSE)</f>
        <v>2.1640806651900345E-2</v>
      </c>
      <c r="D6" s="154">
        <f>VLOOKUP($B6,SPEC001!$L$2:$N$15,3,FALSE)</f>
        <v>1.9043583251164557E-2</v>
      </c>
      <c r="E6" s="154">
        <f>VLOOKUP($B6,SPEC002!$L$2:$N$15,3,FALSE)</f>
        <v>2.0029433124754626E-2</v>
      </c>
      <c r="F6" s="154">
        <f>VLOOKUP($B6,SPEC003!$L$2:$N$15,3,FALSE)</f>
        <v>2.5542140108810934E-2</v>
      </c>
      <c r="G6" s="154">
        <f>VLOOKUP($B6,SPEC004!$L$2:$N$15,3,FALSE)</f>
        <v>1.8074002514104855E-2</v>
      </c>
      <c r="H6" s="155">
        <f>VLOOKUP($B6,SPEC005!$L$2:$N$15,3,FALSE)</f>
        <v>1.8074002514104855E-2</v>
      </c>
      <c r="I6" s="19">
        <f t="shared" ref="I6:I13" ca="1" si="0">AVERAGE(C6:H6)</f>
        <v>2.0400661360806694E-2</v>
      </c>
      <c r="J6" s="20" cm="1">
        <f t="array" aca="1" ref="J6" ca="1">SUM(C6:I6*$C$17:$I$17)/$J$17</f>
        <v>2.0705262479128701E-2</v>
      </c>
      <c r="K6" s="20" cm="1">
        <f t="array" aca="1" ref="K6" ca="1">SUM(C6:I6*$C$20:$I$20)/$K$20</f>
        <v>2.0654495626075034E-2</v>
      </c>
    </row>
    <row r="7" spans="2:13" x14ac:dyDescent="0.3">
      <c r="B7" s="156" t="s">
        <v>73</v>
      </c>
      <c r="C7" s="154">
        <f ca="1">VLOOKUP($B7,XYZTU!$L$2:$N$15,3,FALSE)</f>
        <v>0.12155291017081921</v>
      </c>
      <c r="D7" s="154">
        <f>VLOOKUP($B7,SPEC001!$L$2:$N$15,3,FALSE)</f>
        <v>0.15730948707658282</v>
      </c>
      <c r="E7" s="154">
        <f>VLOOKUP($B7,SPEC002!$L$2:$N$15,3,FALSE)</f>
        <v>9.9426568331670767E-2</v>
      </c>
      <c r="F7" s="154">
        <f>VLOOKUP($B7,SPEC003!$L$2:$N$15,3,FALSE)</f>
        <v>8.2416915225706502E-2</v>
      </c>
      <c r="G7" s="154">
        <f>VLOOKUP($B7,SPEC004!$L$2:$N$15,3,FALSE)</f>
        <v>9.6821306087334177E-2</v>
      </c>
      <c r="H7" s="155">
        <f>VLOOKUP($B7,SPEC005!$L$2:$N$15,3,FALSE)</f>
        <v>9.6821306087334177E-2</v>
      </c>
      <c r="I7" s="19">
        <f ca="1">AVERAGE(C7:H7)</f>
        <v>0.10905808216324127</v>
      </c>
      <c r="J7" s="20" cm="1">
        <f t="array" aca="1" ref="J7" ca="1">SUM(C7:I7*$C$17:$I$17)/$J$17</f>
        <v>0.11550072649306398</v>
      </c>
      <c r="K7" s="20" cm="1">
        <f t="array" aca="1" ref="K7" ca="1">SUM(C7:I7*$C$20:$I$20)/$K$20</f>
        <v>0.11442695243809353</v>
      </c>
    </row>
    <row r="8" spans="2:13" x14ac:dyDescent="0.3">
      <c r="B8" s="153" t="s">
        <v>74</v>
      </c>
      <c r="C8" s="154">
        <f ca="1">VLOOKUP($B8,XYZTU!$L$2:$N$15,3,FALSE)</f>
        <v>2.9153200945297248E-4</v>
      </c>
      <c r="D8" s="154">
        <f>VLOOKUP($B8,SPEC001!$L$2:$N$15,3,FALSE)</f>
        <v>2.5654376852488785E-4</v>
      </c>
      <c r="E8" s="154">
        <f>VLOOKUP($B8,SPEC002!$L$2:$N$15,3,FALSE)</f>
        <v>2.6982454864042172E-4</v>
      </c>
      <c r="F8" s="154">
        <f>VLOOKUP($B8,SPEC003!$L$2:$N$15,3,FALSE)</f>
        <v>3.4408844140738768E-4</v>
      </c>
      <c r="G8" s="154">
        <f>VLOOKUP($B8,SPEC004!$L$2:$N$15,3,FALSE)</f>
        <v>2.4348215649033422E-4</v>
      </c>
      <c r="H8" s="155">
        <f>VLOOKUP($B8,SPEC005!$L$2:$N$15,3,FALSE)</f>
        <v>2.4348215649033422E-4</v>
      </c>
      <c r="I8" s="19">
        <f t="shared" ca="1" si="0"/>
        <v>2.7482551350105643E-4</v>
      </c>
      <c r="J8" s="20" cm="1">
        <f t="array" aca="1" ref="J8" ca="1">SUM(C8:I8*$C$17:$I$17)/$J$17</f>
        <v>2.7892891766405408E-4</v>
      </c>
      <c r="K8" s="20" cm="1">
        <f t="array" aca="1" ref="K8" ca="1">SUM(C8:I8*$C$20:$I$20)/$K$20</f>
        <v>2.7824501697022117E-4</v>
      </c>
    </row>
    <row r="9" spans="2:13" x14ac:dyDescent="0.3">
      <c r="B9" s="156" t="s">
        <v>75</v>
      </c>
      <c r="C9" s="154">
        <f ca="1">VLOOKUP($B9,XYZTU!$L$2:$N$15,3,FALSE)</f>
        <v>3.6056394979870461E-2</v>
      </c>
      <c r="D9" s="154">
        <f>VLOOKUP($B9,SPEC001!$L$2:$N$15,3,FALSE)</f>
        <v>3.1729083420083085E-2</v>
      </c>
      <c r="E9" s="154">
        <f>VLOOKUP($B9,SPEC002!$L$2:$N$15,3,FALSE)</f>
        <v>3.3371637369424771E-2</v>
      </c>
      <c r="F9" s="154">
        <f>VLOOKUP($B9,SPEC003!$L$2:$N$15,3,FALSE)</f>
        <v>4.2556523294551334E-2</v>
      </c>
      <c r="G9" s="154">
        <f>VLOOKUP($B9,SPEC004!$L$2:$N$15,3,FALSE)</f>
        <v>3.0113635965529507E-2</v>
      </c>
      <c r="H9" s="155">
        <f>VLOOKUP($B9,SPEC005!$L$2:$N$15,3,FALSE)</f>
        <v>3.0113635965529507E-2</v>
      </c>
      <c r="I9" s="19">
        <f t="shared" ca="1" si="0"/>
        <v>3.3990151832498115E-2</v>
      </c>
      <c r="J9" s="20" cm="1">
        <f t="array" aca="1" ref="J9" ca="1">SUM(C9:I9*$C$17:$I$17)/$J$17</f>
        <v>3.449765686270289E-2</v>
      </c>
      <c r="K9" s="20" cm="1">
        <f t="array" aca="1" ref="K9" ca="1">SUM(C9:I9*$C$20:$I$20)/$K$20</f>
        <v>3.4413072691002092E-2</v>
      </c>
    </row>
    <row r="10" spans="2:13" x14ac:dyDescent="0.3">
      <c r="B10" s="153" t="s">
        <v>76</v>
      </c>
      <c r="C10" s="154">
        <f ca="1">VLOOKUP($B10,XYZTU!$L$2:$N$15,3,FALSE)</f>
        <v>0</v>
      </c>
      <c r="D10" s="154">
        <f>VLOOKUP($B10,SPEC001!$L$2:$N$15,3,FALSE)</f>
        <v>0</v>
      </c>
      <c r="E10" s="154">
        <f>VLOOKUP($B10,SPEC002!$L$2:$N$15,3,FALSE)</f>
        <v>0</v>
      </c>
      <c r="F10" s="154">
        <f>VLOOKUP($B10,SPEC003!$L$2:$N$15,3,FALSE)</f>
        <v>0</v>
      </c>
      <c r="G10" s="154">
        <f>VLOOKUP($B10,SPEC004!$L$2:$N$15,3,FALSE)</f>
        <v>0</v>
      </c>
      <c r="H10" s="155">
        <f>VLOOKUP($B10,SPEC005!$L$2:$N$15,3,FALSE)</f>
        <v>0</v>
      </c>
      <c r="I10" s="19">
        <f t="shared" ca="1" si="0"/>
        <v>0</v>
      </c>
      <c r="J10" s="20" cm="1">
        <f t="array" aca="1" ref="J10" ca="1">SUM(C10:I10*$C$17:$I$17)/$J$17</f>
        <v>0</v>
      </c>
      <c r="K10" s="20" cm="1">
        <f t="array" aca="1" ref="K10" ca="1">SUM(C10:I10*$C$20:$I$20)/$K$20</f>
        <v>0</v>
      </c>
    </row>
    <row r="11" spans="2:13" x14ac:dyDescent="0.3">
      <c r="B11" s="156" t="s">
        <v>77</v>
      </c>
      <c r="C11" s="154">
        <f ca="1">VLOOKUP($B11,XYZTU!$L$2:$N$15,3,FALSE)</f>
        <v>0.50168911437816321</v>
      </c>
      <c r="D11" s="154">
        <f>VLOOKUP($B11,SPEC001!$L$2:$N$15,3,FALSE)</f>
        <v>0.57081457005053249</v>
      </c>
      <c r="E11" s="154">
        <f>VLOOKUP($B11,SPEC002!$L$2:$N$15,3,FALSE)</f>
        <v>0.5448263838057249</v>
      </c>
      <c r="F11" s="154">
        <f>VLOOKUP($B11,SPEC003!$L$2:$N$15,3,FALSE)</f>
        <v>0.57063190184378954</v>
      </c>
      <c r="G11" s="154">
        <f>VLOOKUP($B11,SPEC004!$L$2:$N$15,3,FALSE)</f>
        <v>0.59809026987093306</v>
      </c>
      <c r="H11" s="155">
        <f>VLOOKUP($B11,SPEC005!$L$2:$N$15,3,FALSE)</f>
        <v>0.59809026987093306</v>
      </c>
      <c r="I11" s="19">
        <f t="shared" ca="1" si="0"/>
        <v>0.56402375163667939</v>
      </c>
      <c r="J11" s="20" cm="1">
        <f t="array" aca="1" ref="J11" ca="1">SUM(C11:I11*$C$17:$I$17)/$J$17</f>
        <v>0.55223098373741708</v>
      </c>
      <c r="K11" s="20" cm="1">
        <f t="array" aca="1" ref="K11" ca="1">SUM(C11:I11*$C$20:$I$20)/$K$20</f>
        <v>0.55419644505396093</v>
      </c>
    </row>
    <row r="12" spans="2:13" x14ac:dyDescent="0.3">
      <c r="B12" s="153" t="s">
        <v>78</v>
      </c>
      <c r="C12" s="154">
        <f ca="1">VLOOKUP($B12,XYZTU!$L$2:$N$15,3,FALSE)</f>
        <v>2.5007623096767229E-2</v>
      </c>
      <c r="D12" s="154">
        <f>VLOOKUP($B12,SPEC001!$L$2:$N$15,3,FALSE)</f>
        <v>1.2588959071742588E-2</v>
      </c>
      <c r="E12" s="154">
        <f>VLOOKUP($B12,SPEC002!$L$2:$N$15,3,FALSE)</f>
        <v>1.5390899766167983E-2</v>
      </c>
      <c r="F12" s="154">
        <f>VLOOKUP($B12,SPEC003!$L$2:$N$15,3,FALSE)</f>
        <v>2.3758754981885434E-2</v>
      </c>
      <c r="G12" s="154">
        <f>VLOOKUP($B12,SPEC004!$L$2:$N$15,3,FALSE)</f>
        <v>1.2336069945214766E-2</v>
      </c>
      <c r="H12" s="155">
        <f>VLOOKUP($B12,SPEC005!$L$2:$N$15,3,FALSE)</f>
        <v>1.2336069945214766E-2</v>
      </c>
      <c r="I12" s="19">
        <f t="shared" ca="1" si="0"/>
        <v>1.6903062801165464E-2</v>
      </c>
      <c r="J12" s="20" cm="1">
        <f t="array" aca="1" ref="J12" ca="1">SUM(C12:I12*$C$17:$I$17)/$J$17</f>
        <v>1.8018034359598027E-2</v>
      </c>
      <c r="K12" s="20" cm="1">
        <f t="array" aca="1" ref="K12" ca="1">SUM(C12:I12*$C$20:$I$20)/$K$20</f>
        <v>1.783220576652593E-2</v>
      </c>
    </row>
    <row r="13" spans="2:13" x14ac:dyDescent="0.3">
      <c r="B13" s="156" t="s">
        <v>79</v>
      </c>
      <c r="C13" s="154">
        <f ca="1">VLOOKUP($B13,XYZTU!$L$2:$N$15,3,FALSE)</f>
        <v>0.14379191193862428</v>
      </c>
      <c r="D13" s="154">
        <f>VLOOKUP($B13,SPEC001!$L$2:$N$15,3,FALSE)</f>
        <v>3.8325679801234379E-2</v>
      </c>
      <c r="E13" s="154">
        <f>VLOOKUP($B13,SPEC002!$L$2:$N$15,3,FALSE)</f>
        <v>8.6009374663465907E-2</v>
      </c>
      <c r="F13" s="154">
        <f>VLOOKUP($B13,SPEC003!$L$2:$N$15,3,FALSE)</f>
        <v>6.1117114639798097E-2</v>
      </c>
      <c r="G13" s="154">
        <f>VLOOKUP($B13,SPEC004!$L$2:$N$15,3,FALSE)</f>
        <v>8.6386984044871648E-2</v>
      </c>
      <c r="H13" s="155">
        <f>VLOOKUP($B13,SPEC005!$L$2:$N$15,3,FALSE)</f>
        <v>8.6386984044871648E-2</v>
      </c>
      <c r="I13" s="19">
        <f t="shared" ca="1" si="0"/>
        <v>8.366967485547766E-2</v>
      </c>
      <c r="J13" s="20" cm="1">
        <f t="array" aca="1" ref="J13" ca="1">SUM(C13:I13*$C$17:$I$17)/$J$17</f>
        <v>8.7024334590708047E-2</v>
      </c>
      <c r="K13" s="20" cm="1">
        <f t="array" aca="1" ref="K13" ca="1">SUM(C13:I13*$C$20:$I$20)/$K$20</f>
        <v>8.6465224634836316E-2</v>
      </c>
    </row>
    <row r="14" spans="2:13" x14ac:dyDescent="0.3">
      <c r="B14" s="153" t="s">
        <v>80</v>
      </c>
      <c r="C14" s="154">
        <f ca="1">VLOOKUP($B14,XYZTU!$L$2:$N$15,3,FALSE)</f>
        <v>0</v>
      </c>
      <c r="D14" s="154">
        <f>VLOOKUP($B14,SPEC001!$L$2:$N$15,3,FALSE)</f>
        <v>0</v>
      </c>
      <c r="E14" s="154">
        <f>VLOOKUP($B14,SPEC002!$L$2:$N$15,3,FALSE)</f>
        <v>0</v>
      </c>
      <c r="F14" s="154">
        <f>VLOOKUP($B14,SPEC003!$L$2:$N$15,3,FALSE)</f>
        <v>0</v>
      </c>
      <c r="G14" s="154">
        <f>VLOOKUP($B14,SPEC004!$L$2:$N$15,3,FALSE)</f>
        <v>0</v>
      </c>
      <c r="H14" s="155">
        <f>VLOOKUP($B14,SPEC005!$L$2:$N$15,3,FALSE)</f>
        <v>0</v>
      </c>
      <c r="I14" s="19">
        <f ca="1">AVERAGE(C14:H14)</f>
        <v>0</v>
      </c>
      <c r="J14" s="20" cm="1">
        <f t="array" aca="1" ref="J14" ca="1">SUM(C14:I14*$C$17:$I$17)/$J$17</f>
        <v>0</v>
      </c>
      <c r="K14" s="20" cm="1">
        <f t="array" aca="1" ref="K14" ca="1">SUM(C14:I14*$C$20:$I$20)/$K$20</f>
        <v>0</v>
      </c>
    </row>
    <row r="15" spans="2:13" x14ac:dyDescent="0.3">
      <c r="B15" s="157" t="s">
        <v>81</v>
      </c>
      <c r="C15" s="154">
        <f ca="1">VLOOKUP($B15,XYZTU!$L$2:$N$15,3,FALSE)</f>
        <v>1</v>
      </c>
      <c r="D15" s="154">
        <f>VLOOKUP($B15,SPEC001!$L$2:$N$15,3,FALSE)</f>
        <v>1.0000000000000002</v>
      </c>
      <c r="E15" s="154">
        <f>VLOOKUP($B15,SPEC002!$L$2:$N$15,3,FALSE)</f>
        <v>1</v>
      </c>
      <c r="F15" s="154">
        <f>VLOOKUP($B15,SPEC003!$L$2:$N$15,3,FALSE)</f>
        <v>1</v>
      </c>
      <c r="G15" s="158">
        <f>VLOOKUP($B15,SPEC004!$L$2:$N$15,3,FALSE)</f>
        <v>0.99999999999999989</v>
      </c>
      <c r="H15" s="159">
        <f>VLOOKUP($B15,SPEC005!$L$2:$N$15,3,FALSE)</f>
        <v>0.99999999999999989</v>
      </c>
      <c r="I15" s="19">
        <f ca="1">SUM(I4:I14)</f>
        <v>1</v>
      </c>
      <c r="J15" s="19">
        <f ca="1">SUM(J4:J14)</f>
        <v>1</v>
      </c>
      <c r="K15" s="19">
        <f ca="1">SUM(K4:K14)</f>
        <v>1</v>
      </c>
    </row>
    <row r="16" spans="2:13" ht="15" thickBot="1" x14ac:dyDescent="0.35">
      <c r="B16" s="160" t="s">
        <v>82</v>
      </c>
      <c r="C16" s="161">
        <f ca="1">VLOOKUP($B16,XYZTU!$L$2:$N$15,3,FALSE)</f>
        <v>6.5894866421435896E-2</v>
      </c>
      <c r="D16" s="161">
        <f>VLOOKUP($B16,SPEC001!$L$2:$N$15,3,FALSE)</f>
        <v>3.8040457647960171E-2</v>
      </c>
      <c r="E16" s="161">
        <f>VLOOKUP($B16,SPEC002!$L$2:$N$15,3,FALSE)</f>
        <v>3.7725712639931727E-2</v>
      </c>
      <c r="F16" s="161">
        <f>VLOOKUP($B16,SPEC003!$L$2:$N$15,3,FALSE)</f>
        <v>5.566529352852654E-2</v>
      </c>
      <c r="G16" s="161">
        <f>VLOOKUP($B16,SPEC004!$L$2:$N$15,3,FALSE)</f>
        <v>4.8215530458822792E-2</v>
      </c>
      <c r="H16" s="162">
        <f>VLOOKUP($B16,SPEC005!$L$2:$N$15,3,FALSE)</f>
        <v>4.8215530458822792E-2</v>
      </c>
      <c r="I16" s="63">
        <f ca="1">SUM(I14,I12,I10,I8,I6,I4)</f>
        <v>4.8959565192583321E-2</v>
      </c>
      <c r="J16" s="63">
        <f ca="1">SUM(J14,J12,J10,J8,J6,J4)</f>
        <v>4.9758202802420978E-2</v>
      </c>
      <c r="K16" s="63">
        <f ca="1">SUM(K14,K12,K10,K8,K6,K4)</f>
        <v>4.9625096534114697E-2</v>
      </c>
      <c r="M16" s="143"/>
    </row>
    <row r="17" spans="1:13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f>J17-SUM(C17:H17)</f>
        <v>4000</v>
      </c>
      <c r="J17" s="43">
        <v>25000</v>
      </c>
      <c r="K17" s="43"/>
    </row>
    <row r="18" spans="1:13" x14ac:dyDescent="0.3">
      <c r="A18" s="220"/>
      <c r="B18" s="67" t="s">
        <v>340</v>
      </c>
      <c r="C18" s="62">
        <f>C17/$J$17</f>
        <v>0.24</v>
      </c>
      <c r="D18" s="62">
        <f t="shared" ref="D18:I18" si="1">D17/$J$17</f>
        <v>0.2</v>
      </c>
      <c r="E18" s="62">
        <f t="shared" si="1"/>
        <v>0.16</v>
      </c>
      <c r="F18" s="62">
        <f t="shared" si="1"/>
        <v>0.12</v>
      </c>
      <c r="G18" s="62">
        <f t="shared" si="1"/>
        <v>0.08</v>
      </c>
      <c r="H18" s="108">
        <f t="shared" si="1"/>
        <v>0.04</v>
      </c>
      <c r="I18" s="62">
        <f t="shared" si="1"/>
        <v>0.16</v>
      </c>
      <c r="J18" s="74">
        <f>SUM(C18:I18)</f>
        <v>1</v>
      </c>
      <c r="K18" s="43"/>
    </row>
    <row r="19" spans="1:13" ht="15" thickBot="1" x14ac:dyDescent="0.35">
      <c r="A19" s="220"/>
      <c r="B19" s="69" t="s">
        <v>341</v>
      </c>
      <c r="C19" s="70">
        <f ca="1">C16*C18</f>
        <v>1.5814767941144614E-2</v>
      </c>
      <c r="D19" s="70">
        <f t="shared" ref="D19:I19" si="2">D16*D18</f>
        <v>7.6080915295920343E-3</v>
      </c>
      <c r="E19" s="70">
        <f t="shared" si="2"/>
        <v>6.0361140223890762E-3</v>
      </c>
      <c r="F19" s="70">
        <f t="shared" si="2"/>
        <v>6.6798352234231848E-3</v>
      </c>
      <c r="G19" s="70">
        <f t="shared" si="2"/>
        <v>3.8572424367058233E-3</v>
      </c>
      <c r="H19" s="109">
        <f t="shared" si="2"/>
        <v>1.9286212183529116E-3</v>
      </c>
      <c r="I19" s="20">
        <f t="shared" ca="1" si="2"/>
        <v>7.8335304308133312E-3</v>
      </c>
      <c r="J19" s="110">
        <f ca="1">SUM(C19:I19)</f>
        <v>4.9758202802420978E-2</v>
      </c>
      <c r="K19" s="43"/>
    </row>
    <row r="20" spans="1:13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f>K20-SUM(C20:H20)</f>
        <v>3000</v>
      </c>
      <c r="J20" s="43"/>
      <c r="K20" s="43">
        <v>30000</v>
      </c>
    </row>
    <row r="21" spans="1:13" x14ac:dyDescent="0.3">
      <c r="A21" s="220"/>
      <c r="B21" s="67" t="s">
        <v>340</v>
      </c>
      <c r="C21" s="62">
        <f>C20/$K$20</f>
        <v>0.23333333333333334</v>
      </c>
      <c r="D21" s="62">
        <f t="shared" ref="D21:E21" si="3">D20/$K$20</f>
        <v>0.2</v>
      </c>
      <c r="E21" s="62">
        <f t="shared" si="3"/>
        <v>0.16666666666666666</v>
      </c>
      <c r="F21" s="62">
        <f>F20/$K$20</f>
        <v>0.13333333333333333</v>
      </c>
      <c r="G21" s="62">
        <f>G20/$K$20</f>
        <v>0.1</v>
      </c>
      <c r="H21" s="108">
        <f>H20/$K$20</f>
        <v>6.6666666666666666E-2</v>
      </c>
      <c r="I21" s="62">
        <f>I20/$K$20</f>
        <v>0.1</v>
      </c>
      <c r="J21" s="74"/>
      <c r="K21" s="74">
        <f>SUM(C21:I21)</f>
        <v>0.99999999999999989</v>
      </c>
    </row>
    <row r="22" spans="1:13" ht="15" thickBot="1" x14ac:dyDescent="0.35">
      <c r="A22" s="221"/>
      <c r="B22" s="69" t="s">
        <v>341</v>
      </c>
      <c r="C22" s="70">
        <f ca="1">C21*C16</f>
        <v>1.5375468831668376E-2</v>
      </c>
      <c r="D22" s="70">
        <f t="shared" ref="D22:G22" si="4">D21*D16</f>
        <v>7.6080915295920343E-3</v>
      </c>
      <c r="E22" s="70">
        <f t="shared" si="4"/>
        <v>6.2876187733219542E-3</v>
      </c>
      <c r="F22" s="70">
        <f t="shared" si="4"/>
        <v>7.4220391371368722E-3</v>
      </c>
      <c r="G22" s="70">
        <f t="shared" si="4"/>
        <v>4.8215530458822799E-3</v>
      </c>
      <c r="H22" s="109">
        <f>H21*H16</f>
        <v>3.2143686972548528E-3</v>
      </c>
      <c r="I22" s="20">
        <f ca="1">I21*I16</f>
        <v>4.8959565192583324E-3</v>
      </c>
      <c r="J22" s="43"/>
      <c r="K22" s="110">
        <f ca="1">SUM(C22:I22)</f>
        <v>4.9625096534114704E-2</v>
      </c>
      <c r="L22" s="81"/>
    </row>
    <row r="23" spans="1:13" x14ac:dyDescent="0.3">
      <c r="A23" s="81">
        <f ca="1">SUM(C16:H16)</f>
        <v>0.29375739115549993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customSheetViews>
    <customSheetView guid="{5C7B38D6-29D9-4C20-A92E-817BB499D35F}" topLeftCell="A9">
      <selection activeCell="A24" sqref="A24:B28"/>
      <pageMargins left="0.7" right="0.7" top="0.75" bottom="0.75" header="0.3" footer="0.3"/>
      <pageSetup paperSize="9" orientation="portrait" r:id="rId1"/>
    </customSheetView>
  </customSheetViews>
  <mergeCells count="2">
    <mergeCell ref="A17:A19"/>
    <mergeCell ref="A20:A22"/>
  </mergeCells>
  <phoneticPr fontId="6" type="noConversion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A2EE-957A-40B0-B710-02C66EE3CC65}">
  <sheetPr codeName="Sheet8">
    <pageSetUpPr autoPageBreaks="0"/>
  </sheetPr>
  <dimension ref="B1:V50"/>
  <sheetViews>
    <sheetView showGridLines="0" showZeros="0" tabSelected="1" topLeftCell="B1" zoomScale="70" zoomScaleNormal="70" zoomScaleSheetLayoutView="86" workbookViewId="0">
      <selection activeCell="J5" sqref="J5"/>
    </sheetView>
  </sheetViews>
  <sheetFormatPr defaultRowHeight="14.4" x14ac:dyDescent="0.3"/>
  <cols>
    <col min="1" max="1" width="0" hidden="1" customWidth="1"/>
    <col min="2" max="2" width="53" bestFit="1" customWidth="1"/>
    <col min="3" max="3" width="25.109375" bestFit="1" customWidth="1"/>
    <col min="6" max="6" width="53" bestFit="1" customWidth="1"/>
    <col min="7" max="7" width="34.6640625" bestFit="1" customWidth="1"/>
    <col min="9" max="9" width="7" customWidth="1"/>
    <col min="10" max="10" width="53" bestFit="1" customWidth="1"/>
    <col min="11" max="11" width="50.77734375" customWidth="1"/>
  </cols>
  <sheetData>
    <row r="1" spans="2:22" x14ac:dyDescent="0.3">
      <c r="B1" s="222" t="s">
        <v>228</v>
      </c>
      <c r="C1" s="223"/>
      <c r="D1" s="223"/>
      <c r="E1" s="223"/>
      <c r="F1" s="223"/>
      <c r="G1" s="223"/>
      <c r="H1" s="223"/>
      <c r="I1" s="223"/>
      <c r="J1" s="223"/>
      <c r="K1" s="224"/>
    </row>
    <row r="2" spans="2:22" x14ac:dyDescent="0.3">
      <c r="B2" s="225"/>
      <c r="C2" s="226"/>
      <c r="D2" s="226"/>
      <c r="E2" s="226"/>
      <c r="F2" s="226"/>
      <c r="G2" s="226"/>
      <c r="H2" s="226"/>
      <c r="I2" s="226"/>
      <c r="J2" s="226"/>
      <c r="K2" s="227"/>
    </row>
    <row r="3" spans="2:22" ht="31.8" customHeight="1" x14ac:dyDescent="0.3">
      <c r="B3" s="228" t="s">
        <v>421</v>
      </c>
      <c r="C3" s="229"/>
      <c r="D3" s="229"/>
      <c r="E3" s="229"/>
      <c r="F3" s="229"/>
      <c r="G3" s="229"/>
      <c r="H3" s="229"/>
      <c r="I3" s="229"/>
      <c r="J3" s="229"/>
      <c r="K3" s="230"/>
    </row>
    <row r="4" spans="2:22" x14ac:dyDescent="0.3">
      <c r="B4" s="25" t="s">
        <v>229</v>
      </c>
      <c r="C4" s="26"/>
      <c r="D4" s="26"/>
      <c r="E4" s="26"/>
      <c r="F4" s="26" t="s">
        <v>230</v>
      </c>
      <c r="G4" s="26"/>
      <c r="H4" s="26"/>
      <c r="I4" s="26"/>
      <c r="J4" s="26" t="s">
        <v>231</v>
      </c>
      <c r="K4" s="27"/>
    </row>
    <row r="5" spans="2:22" ht="25.8" x14ac:dyDescent="0.5">
      <c r="B5" s="34" t="s">
        <v>224</v>
      </c>
      <c r="C5" s="37" t="s">
        <v>453</v>
      </c>
      <c r="D5" s="26"/>
      <c r="E5" s="26"/>
      <c r="F5" s="34" t="s">
        <v>224</v>
      </c>
      <c r="G5" s="37" t="s">
        <v>458</v>
      </c>
      <c r="H5" s="26"/>
      <c r="I5" s="26"/>
      <c r="J5" s="34" t="s">
        <v>224</v>
      </c>
      <c r="K5" s="37"/>
      <c r="M5" s="34" t="s">
        <v>224</v>
      </c>
      <c r="N5" s="37" t="s">
        <v>389</v>
      </c>
      <c r="O5" s="26"/>
      <c r="P5" s="26"/>
      <c r="Q5" s="34" t="s">
        <v>224</v>
      </c>
      <c r="R5" s="37" t="s">
        <v>367</v>
      </c>
      <c r="S5" s="26"/>
      <c r="T5" s="26"/>
      <c r="U5" s="34" t="s">
        <v>224</v>
      </c>
      <c r="V5" s="37" t="s">
        <v>369</v>
      </c>
    </row>
    <row r="6" spans="2:22" ht="25.8" x14ac:dyDescent="0.5">
      <c r="B6" s="34" t="s">
        <v>209</v>
      </c>
      <c r="C6" s="187">
        <v>0.5</v>
      </c>
      <c r="D6" s="26"/>
      <c r="E6" s="26"/>
      <c r="F6" s="34" t="s">
        <v>209</v>
      </c>
      <c r="G6" s="187">
        <v>0.5</v>
      </c>
      <c r="H6" s="26"/>
      <c r="I6" s="26"/>
      <c r="J6" s="34" t="s">
        <v>209</v>
      </c>
      <c r="K6" s="187"/>
      <c r="M6" s="34" t="s">
        <v>209</v>
      </c>
      <c r="N6" s="38">
        <v>0.1</v>
      </c>
      <c r="O6" s="26"/>
      <c r="P6" s="26"/>
      <c r="Q6" s="34" t="s">
        <v>209</v>
      </c>
      <c r="R6" s="38">
        <v>0.2</v>
      </c>
      <c r="S6" s="26"/>
      <c r="T6" s="26"/>
      <c r="U6" s="34" t="s">
        <v>209</v>
      </c>
      <c r="V6" s="38">
        <v>0.2</v>
      </c>
    </row>
    <row r="7" spans="2:22" ht="25.8" x14ac:dyDescent="0.5">
      <c r="B7" s="34" t="s">
        <v>225</v>
      </c>
      <c r="C7" s="37" t="s">
        <v>454</v>
      </c>
      <c r="D7" s="26"/>
      <c r="E7" s="26"/>
      <c r="F7" s="34" t="s">
        <v>225</v>
      </c>
      <c r="G7" s="37" t="s">
        <v>459</v>
      </c>
      <c r="H7" s="26"/>
      <c r="I7" s="26"/>
      <c r="J7" s="34" t="s">
        <v>225</v>
      </c>
      <c r="K7" s="37"/>
      <c r="M7" s="34" t="s">
        <v>225</v>
      </c>
      <c r="N7" s="37" t="s">
        <v>390</v>
      </c>
      <c r="O7" s="26"/>
      <c r="P7" s="26"/>
      <c r="Q7" s="34" t="s">
        <v>225</v>
      </c>
      <c r="R7" s="37" t="s">
        <v>368</v>
      </c>
      <c r="S7" s="26"/>
      <c r="T7" s="26"/>
      <c r="U7" s="34" t="s">
        <v>225</v>
      </c>
      <c r="V7" s="37" t="s">
        <v>370</v>
      </c>
    </row>
    <row r="8" spans="2:22" ht="25.8" x14ac:dyDescent="0.5">
      <c r="B8" s="34" t="s">
        <v>226</v>
      </c>
      <c r="C8" s="187">
        <v>0.5</v>
      </c>
      <c r="D8" s="26"/>
      <c r="E8" s="26"/>
      <c r="F8" s="34" t="s">
        <v>226</v>
      </c>
      <c r="G8" s="187">
        <v>0.5</v>
      </c>
      <c r="H8" s="26"/>
      <c r="I8" s="26"/>
      <c r="J8" s="34" t="s">
        <v>226</v>
      </c>
      <c r="K8" s="187"/>
      <c r="M8" s="34" t="s">
        <v>226</v>
      </c>
      <c r="N8" s="38">
        <v>0.1</v>
      </c>
      <c r="O8" s="26"/>
      <c r="P8" s="26"/>
      <c r="Q8" s="34" t="s">
        <v>226</v>
      </c>
      <c r="R8" s="38">
        <v>0.2</v>
      </c>
      <c r="S8" s="26"/>
      <c r="T8" s="26"/>
      <c r="U8" s="34" t="s">
        <v>226</v>
      </c>
      <c r="V8" s="38">
        <v>0.2</v>
      </c>
    </row>
    <row r="9" spans="2:22" ht="25.8" x14ac:dyDescent="0.5">
      <c r="B9" s="34" t="s">
        <v>227</v>
      </c>
      <c r="C9" s="35" t="s">
        <v>76</v>
      </c>
      <c r="D9" s="26"/>
      <c r="E9" s="26"/>
      <c r="F9" s="34" t="s">
        <v>227</v>
      </c>
      <c r="G9" s="35" t="s">
        <v>70</v>
      </c>
      <c r="H9" s="26"/>
      <c r="I9" s="26"/>
      <c r="J9" s="34" t="s">
        <v>227</v>
      </c>
      <c r="K9" s="35"/>
      <c r="M9" s="34" t="s">
        <v>227</v>
      </c>
      <c r="N9" s="35" t="s">
        <v>72</v>
      </c>
      <c r="O9" s="26"/>
      <c r="P9" s="26"/>
      <c r="Q9" s="34" t="s">
        <v>227</v>
      </c>
      <c r="R9" s="35" t="s">
        <v>78</v>
      </c>
      <c r="S9" s="26"/>
      <c r="T9" s="26"/>
      <c r="U9" s="34" t="s">
        <v>227</v>
      </c>
      <c r="V9" s="35" t="s">
        <v>76</v>
      </c>
    </row>
    <row r="10" spans="2:22" x14ac:dyDescent="0.3">
      <c r="B10" s="25"/>
      <c r="C10" s="26"/>
      <c r="D10" s="26"/>
      <c r="E10" s="26"/>
      <c r="F10" s="26"/>
      <c r="G10" s="26"/>
      <c r="H10" s="26"/>
      <c r="I10" s="26"/>
      <c r="J10" s="26"/>
      <c r="K10" s="27"/>
    </row>
    <row r="11" spans="2:22" x14ac:dyDescent="0.3">
      <c r="B11" s="25"/>
      <c r="C11" s="26"/>
      <c r="D11" s="26"/>
      <c r="E11" s="26"/>
      <c r="F11" s="26"/>
      <c r="G11" s="26"/>
      <c r="H11" s="26"/>
      <c r="I11" s="26"/>
      <c r="J11" s="26"/>
      <c r="K11" s="27"/>
    </row>
    <row r="12" spans="2:22" x14ac:dyDescent="0.3">
      <c r="B12" s="25"/>
      <c r="C12" s="26"/>
      <c r="D12" s="26"/>
      <c r="E12" s="26"/>
      <c r="F12" s="26"/>
      <c r="G12" s="26"/>
      <c r="H12" s="26"/>
      <c r="I12" s="26"/>
      <c r="J12" s="26"/>
      <c r="K12" s="27"/>
    </row>
    <row r="13" spans="2:22" x14ac:dyDescent="0.3">
      <c r="B13" s="25"/>
      <c r="C13" s="26"/>
      <c r="D13" s="26"/>
      <c r="E13" s="26"/>
      <c r="F13" s="26"/>
      <c r="G13" s="26"/>
      <c r="H13" s="26"/>
      <c r="I13" s="26"/>
      <c r="J13" s="26"/>
      <c r="K13" s="27"/>
    </row>
    <row r="14" spans="2:22" x14ac:dyDescent="0.3">
      <c r="B14" s="25"/>
      <c r="C14" s="26"/>
      <c r="D14" s="26"/>
      <c r="E14" s="26"/>
      <c r="F14" s="26"/>
      <c r="G14" s="26"/>
      <c r="H14" s="26"/>
      <c r="I14" s="26"/>
      <c r="J14" s="26"/>
      <c r="K14" s="27"/>
    </row>
    <row r="15" spans="2:22" x14ac:dyDescent="0.3">
      <c r="B15" s="25"/>
      <c r="C15" s="26"/>
      <c r="D15" s="26"/>
      <c r="E15" s="26"/>
      <c r="F15" s="26"/>
      <c r="G15" s="26"/>
      <c r="H15" s="26"/>
      <c r="I15" s="26"/>
      <c r="J15" s="26"/>
      <c r="K15" s="27"/>
    </row>
    <row r="16" spans="2:22" x14ac:dyDescent="0.3">
      <c r="B16" s="25"/>
      <c r="C16" s="26"/>
      <c r="D16" s="26"/>
      <c r="E16" s="26"/>
      <c r="F16" s="26"/>
      <c r="G16" s="26"/>
      <c r="H16" s="26"/>
      <c r="I16" s="26"/>
      <c r="J16" s="26"/>
      <c r="K16" s="27"/>
    </row>
    <row r="17" spans="2:11" ht="21" x14ac:dyDescent="0.4">
      <c r="B17" s="36" t="s">
        <v>388</v>
      </c>
      <c r="C17" s="26"/>
      <c r="D17" s="26"/>
      <c r="E17" s="26"/>
      <c r="F17" s="26"/>
      <c r="G17" s="26"/>
      <c r="H17" s="26"/>
      <c r="I17" s="26"/>
      <c r="J17" s="26"/>
      <c r="K17" s="27"/>
    </row>
    <row r="18" spans="2:11" x14ac:dyDescent="0.3">
      <c r="B18" s="25"/>
      <c r="C18" s="26"/>
      <c r="D18" s="26"/>
      <c r="E18" s="26"/>
      <c r="F18" s="26"/>
      <c r="G18" s="26"/>
      <c r="H18" s="26"/>
      <c r="I18" s="26"/>
      <c r="J18" s="26"/>
      <c r="K18" s="27"/>
    </row>
    <row r="19" spans="2:11" x14ac:dyDescent="0.3">
      <c r="B19" s="25"/>
      <c r="C19" s="26"/>
      <c r="D19" s="26"/>
      <c r="E19" s="26"/>
      <c r="F19" s="26"/>
      <c r="G19" s="26"/>
      <c r="H19" s="26"/>
      <c r="I19" s="26"/>
      <c r="J19" s="26"/>
      <c r="K19" s="27"/>
    </row>
    <row r="20" spans="2:11" x14ac:dyDescent="0.3">
      <c r="B20" s="25"/>
      <c r="C20" s="26"/>
      <c r="D20" s="26"/>
      <c r="E20" s="26"/>
      <c r="F20" s="26"/>
      <c r="G20" s="26"/>
      <c r="H20" s="26"/>
      <c r="I20" s="26"/>
      <c r="J20" s="26"/>
      <c r="K20" s="27"/>
    </row>
    <row r="21" spans="2:11" x14ac:dyDescent="0.3">
      <c r="B21" s="31"/>
      <c r="C21" s="32"/>
      <c r="D21" s="32"/>
      <c r="E21" s="32"/>
      <c r="F21" s="32"/>
      <c r="G21" s="32"/>
      <c r="H21" s="32"/>
      <c r="I21" s="32"/>
      <c r="J21" s="32"/>
      <c r="K21" s="33"/>
    </row>
    <row r="22" spans="2:11" ht="14.4" customHeight="1" x14ac:dyDescent="0.3">
      <c r="B22" s="231" t="s">
        <v>269</v>
      </c>
      <c r="C22" s="232"/>
      <c r="D22" s="232"/>
      <c r="E22" s="232"/>
      <c r="F22" s="232"/>
      <c r="G22" s="232"/>
      <c r="H22" s="232"/>
      <c r="I22" s="232"/>
      <c r="J22" s="232"/>
      <c r="K22" s="233"/>
    </row>
    <row r="23" spans="2:11" ht="12.6" customHeight="1" x14ac:dyDescent="0.3">
      <c r="B23" s="231"/>
      <c r="C23" s="232"/>
      <c r="D23" s="232"/>
      <c r="E23" s="232"/>
      <c r="F23" s="232"/>
      <c r="G23" s="232"/>
      <c r="H23" s="232"/>
      <c r="I23" s="232"/>
      <c r="J23" s="232"/>
      <c r="K23" s="233"/>
    </row>
    <row r="24" spans="2:11" ht="24" customHeight="1" x14ac:dyDescent="0.3">
      <c r="B24" s="234" t="s">
        <v>421</v>
      </c>
      <c r="C24" s="235"/>
      <c r="D24" s="235"/>
      <c r="E24" s="235"/>
      <c r="F24" s="235"/>
      <c r="G24" s="235"/>
      <c r="H24" s="235"/>
      <c r="I24" s="235"/>
      <c r="J24" s="235"/>
      <c r="K24" s="236"/>
    </row>
    <row r="25" spans="2:11" x14ac:dyDescent="0.3">
      <c r="B25" s="25"/>
      <c r="C25" s="26"/>
      <c r="D25" s="26"/>
      <c r="E25" s="26"/>
      <c r="F25" s="26"/>
      <c r="G25" s="26"/>
      <c r="H25" s="26"/>
      <c r="I25" s="26"/>
      <c r="J25" s="26"/>
      <c r="K25" s="27"/>
    </row>
    <row r="26" spans="2:11" x14ac:dyDescent="0.3">
      <c r="B26" s="46" t="s">
        <v>245</v>
      </c>
      <c r="C26" s="46" t="s">
        <v>246</v>
      </c>
      <c r="D26" s="46" t="s">
        <v>258</v>
      </c>
      <c r="E26" s="46" t="s">
        <v>259</v>
      </c>
      <c r="F26" s="46" t="s">
        <v>249</v>
      </c>
      <c r="G26" s="46" t="s">
        <v>247</v>
      </c>
      <c r="H26" s="46" t="s">
        <v>260</v>
      </c>
      <c r="I26" s="46" t="s">
        <v>261</v>
      </c>
      <c r="J26" s="46" t="s">
        <v>262</v>
      </c>
      <c r="K26" s="46" t="s">
        <v>263</v>
      </c>
    </row>
    <row r="27" spans="2:11" x14ac:dyDescent="0.3">
      <c r="B27" s="51">
        <v>1</v>
      </c>
      <c r="C27" s="47" t="s">
        <v>442</v>
      </c>
      <c r="D27" s="45">
        <v>60119848</v>
      </c>
      <c r="E27" s="45" t="s">
        <v>374</v>
      </c>
      <c r="F27" s="45" t="s">
        <v>337</v>
      </c>
      <c r="G27" s="45" t="s">
        <v>220</v>
      </c>
      <c r="H27" s="45" t="s">
        <v>443</v>
      </c>
      <c r="I27" s="45" t="s">
        <v>375</v>
      </c>
      <c r="J27" s="49" t="s">
        <v>432</v>
      </c>
      <c r="K27" s="49" t="s">
        <v>444</v>
      </c>
    </row>
    <row r="28" spans="2:11" x14ac:dyDescent="0.3">
      <c r="B28" s="43">
        <v>2</v>
      </c>
      <c r="C28" s="48" t="s">
        <v>442</v>
      </c>
      <c r="D28" s="43">
        <v>60119848</v>
      </c>
      <c r="E28" s="43" t="s">
        <v>374</v>
      </c>
      <c r="F28" s="43" t="s">
        <v>337</v>
      </c>
      <c r="G28" s="43" t="s">
        <v>220</v>
      </c>
      <c r="H28" s="43" t="s">
        <v>445</v>
      </c>
      <c r="I28" s="43" t="s">
        <v>375</v>
      </c>
      <c r="J28" s="50"/>
      <c r="K28" s="50" t="s">
        <v>337</v>
      </c>
    </row>
    <row r="29" spans="2:11" x14ac:dyDescent="0.3">
      <c r="B29" s="43">
        <v>3</v>
      </c>
      <c r="C29" s="48" t="s">
        <v>442</v>
      </c>
      <c r="D29" s="43">
        <v>60119848</v>
      </c>
      <c r="E29" s="43" t="s">
        <v>374</v>
      </c>
      <c r="F29" s="43" t="s">
        <v>427</v>
      </c>
      <c r="G29" s="43" t="s">
        <v>220</v>
      </c>
      <c r="H29" s="43" t="s">
        <v>446</v>
      </c>
      <c r="I29" s="43" t="s">
        <v>375</v>
      </c>
      <c r="J29" s="50" t="s">
        <v>439</v>
      </c>
      <c r="K29" s="50" t="s">
        <v>447</v>
      </c>
    </row>
    <row r="30" spans="2:11" x14ac:dyDescent="0.3">
      <c r="B30" s="43">
        <v>4</v>
      </c>
      <c r="C30" s="48" t="s">
        <v>442</v>
      </c>
      <c r="D30" s="43">
        <v>60119848</v>
      </c>
      <c r="E30" s="43" t="s">
        <v>60</v>
      </c>
      <c r="F30" s="43" t="s">
        <v>337</v>
      </c>
      <c r="G30" s="43" t="s">
        <v>220</v>
      </c>
      <c r="H30" s="43" t="s">
        <v>448</v>
      </c>
      <c r="I30" s="43" t="s">
        <v>376</v>
      </c>
      <c r="J30" s="50" t="s">
        <v>449</v>
      </c>
      <c r="K30" s="50" t="s">
        <v>444</v>
      </c>
    </row>
    <row r="31" spans="2:11" x14ac:dyDescent="0.3">
      <c r="B31" s="43">
        <v>5</v>
      </c>
      <c r="C31" s="48" t="s">
        <v>442</v>
      </c>
      <c r="D31" s="43">
        <v>60119848</v>
      </c>
      <c r="E31" s="43" t="s">
        <v>87</v>
      </c>
      <c r="F31" s="43" t="s">
        <v>427</v>
      </c>
      <c r="G31" s="43" t="s">
        <v>220</v>
      </c>
      <c r="H31" s="43" t="s">
        <v>433</v>
      </c>
      <c r="I31" s="43" t="s">
        <v>376</v>
      </c>
      <c r="J31" s="50" t="s">
        <v>439</v>
      </c>
      <c r="K31" s="50" t="s">
        <v>450</v>
      </c>
    </row>
    <row r="32" spans="2:11" x14ac:dyDescent="0.3">
      <c r="J32" s="246" t="s">
        <v>248</v>
      </c>
      <c r="K32" s="246"/>
    </row>
    <row r="33" spans="2:11" ht="21" x14ac:dyDescent="0.4">
      <c r="B33" s="36" t="s">
        <v>388</v>
      </c>
      <c r="C33" s="26"/>
      <c r="D33" s="26"/>
      <c r="E33" s="26"/>
      <c r="F33" s="26"/>
      <c r="G33" s="26"/>
      <c r="H33" s="26"/>
      <c r="I33" s="26"/>
      <c r="J33" s="26"/>
      <c r="K33" s="27"/>
    </row>
    <row r="34" spans="2:11" x14ac:dyDescent="0.3">
      <c r="B34" s="25"/>
      <c r="C34" s="26"/>
      <c r="D34" s="26"/>
      <c r="E34" s="26"/>
      <c r="F34" s="26"/>
      <c r="G34" s="26"/>
      <c r="H34" s="26"/>
      <c r="I34" s="26"/>
      <c r="J34" s="26"/>
      <c r="K34" s="27"/>
    </row>
    <row r="35" spans="2:11" x14ac:dyDescent="0.3">
      <c r="B35" s="25" t="s">
        <v>406</v>
      </c>
      <c r="C35" s="90">
        <v>0.29375739115549993</v>
      </c>
      <c r="D35" s="26"/>
      <c r="E35" s="26"/>
      <c r="F35" s="26"/>
      <c r="G35" s="26"/>
      <c r="H35" s="26"/>
      <c r="I35" s="26"/>
      <c r="J35" s="26"/>
      <c r="K35" s="27"/>
    </row>
    <row r="36" spans="2:11" x14ac:dyDescent="0.3">
      <c r="B36" s="25" t="s">
        <v>364</v>
      </c>
      <c r="C36" s="90">
        <v>0.43381477577158878</v>
      </c>
      <c r="D36" s="26"/>
      <c r="E36" s="26"/>
      <c r="F36" s="26"/>
      <c r="G36" s="26"/>
      <c r="H36" s="26"/>
      <c r="I36" s="26"/>
      <c r="J36" s="26"/>
      <c r="K36" s="27"/>
    </row>
    <row r="37" spans="2:11" x14ac:dyDescent="0.3">
      <c r="B37" s="25" t="s">
        <v>365</v>
      </c>
      <c r="C37" s="90">
        <v>0.14005738461608885</v>
      </c>
      <c r="D37" s="26"/>
      <c r="E37" s="26"/>
      <c r="F37" s="26"/>
      <c r="G37" s="26"/>
      <c r="H37" s="26"/>
      <c r="I37" s="26"/>
      <c r="J37" s="26"/>
      <c r="K37" s="27"/>
    </row>
    <row r="38" spans="2:11" x14ac:dyDescent="0.3">
      <c r="B38" s="28"/>
      <c r="C38" s="29"/>
      <c r="D38" s="29"/>
      <c r="E38" s="29"/>
      <c r="F38" s="29"/>
      <c r="G38" s="29"/>
      <c r="H38" s="29"/>
      <c r="I38" s="29"/>
      <c r="J38" s="29"/>
      <c r="K38" s="30"/>
    </row>
    <row r="39" spans="2:11" x14ac:dyDescent="0.3">
      <c r="B39" s="237" t="s">
        <v>233</v>
      </c>
      <c r="C39" s="238"/>
      <c r="D39" s="238"/>
      <c r="E39" s="238"/>
      <c r="F39" s="238"/>
      <c r="G39" s="238"/>
      <c r="H39" s="238"/>
      <c r="I39" s="238"/>
      <c r="J39" s="238"/>
      <c r="K39" s="239"/>
    </row>
    <row r="40" spans="2:11" x14ac:dyDescent="0.3">
      <c r="B40" s="240"/>
      <c r="C40" s="241"/>
      <c r="D40" s="241"/>
      <c r="E40" s="241"/>
      <c r="F40" s="241"/>
      <c r="G40" s="241"/>
      <c r="H40" s="241"/>
      <c r="I40" s="241"/>
      <c r="J40" s="241"/>
      <c r="K40" s="242"/>
    </row>
    <row r="41" spans="2:11" x14ac:dyDescent="0.3">
      <c r="B41" s="240"/>
      <c r="C41" s="241"/>
      <c r="D41" s="241"/>
      <c r="E41" s="241"/>
      <c r="F41" s="241"/>
      <c r="G41" s="241"/>
      <c r="H41" s="241"/>
      <c r="I41" s="241"/>
      <c r="J41" s="241"/>
      <c r="K41" s="242"/>
    </row>
    <row r="42" spans="2:11" x14ac:dyDescent="0.3">
      <c r="B42" s="240"/>
      <c r="C42" s="241"/>
      <c r="D42" s="241"/>
      <c r="E42" s="241"/>
      <c r="F42" s="241"/>
      <c r="G42" s="241"/>
      <c r="H42" s="241"/>
      <c r="I42" s="241"/>
      <c r="J42" s="241"/>
      <c r="K42" s="242"/>
    </row>
    <row r="43" spans="2:11" x14ac:dyDescent="0.3">
      <c r="B43" s="240"/>
      <c r="C43" s="241"/>
      <c r="D43" s="241"/>
      <c r="E43" s="241"/>
      <c r="F43" s="241"/>
      <c r="G43" s="241"/>
      <c r="H43" s="241"/>
      <c r="I43" s="241"/>
      <c r="J43" s="241"/>
      <c r="K43" s="242"/>
    </row>
    <row r="44" spans="2:11" x14ac:dyDescent="0.3">
      <c r="B44" s="240"/>
      <c r="C44" s="241"/>
      <c r="D44" s="241"/>
      <c r="E44" s="241"/>
      <c r="F44" s="241"/>
      <c r="G44" s="241"/>
      <c r="H44" s="241"/>
      <c r="I44" s="241"/>
      <c r="J44" s="241"/>
      <c r="K44" s="242"/>
    </row>
    <row r="45" spans="2:11" x14ac:dyDescent="0.3">
      <c r="B45" s="240"/>
      <c r="C45" s="241"/>
      <c r="D45" s="241"/>
      <c r="E45" s="241"/>
      <c r="F45" s="241"/>
      <c r="G45" s="241"/>
      <c r="H45" s="241"/>
      <c r="I45" s="241"/>
      <c r="J45" s="241"/>
      <c r="K45" s="242"/>
    </row>
    <row r="46" spans="2:11" x14ac:dyDescent="0.3">
      <c r="B46" s="240"/>
      <c r="C46" s="241"/>
      <c r="D46" s="241"/>
      <c r="E46" s="241"/>
      <c r="F46" s="241"/>
      <c r="G46" s="241"/>
      <c r="H46" s="241"/>
      <c r="I46" s="241"/>
      <c r="J46" s="241"/>
      <c r="K46" s="242"/>
    </row>
    <row r="47" spans="2:11" x14ac:dyDescent="0.3">
      <c r="B47" s="240"/>
      <c r="C47" s="241"/>
      <c r="D47" s="241"/>
      <c r="E47" s="241"/>
      <c r="F47" s="241"/>
      <c r="G47" s="241"/>
      <c r="H47" s="241"/>
      <c r="I47" s="241"/>
      <c r="J47" s="241"/>
      <c r="K47" s="242"/>
    </row>
    <row r="48" spans="2:11" x14ac:dyDescent="0.3">
      <c r="B48" s="240"/>
      <c r="C48" s="241"/>
      <c r="D48" s="241"/>
      <c r="E48" s="241"/>
      <c r="F48" s="241"/>
      <c r="G48" s="241"/>
      <c r="H48" s="241"/>
      <c r="I48" s="241"/>
      <c r="J48" s="241"/>
      <c r="K48" s="242"/>
    </row>
    <row r="49" spans="2:11" x14ac:dyDescent="0.3">
      <c r="B49" s="240"/>
      <c r="C49" s="241"/>
      <c r="D49" s="241"/>
      <c r="E49" s="241"/>
      <c r="F49" s="241"/>
      <c r="G49" s="241"/>
      <c r="H49" s="241"/>
      <c r="I49" s="241"/>
      <c r="J49" s="241"/>
      <c r="K49" s="242"/>
    </row>
    <row r="50" spans="2:11" x14ac:dyDescent="0.3">
      <c r="B50" s="243"/>
      <c r="C50" s="244"/>
      <c r="D50" s="244"/>
      <c r="E50" s="244"/>
      <c r="F50" s="244"/>
      <c r="G50" s="244"/>
      <c r="H50" s="244"/>
      <c r="I50" s="244"/>
      <c r="J50" s="244"/>
      <c r="K50" s="245"/>
    </row>
  </sheetData>
  <customSheetViews>
    <customSheetView guid="{5C7B38D6-29D9-4C20-A92E-817BB499D35F}" scale="99" showGridLines="0">
      <selection activeCell="H12" sqref="H12"/>
      <pageMargins left="0.7" right="0.7" top="0.75" bottom="0.75" header="0.3" footer="0.3"/>
    </customSheetView>
  </customSheetViews>
  <mergeCells count="6">
    <mergeCell ref="B1:K2"/>
    <mergeCell ref="B3:K3"/>
    <mergeCell ref="B22:K23"/>
    <mergeCell ref="B24:K24"/>
    <mergeCell ref="B39:K50"/>
    <mergeCell ref="J32:K32"/>
  </mergeCells>
  <printOptions horizontalCentered="1" verticalCentered="1"/>
  <pageMargins left="0.7" right="0.7" top="0.75" bottom="0.75" header="0.3" footer="0.3"/>
  <pageSetup paperSize="9" orientation="portrait" r:id="rId1"/>
  <rowBreaks count="1" manualBreakCount="1">
    <brk id="12" max="16383" man="1"/>
  </rowBreaks>
  <colBreaks count="2" manualBreakCount="2">
    <brk id="1" max="1048575" man="1"/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10</xdr:col>
                    <xdr:colOff>1417320</xdr:colOff>
                    <xdr:row>33</xdr:row>
                    <xdr:rowOff>129540</xdr:rowOff>
                  </from>
                  <to>
                    <xdr:col>10</xdr:col>
                    <xdr:colOff>3162300</xdr:colOff>
                    <xdr:row>36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RunFullSimulationAndSubmit">
                <anchor moveWithCells="1" sizeWithCells="1">
                  <from>
                    <xdr:col>10</xdr:col>
                    <xdr:colOff>1143000</xdr:colOff>
                    <xdr:row>10</xdr:row>
                    <xdr:rowOff>152400</xdr:rowOff>
                  </from>
                  <to>
                    <xdr:col>10</xdr:col>
                    <xdr:colOff>3078480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B96D6C-E34B-4770-81E2-F0397E61B875}">
          <x14:formula1>
            <xm:f>'CATEGORY SPESIFICATION'!$B$4:$B$9</xm:f>
          </x14:formula1>
          <xm:sqref>N9 R9 V9 C9 K9 G9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91E81-A2B6-4D7E-832B-06B24EEAE1BA}">
  <sheetPr codeName="Sheet7"/>
  <dimension ref="B3:S145"/>
  <sheetViews>
    <sheetView topLeftCell="A112" workbookViewId="0">
      <selection activeCell="F15" sqref="F15"/>
    </sheetView>
  </sheetViews>
  <sheetFormatPr defaultRowHeight="14.4" x14ac:dyDescent="0.3"/>
  <cols>
    <col min="2" max="2" width="26.6640625" customWidth="1"/>
    <col min="4" max="4" width="23.88671875" bestFit="1" customWidth="1"/>
    <col min="5" max="6" width="24.88671875" bestFit="1" customWidth="1"/>
    <col min="9" max="9" width="14.88671875" customWidth="1"/>
    <col min="10" max="10" width="15.5546875" bestFit="1" customWidth="1"/>
    <col min="11" max="11" width="13.77734375" bestFit="1" customWidth="1"/>
    <col min="13" max="13" width="15.109375" bestFit="1" customWidth="1"/>
    <col min="15" max="15" width="13.44140625" bestFit="1" customWidth="1"/>
    <col min="16" max="16" width="19" bestFit="1" customWidth="1"/>
    <col min="18" max="18" width="13.5546875" bestFit="1" customWidth="1"/>
    <col min="19" max="19" width="23.88671875" bestFit="1" customWidth="1"/>
  </cols>
  <sheetData>
    <row r="3" spans="2:19" x14ac:dyDescent="0.3">
      <c r="B3" s="10" t="s">
        <v>210</v>
      </c>
      <c r="D3" s="3" t="s">
        <v>70</v>
      </c>
      <c r="E3" s="13" t="s">
        <v>325</v>
      </c>
      <c r="F3" s="13" t="s">
        <v>222</v>
      </c>
      <c r="I3" s="60" t="s">
        <v>70</v>
      </c>
      <c r="J3" s="61" t="s">
        <v>71</v>
      </c>
      <c r="K3" s="46" t="s">
        <v>72</v>
      </c>
      <c r="L3" s="59" t="s">
        <v>73</v>
      </c>
      <c r="M3" s="46" t="s">
        <v>74</v>
      </c>
      <c r="N3" s="46" t="s">
        <v>75</v>
      </c>
      <c r="O3" s="46" t="s">
        <v>76</v>
      </c>
      <c r="P3" s="46" t="s">
        <v>78</v>
      </c>
      <c r="Q3" s="46" t="s">
        <v>77</v>
      </c>
      <c r="R3" s="46" t="s">
        <v>79</v>
      </c>
      <c r="S3" s="46" t="s">
        <v>80</v>
      </c>
    </row>
    <row r="4" spans="2:19" ht="25.8" x14ac:dyDescent="0.3">
      <c r="B4" s="170" t="s">
        <v>70</v>
      </c>
      <c r="D4" s="5" t="s">
        <v>83</v>
      </c>
      <c r="E4" s="3" t="s">
        <v>70</v>
      </c>
      <c r="F4" t="str">
        <f>IFERROR(VLOOKUP(D4,SPEC001!$B$2:$D$75,2,FALSE),
IFERROR(VLOOKUP(D4,SPEC002!$B$2:$D$77,2,FALSE),
IFERROR(VLOOKUP(D4,SPEC003!$B$2:$D$74,2,FALSE),
IFERROR(VLOOKUP(D4,SPEC004!$B$2:$D$77,2,FALSE),
IFERROR(VLOOKUP(D4,#REF!,2,FALSE), "")))))</f>
        <v/>
      </c>
      <c r="I4" s="56" t="s">
        <v>83</v>
      </c>
      <c r="J4" s="56" t="s">
        <v>46</v>
      </c>
      <c r="K4" s="43"/>
      <c r="L4" s="43" t="s">
        <v>44</v>
      </c>
      <c r="M4" s="43"/>
      <c r="N4" s="43" t="s">
        <v>151</v>
      </c>
      <c r="O4" s="43"/>
      <c r="P4" s="43" t="s">
        <v>61</v>
      </c>
      <c r="Q4" s="43" t="s">
        <v>60</v>
      </c>
      <c r="R4" s="43" t="s">
        <v>170</v>
      </c>
      <c r="S4" s="43"/>
    </row>
    <row r="5" spans="2:19" ht="25.8" x14ac:dyDescent="0.3">
      <c r="B5" s="170" t="s">
        <v>72</v>
      </c>
      <c r="D5" s="5" t="s">
        <v>84</v>
      </c>
      <c r="E5" s="3" t="s">
        <v>70</v>
      </c>
      <c r="F5" t="str">
        <f>IFERROR(VLOOKUP(D5,SPEC001!$B$2:$D$75,2,FALSE),
IFERROR(VLOOKUP(D5,SPEC002!$B$2:$D$77,2,FALSE),
IFERROR(VLOOKUP(D5,SPEC003!$B$2:$D$74,2,FALSE),
IFERROR(VLOOKUP(D5,SPEC004!$B$2:$D$77,2,FALSE),
IFERROR(VLOOKUP(D5,#REF!,2,FALSE), "")))))</f>
        <v>SIR-20</v>
      </c>
      <c r="I5" s="56" t="s">
        <v>84</v>
      </c>
      <c r="J5" s="56" t="s">
        <v>86</v>
      </c>
      <c r="K5" s="43"/>
      <c r="L5" s="43" t="s">
        <v>38</v>
      </c>
      <c r="M5" s="43"/>
      <c r="N5" s="43" t="s">
        <v>14</v>
      </c>
      <c r="O5" s="43"/>
      <c r="P5" s="43" t="s">
        <v>129</v>
      </c>
      <c r="Q5" s="43" t="s">
        <v>153</v>
      </c>
      <c r="R5" s="43" t="s">
        <v>143</v>
      </c>
      <c r="S5" s="43"/>
    </row>
    <row r="6" spans="2:19" ht="51.6" x14ac:dyDescent="0.3">
      <c r="B6" s="170" t="s">
        <v>74</v>
      </c>
      <c r="D6" s="5" t="s">
        <v>85</v>
      </c>
      <c r="E6" s="3" t="s">
        <v>70</v>
      </c>
      <c r="F6" t="str">
        <f>IFERROR(VLOOKUP(D6,SPEC001!$B$2:$D$75,2,FALSE),
IFERROR(VLOOKUP(D6,SPEC002!$B$2:$D$77,2,FALSE),
IFERROR(VLOOKUP(D6,SPEC003!$B$2:$D$74,2,FALSE),
IFERROR(VLOOKUP(D6,SPEC004!$B$2:$D$77,2,FALSE),
IFERROR(VLOOKUP(D6,#REF!,2,FALSE), "")))))</f>
        <v>SIR-10</v>
      </c>
      <c r="I6" s="56" t="s">
        <v>85</v>
      </c>
      <c r="J6" s="56" t="s">
        <v>36</v>
      </c>
      <c r="K6" s="43"/>
      <c r="L6" s="43" t="s">
        <v>9</v>
      </c>
      <c r="M6" s="43"/>
      <c r="N6" s="43" t="s">
        <v>152</v>
      </c>
      <c r="O6" s="43"/>
      <c r="P6" s="43"/>
      <c r="Q6" s="43" t="s">
        <v>154</v>
      </c>
      <c r="R6" s="43" t="s">
        <v>171</v>
      </c>
      <c r="S6" s="43"/>
    </row>
    <row r="7" spans="2:19" ht="25.8" x14ac:dyDescent="0.3">
      <c r="B7" s="170" t="s">
        <v>76</v>
      </c>
      <c r="D7" s="5" t="s">
        <v>20</v>
      </c>
      <c r="E7" s="3" t="s">
        <v>70</v>
      </c>
      <c r="F7" t="str">
        <f>IFERROR(VLOOKUP(D7,SPEC001!$B$2:$D$75,2,FALSE),
IFERROR(VLOOKUP(D7,SPEC002!$B$2:$D$77,2,FALSE),
IFERROR(VLOOKUP(D7,SPEC003!$B$2:$D$74,2,FALSE),
IFERROR(VLOOKUP(D7,SPEC004!$B$2:$D$77,2,FALSE),
IFERROR(VLOOKUP(D7,#REF!,2,FALSE), "")))))</f>
        <v>SIR-10 (EUDR)</v>
      </c>
      <c r="I7" s="56" t="s">
        <v>20</v>
      </c>
      <c r="J7" s="56" t="s">
        <v>87</v>
      </c>
      <c r="K7" s="43"/>
      <c r="L7" s="43" t="s">
        <v>119</v>
      </c>
      <c r="M7" s="43"/>
      <c r="N7" s="43"/>
      <c r="O7" s="43"/>
      <c r="P7" s="43"/>
      <c r="Q7" s="43" t="s">
        <v>114</v>
      </c>
      <c r="R7" s="43" t="s">
        <v>141</v>
      </c>
      <c r="S7" s="43"/>
    </row>
    <row r="8" spans="2:19" ht="51.6" x14ac:dyDescent="0.3">
      <c r="B8" s="170" t="s">
        <v>78</v>
      </c>
      <c r="D8" s="5" t="s">
        <v>32</v>
      </c>
      <c r="E8" s="3" t="s">
        <v>70</v>
      </c>
      <c r="F8" t="str">
        <f>IFERROR(VLOOKUP(D8,SPEC001!$B$2:$D$75,2,FALSE),
IFERROR(VLOOKUP(D8,SPEC002!$B$2:$D$77,2,FALSE),
IFERROR(VLOOKUP(D8,SPEC003!$B$2:$D$74,2,FALSE),
IFERROR(VLOOKUP(D8,SPEC004!$B$2:$D$77,2,FALSE),
IFERROR(VLOOKUP(D8,#REF!,2,FALSE), "")))))</f>
        <v>SIR-20 (EUDR)</v>
      </c>
      <c r="I8" s="56" t="s">
        <v>32</v>
      </c>
      <c r="J8" s="56" t="s">
        <v>88</v>
      </c>
      <c r="K8" s="43"/>
      <c r="L8" s="43" t="s">
        <v>133</v>
      </c>
      <c r="M8" s="43"/>
      <c r="N8" s="43"/>
      <c r="O8" s="43"/>
      <c r="P8" s="43"/>
      <c r="Q8" s="43" t="s">
        <v>116</v>
      </c>
      <c r="R8" s="43" t="s">
        <v>172</v>
      </c>
      <c r="S8" s="43"/>
    </row>
    <row r="9" spans="2:19" ht="51.6" x14ac:dyDescent="0.3">
      <c r="B9" s="170" t="s">
        <v>80</v>
      </c>
      <c r="D9" s="5"/>
      <c r="F9" t="str">
        <f>IFERROR(VLOOKUP(D9,SPEC001!$B$2:$D$75,2,FALSE),
IFERROR(VLOOKUP(D9,SPEC002!$B$2:$D$77,2,FALSE),
IFERROR(VLOOKUP(D9,SPEC003!$B$2:$D$74,2,FALSE),
IFERROR(VLOOKUP(D9,SPEC004!$B$2:$D$77,2,FALSE),
IFERROR(VLOOKUP(D9,#REF!,2,FALSE), "")))))</f>
        <v/>
      </c>
      <c r="I9" s="43"/>
      <c r="J9" s="56" t="s">
        <v>89</v>
      </c>
      <c r="K9" s="43"/>
      <c r="L9" s="43" t="s">
        <v>147</v>
      </c>
      <c r="M9" s="43"/>
      <c r="N9" s="43"/>
      <c r="O9" s="43"/>
      <c r="P9" s="43"/>
      <c r="Q9" s="43" t="s">
        <v>62</v>
      </c>
      <c r="R9" s="43" t="s">
        <v>173</v>
      </c>
      <c r="S9" s="43"/>
    </row>
    <row r="10" spans="2:19" x14ac:dyDescent="0.3">
      <c r="D10" s="4"/>
      <c r="F10" t="str">
        <f>IFERROR(VLOOKUP(D10,SPEC001!$B$2:$D$75,2,FALSE),
IFERROR(VLOOKUP(D10,SPEC002!$B$2:$D$77,2,FALSE),
IFERROR(VLOOKUP(D10,SPEC003!$B$2:$D$74,2,FALSE),
IFERROR(VLOOKUP(D10,SPEC004!$B$2:$D$77,2,FALSE),
IFERROR(VLOOKUP(D10,#REF!,2,FALSE), "")))))</f>
        <v/>
      </c>
      <c r="I10" s="43"/>
      <c r="J10" s="56" t="s">
        <v>13</v>
      </c>
      <c r="K10" s="43"/>
      <c r="L10" s="43" t="s">
        <v>148</v>
      </c>
      <c r="M10" s="43"/>
      <c r="N10" s="43"/>
      <c r="O10" s="43"/>
      <c r="P10" s="43"/>
      <c r="Q10" s="43" t="s">
        <v>48</v>
      </c>
      <c r="R10" s="43" t="s">
        <v>174</v>
      </c>
      <c r="S10" s="43"/>
    </row>
    <row r="11" spans="2:19" x14ac:dyDescent="0.3">
      <c r="D11" s="6" t="s">
        <v>71</v>
      </c>
      <c r="F11" t="str">
        <f>IFERROR(VLOOKUP(D11,SPEC001!$B$2:$D$75,2,FALSE),
IFERROR(VLOOKUP(D11,SPEC002!$B$2:$D$77,2,FALSE),
IFERROR(VLOOKUP(D11,SPEC003!$B$2:$D$74,2,FALSE),
IFERROR(VLOOKUP(D11,SPEC004!$B$2:$D$77,2,FALSE),
IFERROR(VLOOKUP(D11,#REF!,2,FALSE), "")))))</f>
        <v/>
      </c>
      <c r="I11" s="43"/>
      <c r="J11" s="56" t="s">
        <v>31</v>
      </c>
      <c r="K11" s="43"/>
      <c r="L11" s="43" t="s">
        <v>11</v>
      </c>
      <c r="M11" s="43"/>
      <c r="N11" s="43"/>
      <c r="O11" s="43"/>
      <c r="P11" s="43"/>
      <c r="Q11" s="43" t="s">
        <v>63</v>
      </c>
      <c r="R11" s="43" t="s">
        <v>175</v>
      </c>
      <c r="S11" s="43"/>
    </row>
    <row r="12" spans="2:19" x14ac:dyDescent="0.3">
      <c r="B12" s="79" t="s">
        <v>342</v>
      </c>
      <c r="D12" s="5" t="s">
        <v>46</v>
      </c>
      <c r="E12" s="6" t="s">
        <v>71</v>
      </c>
      <c r="F12" t="str">
        <f>IFERROR(VLOOKUP(D12,SPEC001!$B$2:$D$75,2,FALSE),
IFERROR(VLOOKUP(D12,SPEC002!$B$2:$D$77,2,FALSE),
IFERROR(VLOOKUP(D12,SPEC003!$B$2:$D$74,2,FALSE),
IFERROR(VLOOKUP(D12,SPEC004!$B$2:$D$77,2,FALSE),
IFERROR(VLOOKUP(D12,#REF!,2,FALSE), "")))))</f>
        <v>BR-1220</v>
      </c>
      <c r="I12" s="43"/>
      <c r="J12" s="56" t="s">
        <v>90</v>
      </c>
      <c r="K12" s="43"/>
      <c r="L12" s="43" t="s">
        <v>149</v>
      </c>
      <c r="M12" s="43"/>
      <c r="N12" s="43"/>
      <c r="O12" s="43"/>
      <c r="P12" s="43"/>
      <c r="Q12" s="43" t="s">
        <v>131</v>
      </c>
      <c r="R12" s="43" t="s">
        <v>176</v>
      </c>
      <c r="S12" s="43"/>
    </row>
    <row r="13" spans="2:19" x14ac:dyDescent="0.3">
      <c r="B13" s="80" t="s">
        <v>70</v>
      </c>
      <c r="D13" s="5" t="s">
        <v>86</v>
      </c>
      <c r="E13" s="6" t="s">
        <v>71</v>
      </c>
      <c r="F13" t="str">
        <f>IFERROR(VLOOKUP(D13,SPEC001!$B$2:$D$75,2,FALSE),
IFERROR(VLOOKUP(D13,SPEC002!$B$2:$D$77,2,FALSE),
IFERROR(VLOOKUP(D13,SPEC003!$B$2:$D$74,2,FALSE),
IFERROR(VLOOKUP(D13,SPEC004!$B$2:$D$77,2,FALSE),
IFERROR(VLOOKUP(D13,#REF!,2,FALSE), "")))))</f>
        <v/>
      </c>
      <c r="I13" s="43"/>
      <c r="J13" s="56" t="s">
        <v>91</v>
      </c>
      <c r="K13" s="43"/>
      <c r="L13" s="43" t="s">
        <v>121</v>
      </c>
      <c r="M13" s="43"/>
      <c r="N13" s="43"/>
      <c r="O13" s="43"/>
      <c r="P13" s="43"/>
      <c r="Q13" s="43" t="s">
        <v>155</v>
      </c>
      <c r="R13" s="43" t="s">
        <v>186</v>
      </c>
      <c r="S13" s="43"/>
    </row>
    <row r="14" spans="2:19" x14ac:dyDescent="0.3">
      <c r="B14" s="56" t="s">
        <v>71</v>
      </c>
      <c r="D14" s="5" t="s">
        <v>36</v>
      </c>
      <c r="E14" s="6" t="s">
        <v>71</v>
      </c>
      <c r="F14" t="str">
        <f>IFERROR(VLOOKUP(D14,SPEC001!$B$2:$D$75,2,FALSE),
IFERROR(VLOOKUP(D14,SPEC002!$B$2:$D$77,2,FALSE),
IFERROR(VLOOKUP(D14,SPEC003!$B$2:$D$74,2,FALSE),
IFERROR(VLOOKUP(D14,SPEC004!$B$2:$D$77,2,FALSE),
IFERROR(VLOOKUP(D14,#REF!,2,FALSE), "")))))</f>
        <v>BUNA CB-60</v>
      </c>
      <c r="I14" s="43"/>
      <c r="J14" s="56" t="s">
        <v>92</v>
      </c>
      <c r="K14" s="43"/>
      <c r="L14" s="43" t="s">
        <v>150</v>
      </c>
      <c r="M14" s="43"/>
      <c r="N14" s="43"/>
      <c r="O14" s="43"/>
      <c r="P14" s="43"/>
      <c r="Q14" s="43" t="s">
        <v>156</v>
      </c>
      <c r="R14" s="43" t="s">
        <v>185</v>
      </c>
      <c r="S14" s="43"/>
    </row>
    <row r="15" spans="2:19" x14ac:dyDescent="0.3">
      <c r="B15" s="80" t="s">
        <v>72</v>
      </c>
      <c r="D15" s="5" t="s">
        <v>87</v>
      </c>
      <c r="E15" s="6" t="s">
        <v>71</v>
      </c>
      <c r="F15" t="str">
        <f>IFERROR(VLOOKUP(D15,SPEC001!$B$2:$D$75,2,FALSE),
IFERROR(VLOOKUP(D15,SPEC002!$B$2:$D$77,2,FALSE),
IFERROR(VLOOKUP(D15,SPEC003!$B$2:$D$74,2,FALSE),
IFERROR(VLOOKUP(D15,SPEC004!$B$2:$D$77,2,FALSE),
IFERROR(VLOOKUP(D15,#REF!,2,FALSE), "")))))</f>
        <v>CB-22</v>
      </c>
      <c r="I15" s="43"/>
      <c r="J15" s="56" t="s">
        <v>93</v>
      </c>
      <c r="K15" s="43"/>
      <c r="L15" s="43"/>
      <c r="M15" s="43"/>
      <c r="N15" s="43"/>
      <c r="O15" s="43"/>
      <c r="P15" s="43"/>
      <c r="Q15" s="43" t="s">
        <v>64</v>
      </c>
      <c r="R15" s="43" t="s">
        <v>137</v>
      </c>
      <c r="S15" s="43"/>
    </row>
    <row r="16" spans="2:19" x14ac:dyDescent="0.3">
      <c r="B16" s="56" t="s">
        <v>73</v>
      </c>
      <c r="D16" s="5" t="s">
        <v>88</v>
      </c>
      <c r="E16" s="6" t="s">
        <v>71</v>
      </c>
      <c r="F16" t="str">
        <f>IFERROR(VLOOKUP(D16,SPEC001!$B$2:$D$75,2,FALSE),
IFERROR(VLOOKUP(D16,SPEC002!$B$2:$D$77,2,FALSE),
IFERROR(VLOOKUP(D16,SPEC003!$B$2:$D$74,2,FALSE),
IFERROR(VLOOKUP(D16,SPEC004!$B$2:$D$77,2,FALSE),
IFERROR(VLOOKUP(D16,#REF!,2,FALSE), "")))))</f>
        <v/>
      </c>
      <c r="I16" s="43"/>
      <c r="J16" s="56" t="s">
        <v>94</v>
      </c>
      <c r="K16" s="43"/>
      <c r="L16" s="43"/>
      <c r="M16" s="43"/>
      <c r="N16" s="43"/>
      <c r="O16" s="43"/>
      <c r="P16" s="43"/>
      <c r="Q16" s="43" t="s">
        <v>24</v>
      </c>
      <c r="R16" s="43" t="s">
        <v>177</v>
      </c>
      <c r="S16" s="43"/>
    </row>
    <row r="17" spans="2:19" x14ac:dyDescent="0.3">
      <c r="B17" s="80" t="s">
        <v>74</v>
      </c>
      <c r="D17" s="5" t="s">
        <v>89</v>
      </c>
      <c r="E17" s="6" t="s">
        <v>71</v>
      </c>
      <c r="F17" t="str">
        <f>IFERROR(VLOOKUP(D17,SPEC001!$B$2:$D$75,2,FALSE),
IFERROR(VLOOKUP(D17,SPEC002!$B$2:$D$77,2,FALSE),
IFERROR(VLOOKUP(D17,SPEC003!$B$2:$D$74,2,FALSE),
IFERROR(VLOOKUP(D17,SPEC004!$B$2:$D$77,2,FALSE),
IFERROR(VLOOKUP(D17,#REF!,2,FALSE), "")))))</f>
        <v/>
      </c>
      <c r="I17" s="43"/>
      <c r="J17" s="56" t="s">
        <v>95</v>
      </c>
      <c r="K17" s="43"/>
      <c r="L17" s="43"/>
      <c r="M17" s="43"/>
      <c r="N17" s="43"/>
      <c r="O17" s="43"/>
      <c r="P17" s="43"/>
      <c r="Q17" s="43" t="s">
        <v>34</v>
      </c>
      <c r="R17" s="43" t="s">
        <v>178</v>
      </c>
      <c r="S17" s="43"/>
    </row>
    <row r="18" spans="2:19" x14ac:dyDescent="0.3">
      <c r="B18" s="56" t="s">
        <v>75</v>
      </c>
      <c r="D18" s="5" t="s">
        <v>13</v>
      </c>
      <c r="E18" s="6" t="s">
        <v>71</v>
      </c>
      <c r="F18" t="str">
        <f>IFERROR(VLOOKUP(D18,SPEC001!$B$2:$D$75,2,FALSE),
IFERROR(VLOOKUP(D18,SPEC002!$B$2:$D$77,2,FALSE),
IFERROR(VLOOKUP(D18,SPEC003!$B$2:$D$74,2,FALSE),
IFERROR(VLOOKUP(D18,SPEC004!$B$2:$D$77,2,FALSE),
IFERROR(VLOOKUP(D18,#REF!,2,FALSE), "")))))</f>
        <v>B-IIR X2</v>
      </c>
      <c r="I18" s="43"/>
      <c r="J18" s="56" t="s">
        <v>96</v>
      </c>
      <c r="K18" s="43"/>
      <c r="L18" s="43"/>
      <c r="M18" s="43"/>
      <c r="N18" s="43"/>
      <c r="O18" s="43"/>
      <c r="P18" s="43"/>
      <c r="Q18" s="43" t="s">
        <v>157</v>
      </c>
      <c r="R18" s="43" t="s">
        <v>179</v>
      </c>
      <c r="S18" s="43"/>
    </row>
    <row r="19" spans="2:19" x14ac:dyDescent="0.3">
      <c r="B19" s="80" t="s">
        <v>76</v>
      </c>
      <c r="D19" s="5" t="s">
        <v>31</v>
      </c>
      <c r="E19" s="6" t="s">
        <v>71</v>
      </c>
      <c r="F19" t="str">
        <f>IFERROR(VLOOKUP(D19,SPEC001!$B$2:$D$75,2,FALSE),
IFERROR(VLOOKUP(D19,SPEC002!$B$2:$D$77,2,FALSE),
IFERROR(VLOOKUP(D19,SPEC003!$B$2:$D$74,2,FALSE),
IFERROR(VLOOKUP(D19,SPEC004!$B$2:$D$77,2,FALSE),
IFERROR(VLOOKUP(D19,#REF!,2,FALSE), "")))))</f>
        <v>SBR 1502</v>
      </c>
      <c r="I19" s="43"/>
      <c r="J19" s="56" t="s">
        <v>97</v>
      </c>
      <c r="K19" s="43"/>
      <c r="L19" s="43"/>
      <c r="M19" s="43"/>
      <c r="N19" s="43"/>
      <c r="O19" s="43"/>
      <c r="P19" s="43"/>
      <c r="Q19" s="43" t="s">
        <v>158</v>
      </c>
      <c r="R19" s="43" t="s">
        <v>180</v>
      </c>
      <c r="S19" s="43"/>
    </row>
    <row r="20" spans="2:19" x14ac:dyDescent="0.3">
      <c r="B20" s="56" t="s">
        <v>77</v>
      </c>
      <c r="D20" s="5" t="s">
        <v>90</v>
      </c>
      <c r="E20" s="6" t="s">
        <v>71</v>
      </c>
      <c r="F20" t="str">
        <f>IFERROR(VLOOKUP(D20,SPEC001!$B$2:$D$75,2,FALSE),
IFERROR(VLOOKUP(D20,SPEC002!$B$2:$D$77,2,FALSE),
IFERROR(VLOOKUP(D20,SPEC003!$B$2:$D$74,2,FALSE),
IFERROR(VLOOKUP(D20,SPEC004!$B$2:$D$77,2,FALSE),
IFERROR(VLOOKUP(D20,#REF!,2,FALSE), "")))))</f>
        <v>SBR 1723</v>
      </c>
      <c r="I20" s="43"/>
      <c r="J20" s="56" t="s">
        <v>98</v>
      </c>
      <c r="K20" s="43"/>
      <c r="L20" s="43"/>
      <c r="M20" s="43"/>
      <c r="N20" s="43"/>
      <c r="O20" s="43"/>
      <c r="P20" s="43"/>
      <c r="Q20" s="43" t="s">
        <v>159</v>
      </c>
      <c r="R20" s="43" t="s">
        <v>139</v>
      </c>
      <c r="S20" s="43"/>
    </row>
    <row r="21" spans="2:19" x14ac:dyDescent="0.3">
      <c r="B21" s="80" t="s">
        <v>78</v>
      </c>
      <c r="D21" s="5" t="s">
        <v>91</v>
      </c>
      <c r="E21" s="6" t="s">
        <v>71</v>
      </c>
      <c r="F21" t="str">
        <f>IFERROR(VLOOKUP(D21,SPEC001!$B$2:$D$75,2,FALSE),
IFERROR(VLOOKUP(D21,SPEC002!$B$2:$D$77,2,FALSE),
IFERROR(VLOOKUP(D21,SPEC003!$B$2:$D$74,2,FALSE),
IFERROR(VLOOKUP(D21,SPEC004!$B$2:$D$77,2,FALSE),
IFERROR(VLOOKUP(D21,#REF!,2,FALSE), "")))))</f>
        <v/>
      </c>
      <c r="I21" s="43"/>
      <c r="J21" s="56" t="s">
        <v>99</v>
      </c>
      <c r="K21" s="43"/>
      <c r="L21" s="43"/>
      <c r="M21" s="43"/>
      <c r="N21" s="43"/>
      <c r="O21" s="43"/>
      <c r="P21" s="43"/>
      <c r="Q21" s="43" t="s">
        <v>160</v>
      </c>
      <c r="R21" s="43" t="s">
        <v>181</v>
      </c>
      <c r="S21" s="43"/>
    </row>
    <row r="22" spans="2:19" x14ac:dyDescent="0.3">
      <c r="B22" s="56" t="s">
        <v>79</v>
      </c>
      <c r="D22" s="5" t="s">
        <v>92</v>
      </c>
      <c r="E22" s="6" t="s">
        <v>71</v>
      </c>
      <c r="F22" t="str">
        <f>IFERROR(VLOOKUP(D22,SPEC001!$B$2:$D$75,2,FALSE),
IFERROR(VLOOKUP(D22,SPEC002!$B$2:$D$77,2,FALSE),
IFERROR(VLOOKUP(D22,SPEC003!$B$2:$D$74,2,FALSE),
IFERROR(VLOOKUP(D22,SPEC004!$B$2:$D$77,2,FALSE),
IFERROR(VLOOKUP(D22,#REF!,2,FALSE), "")))))</f>
        <v/>
      </c>
      <c r="I22" s="43"/>
      <c r="J22" s="43"/>
      <c r="K22" s="43"/>
      <c r="L22" s="43"/>
      <c r="M22" s="43"/>
      <c r="N22" s="43"/>
      <c r="O22" s="43"/>
      <c r="P22" s="43"/>
      <c r="Q22" s="43" t="s">
        <v>50</v>
      </c>
      <c r="R22" s="43" t="s">
        <v>182</v>
      </c>
      <c r="S22" s="43"/>
    </row>
    <row r="23" spans="2:19" x14ac:dyDescent="0.3">
      <c r="B23" s="80" t="s">
        <v>80</v>
      </c>
      <c r="D23" s="5" t="s">
        <v>93</v>
      </c>
      <c r="E23" s="6" t="s">
        <v>71</v>
      </c>
      <c r="F23" t="str">
        <f>IFERROR(VLOOKUP(D23,SPEC001!$B$2:$D$75,2,FALSE),
IFERROR(VLOOKUP(D23,SPEC002!$B$2:$D$77,2,FALSE),
IFERROR(VLOOKUP(D23,SPEC003!$B$2:$D$74,2,FALSE),
IFERROR(VLOOKUP(D23,SPEC004!$B$2:$D$77,2,FALSE),
IFERROR(VLOOKUP(D23,#REF!,2,FALSE), "")))))</f>
        <v/>
      </c>
      <c r="I23" s="43"/>
      <c r="J23" s="43"/>
      <c r="K23" s="43"/>
      <c r="L23" s="43"/>
      <c r="M23" s="43"/>
      <c r="N23" s="43"/>
      <c r="O23" s="43"/>
      <c r="P23" s="43"/>
      <c r="Q23" s="43" t="s">
        <v>161</v>
      </c>
      <c r="R23" s="43"/>
      <c r="S23" s="43"/>
    </row>
    <row r="24" spans="2:19" x14ac:dyDescent="0.3">
      <c r="D24" s="5" t="s">
        <v>94</v>
      </c>
      <c r="E24" s="6" t="s">
        <v>71</v>
      </c>
      <c r="F24" t="str">
        <f>IFERROR(VLOOKUP(D24,SPEC001!$B$2:$D$75,2,FALSE),
IFERROR(VLOOKUP(D24,SPEC002!$B$2:$D$77,2,FALSE),
IFERROR(VLOOKUP(D24,SPEC003!$B$2:$D$74,2,FALSE),
IFERROR(VLOOKUP(D24,SPEC004!$B$2:$D$77,2,FALSE),
IFERROR(VLOOKUP(D24,#REF!,2,FALSE), "")))))</f>
        <v>SLR 4630</v>
      </c>
      <c r="I24" s="43"/>
      <c r="J24" s="43"/>
      <c r="K24" s="43"/>
      <c r="L24" s="43"/>
      <c r="M24" s="43"/>
      <c r="N24" s="43"/>
      <c r="O24" s="43"/>
      <c r="P24" s="43"/>
      <c r="Q24" s="43" t="s">
        <v>162</v>
      </c>
      <c r="R24" s="43"/>
      <c r="S24" s="43"/>
    </row>
    <row r="25" spans="2:19" x14ac:dyDescent="0.3">
      <c r="D25" s="5" t="s">
        <v>95</v>
      </c>
      <c r="E25" s="6" t="s">
        <v>71</v>
      </c>
      <c r="F25" t="str">
        <f>IFERROR(VLOOKUP(D25,SPEC001!$B$2:$D$75,2,FALSE),
IFERROR(VLOOKUP(D25,SPEC002!$B$2:$D$77,2,FALSE),
IFERROR(VLOOKUP(D25,SPEC003!$B$2:$D$74,2,FALSE),
IFERROR(VLOOKUP(D25,SPEC004!$B$2:$D$77,2,FALSE),
IFERROR(VLOOKUP(D25,#REF!,2,FALSE), "")))))</f>
        <v>JSR HP755</v>
      </c>
      <c r="I25" s="43"/>
      <c r="J25" s="43"/>
      <c r="K25" s="43"/>
      <c r="L25" s="43"/>
      <c r="M25" s="43"/>
      <c r="N25" s="43"/>
      <c r="O25" s="43"/>
      <c r="P25" s="43"/>
      <c r="Q25" s="43" t="s">
        <v>7</v>
      </c>
      <c r="R25" s="43"/>
      <c r="S25" s="43"/>
    </row>
    <row r="26" spans="2:19" x14ac:dyDescent="0.3">
      <c r="D26" s="5" t="s">
        <v>96</v>
      </c>
      <c r="E26" s="6" t="s">
        <v>71</v>
      </c>
      <c r="F26" t="str">
        <f>IFERROR(VLOOKUP(D26,SPEC001!$B$2:$D$75,2,FALSE),
IFERROR(VLOOKUP(D26,SPEC002!$B$2:$D$77,2,FALSE),
IFERROR(VLOOKUP(D26,SPEC003!$B$2:$D$74,2,FALSE),
IFERROR(VLOOKUP(D26,SPEC004!$B$2:$D$77,2,FALSE),
IFERROR(VLOOKUP(D26,#REF!,2,FALSE), "")))))</f>
        <v/>
      </c>
      <c r="I26" s="43"/>
      <c r="J26" s="43"/>
      <c r="K26" s="43"/>
      <c r="L26" s="43"/>
      <c r="M26" s="43"/>
      <c r="N26" s="43"/>
      <c r="O26" s="43"/>
      <c r="P26" s="43"/>
      <c r="Q26" s="43" t="s">
        <v>27</v>
      </c>
      <c r="R26" s="43"/>
      <c r="S26" s="43"/>
    </row>
    <row r="27" spans="2:19" x14ac:dyDescent="0.3">
      <c r="D27" s="5" t="s">
        <v>97</v>
      </c>
      <c r="E27" s="6" t="s">
        <v>71</v>
      </c>
      <c r="F27" t="str">
        <f>IFERROR(VLOOKUP(D27,SPEC001!$B$2:$D$75,2,FALSE),
IFERROR(VLOOKUP(D27,SPEC002!$B$2:$D$77,2,FALSE),
IFERROR(VLOOKUP(D27,SPEC003!$B$2:$D$74,2,FALSE),
IFERROR(VLOOKUP(D27,SPEC004!$B$2:$D$77,2,FALSE),
IFERROR(VLOOKUP(D27,#REF!,2,FALSE), "")))))</f>
        <v/>
      </c>
      <c r="I27" s="43"/>
      <c r="J27" s="43"/>
      <c r="K27" s="43"/>
      <c r="L27" s="43"/>
      <c r="M27" s="43"/>
      <c r="N27" s="43"/>
      <c r="O27" s="43"/>
      <c r="P27" s="43"/>
      <c r="Q27" s="43" t="s">
        <v>163</v>
      </c>
      <c r="R27" s="43"/>
      <c r="S27" s="43"/>
    </row>
    <row r="28" spans="2:19" x14ac:dyDescent="0.3">
      <c r="D28" s="5" t="s">
        <v>98</v>
      </c>
      <c r="E28" s="6" t="s">
        <v>71</v>
      </c>
      <c r="F28" t="str">
        <f>IFERROR(VLOOKUP(D28,SPEC001!$B$2:$D$75,2,FALSE),
IFERROR(VLOOKUP(D28,SPEC002!$B$2:$D$77,2,FALSE),
IFERROR(VLOOKUP(D28,SPEC003!$B$2:$D$74,2,FALSE),
IFERROR(VLOOKUP(D28,SPEC004!$B$2:$D$77,2,FALSE),
IFERROR(VLOOKUP(D28,#REF!,2,FALSE), "")))))</f>
        <v/>
      </c>
      <c r="I28" s="43"/>
      <c r="J28" s="43"/>
      <c r="K28" s="43"/>
      <c r="L28" s="43"/>
      <c r="M28" s="43"/>
      <c r="N28" s="43"/>
      <c r="O28" s="43"/>
      <c r="P28" s="43"/>
      <c r="Q28" s="43" t="s">
        <v>164</v>
      </c>
      <c r="R28" s="43"/>
      <c r="S28" s="43"/>
    </row>
    <row r="29" spans="2:19" x14ac:dyDescent="0.3">
      <c r="D29" s="5" t="s">
        <v>99</v>
      </c>
      <c r="E29" s="6" t="s">
        <v>71</v>
      </c>
      <c r="F29" t="str">
        <f>IFERROR(VLOOKUP(D29,SPEC001!$B$2:$D$75,2,FALSE),
IFERROR(VLOOKUP(D29,SPEC002!$B$2:$D$77,2,FALSE),
IFERROR(VLOOKUP(D29,SPEC003!$B$2:$D$74,2,FALSE),
IFERROR(VLOOKUP(D29,SPEC004!$B$2:$D$77,2,FALSE),
IFERROR(VLOOKUP(D29,#REF!,2,FALSE), "")))))</f>
        <v/>
      </c>
      <c r="I29" s="43"/>
      <c r="J29" s="43"/>
      <c r="K29" s="43"/>
      <c r="L29" s="43"/>
      <c r="M29" s="43"/>
      <c r="N29" s="43"/>
      <c r="O29" s="43"/>
      <c r="P29" s="43"/>
      <c r="Q29" s="43" t="s">
        <v>165</v>
      </c>
      <c r="R29" s="43"/>
      <c r="S29" s="43"/>
    </row>
    <row r="30" spans="2:19" x14ac:dyDescent="0.3">
      <c r="D30" s="5"/>
      <c r="F30" t="str">
        <f>IFERROR(VLOOKUP(D30,SPEC001!$B$2:$D$75,2,FALSE),
IFERROR(VLOOKUP(D30,SPEC002!$B$2:$D$77,2,FALSE),
IFERROR(VLOOKUP(D30,SPEC003!$B$2:$D$74,2,FALSE),
IFERROR(VLOOKUP(D30,SPEC004!$B$2:$D$77,2,FALSE),
IFERROR(VLOOKUP(D30,#REF!,2,FALSE), "")))))</f>
        <v/>
      </c>
      <c r="I30" s="43"/>
      <c r="J30" s="43"/>
      <c r="K30" s="43"/>
      <c r="L30" s="43"/>
      <c r="M30" s="43"/>
      <c r="N30" s="43"/>
      <c r="O30" s="43"/>
      <c r="P30" s="43"/>
      <c r="Q30" s="43" t="s">
        <v>166</v>
      </c>
      <c r="R30" s="43"/>
      <c r="S30" s="43"/>
    </row>
    <row r="31" spans="2:19" x14ac:dyDescent="0.3">
      <c r="D31" s="5"/>
      <c r="F31" t="str">
        <f>IFERROR(VLOOKUP(D31,SPEC001!$B$2:$D$75,2,FALSE),
IFERROR(VLOOKUP(D31,SPEC002!$B$2:$D$77,2,FALSE),
IFERROR(VLOOKUP(D31,SPEC003!$B$2:$D$74,2,FALSE),
IFERROR(VLOOKUP(D31,SPEC004!$B$2:$D$77,2,FALSE),
IFERROR(VLOOKUP(D31,#REF!,2,FALSE), "")))))</f>
        <v/>
      </c>
      <c r="I31" s="43"/>
      <c r="J31" s="43"/>
      <c r="K31" s="43"/>
      <c r="L31" s="43"/>
      <c r="M31" s="43"/>
      <c r="N31" s="43"/>
      <c r="O31" s="43"/>
      <c r="P31" s="43"/>
      <c r="Q31" s="43" t="s">
        <v>135</v>
      </c>
      <c r="R31" s="43"/>
      <c r="S31" s="43"/>
    </row>
    <row r="32" spans="2:19" x14ac:dyDescent="0.3">
      <c r="D32" s="7"/>
      <c r="F32" t="str">
        <f>IFERROR(VLOOKUP(D32,SPEC001!$B$2:$D$75,2,FALSE),
IFERROR(VLOOKUP(D32,SPEC002!$B$2:$D$77,2,FALSE),
IFERROR(VLOOKUP(D32,SPEC003!$B$2:$D$74,2,FALSE),
IFERROR(VLOOKUP(D32,SPEC004!$B$2:$D$77,2,FALSE),
IFERROR(VLOOKUP(D32,#REF!,2,FALSE), "")))))</f>
        <v/>
      </c>
      <c r="I32" s="43"/>
      <c r="J32" s="43"/>
      <c r="K32" s="43"/>
      <c r="L32" s="43"/>
      <c r="M32" s="43"/>
      <c r="N32" s="43"/>
      <c r="O32" s="43"/>
      <c r="P32" s="43"/>
      <c r="Q32" s="43" t="s">
        <v>123</v>
      </c>
      <c r="R32" s="43"/>
      <c r="S32" s="43"/>
    </row>
    <row r="33" spans="4:19" x14ac:dyDescent="0.3">
      <c r="D33" s="7" t="s">
        <v>72</v>
      </c>
      <c r="F33" t="str">
        <f>IFERROR(VLOOKUP(D33,SPEC001!$B$2:$D$75,2,FALSE),
IFERROR(VLOOKUP(D33,SPEC002!$B$2:$D$77,2,FALSE),
IFERROR(VLOOKUP(D33,SPEC003!$B$2:$D$74,2,FALSE),
IFERROR(VLOOKUP(D33,SPEC004!$B$2:$D$77,2,FALSE),
IFERROR(VLOOKUP(D33,#REF!,2,FALSE), "")))))</f>
        <v/>
      </c>
      <c r="I33" s="43"/>
      <c r="J33" s="43"/>
      <c r="K33" s="43"/>
      <c r="L33" s="43"/>
      <c r="M33" s="43"/>
      <c r="N33" s="43"/>
      <c r="O33" s="43"/>
      <c r="P33" s="43"/>
      <c r="Q33" s="43" t="s">
        <v>125</v>
      </c>
      <c r="R33" s="43"/>
      <c r="S33" s="43"/>
    </row>
    <row r="34" spans="4:19" x14ac:dyDescent="0.3">
      <c r="D34" s="7"/>
      <c r="E34" t="s">
        <v>319</v>
      </c>
      <c r="F34" t="str">
        <f>IFERROR(VLOOKUP(D34,SPEC001!$B$2:$D$75,2,FALSE),
IFERROR(VLOOKUP(D34,SPEC002!$B$2:$D$77,2,FALSE),
IFERROR(VLOOKUP(D34,SPEC003!$B$2:$D$74,2,FALSE),
IFERROR(VLOOKUP(D34,SPEC004!$B$2:$D$77,2,FALSE),
IFERROR(VLOOKUP(D34,#REF!,2,FALSE), "")))))</f>
        <v/>
      </c>
      <c r="I34" s="43"/>
      <c r="J34" s="43"/>
      <c r="K34" s="43"/>
      <c r="L34" s="43"/>
      <c r="M34" s="43"/>
      <c r="N34" s="43"/>
      <c r="O34" s="43"/>
      <c r="P34" s="43"/>
      <c r="Q34" s="43" t="s">
        <v>167</v>
      </c>
      <c r="R34" s="43"/>
      <c r="S34" s="43"/>
    </row>
    <row r="35" spans="4:19" x14ac:dyDescent="0.3">
      <c r="D35" s="7" t="s">
        <v>73</v>
      </c>
      <c r="F35" t="str">
        <f>IFERROR(VLOOKUP(D35,SPEC001!$B$2:$D$75,2,FALSE),
IFERROR(VLOOKUP(D35,SPEC002!$B$2:$D$77,2,FALSE),
IFERROR(VLOOKUP(D35,SPEC003!$B$2:$D$74,2,FALSE),
IFERROR(VLOOKUP(D35,SPEC004!$B$2:$D$77,2,FALSE),
IFERROR(VLOOKUP(D35,#REF!,2,FALSE), "")))))</f>
        <v/>
      </c>
      <c r="I35" s="43"/>
      <c r="J35" s="43"/>
      <c r="K35" s="43"/>
      <c r="L35" s="43"/>
      <c r="M35" s="43"/>
      <c r="N35" s="43"/>
      <c r="O35" s="43"/>
      <c r="P35" s="43"/>
      <c r="Q35" s="43" t="s">
        <v>65</v>
      </c>
      <c r="R35" s="43"/>
      <c r="S35" s="43"/>
    </row>
    <row r="36" spans="4:19" x14ac:dyDescent="0.3">
      <c r="D36" s="8" t="s">
        <v>44</v>
      </c>
      <c r="E36" s="7" t="s">
        <v>73</v>
      </c>
      <c r="F36" t="str">
        <f>IFERROR(VLOOKUP(D36,SPEC001!$B$2:$D$75,2,FALSE),
IFERROR(VLOOKUP(D36,SPEC002!$B$2:$D$77,2,FALSE),
IFERROR(VLOOKUP(D36,SPEC003!$B$2:$D$74,2,FALSE),
IFERROR(VLOOKUP(D36,SPEC004!$B$2:$D$77,2,FALSE),
IFERROR(VLOOKUP(D36,#REF!,2,FALSE), "")))))</f>
        <v>LS-HAF N-326</v>
      </c>
      <c r="I36" s="43"/>
      <c r="J36" s="43"/>
      <c r="K36" s="43"/>
      <c r="L36" s="43"/>
      <c r="M36" s="43"/>
      <c r="N36" s="43"/>
      <c r="O36" s="43"/>
      <c r="P36" s="43"/>
      <c r="Q36" s="43" t="s">
        <v>41</v>
      </c>
      <c r="R36" s="43"/>
      <c r="S36" s="43"/>
    </row>
    <row r="37" spans="4:19" x14ac:dyDescent="0.3">
      <c r="D37" s="8" t="s">
        <v>38</v>
      </c>
      <c r="E37" s="7" t="s">
        <v>73</v>
      </c>
      <c r="F37" t="str">
        <f>IFERROR(VLOOKUP(D37,SPEC001!$B$2:$D$75,2,FALSE),
IFERROR(VLOOKUP(D37,SPEC002!$B$2:$D$77,2,FALSE),
IFERROR(VLOOKUP(D37,SPEC003!$B$2:$D$74,2,FALSE),
IFERROR(VLOOKUP(D37,SPEC004!$B$2:$D$77,2,FALSE),
IFERROR(VLOOKUP(D37,#REF!,2,FALSE), "")))))</f>
        <v>HAF N-330</v>
      </c>
      <c r="I37" s="43"/>
      <c r="J37" s="43"/>
      <c r="K37" s="43"/>
      <c r="L37" s="43"/>
      <c r="M37" s="43"/>
      <c r="N37" s="43"/>
      <c r="O37" s="43"/>
      <c r="P37" s="43"/>
      <c r="Q37" s="43" t="s">
        <v>42</v>
      </c>
      <c r="R37" s="43"/>
      <c r="S37" s="43"/>
    </row>
    <row r="38" spans="4:19" x14ac:dyDescent="0.3">
      <c r="D38" s="8" t="s">
        <v>9</v>
      </c>
      <c r="E38" s="7" t="s">
        <v>73</v>
      </c>
      <c r="F38" t="str">
        <f>IFERROR(VLOOKUP(D38,SPEC001!$B$2:$D$75,2,FALSE),
IFERROR(VLOOKUP(D38,SPEC002!$B$2:$D$77,2,FALSE),
IFERROR(VLOOKUP(D38,SPEC003!$B$2:$D$74,2,FALSE),
IFERROR(VLOOKUP(D38,SPEC004!$B$2:$D$77,2,FALSE),
IFERROR(VLOOKUP(D38,#REF!,2,FALSE), "")))))</f>
        <v>GPF N-660</v>
      </c>
      <c r="I38" s="43"/>
      <c r="J38" s="43"/>
      <c r="K38" s="43"/>
      <c r="L38" s="43"/>
      <c r="M38" s="43"/>
      <c r="N38" s="43"/>
      <c r="O38" s="43"/>
      <c r="P38" s="43"/>
      <c r="Q38" s="43" t="s">
        <v>29</v>
      </c>
      <c r="R38" s="43"/>
      <c r="S38" s="43"/>
    </row>
    <row r="39" spans="4:19" x14ac:dyDescent="0.3">
      <c r="D39" s="8" t="s">
        <v>119</v>
      </c>
      <c r="E39" s="7" t="s">
        <v>73</v>
      </c>
      <c r="F39" t="str">
        <f>IFERROR(VLOOKUP(D39,SPEC001!$B$2:$D$75,2,FALSE),
IFERROR(VLOOKUP(D39,SPEC002!$B$2:$D$77,2,FALSE),
IFERROR(VLOOKUP(D39,SPEC003!$B$2:$D$74,2,FALSE),
IFERROR(VLOOKUP(D39,SPEC004!$B$2:$D$77,2,FALSE),
IFERROR(VLOOKUP(D39,#REF!,2,FALSE), "")))))</f>
        <v>N-234</v>
      </c>
      <c r="I39" s="43"/>
      <c r="J39" s="43"/>
      <c r="K39" s="43"/>
      <c r="L39" s="43"/>
      <c r="M39" s="43"/>
      <c r="N39" s="43"/>
      <c r="O39" s="43"/>
      <c r="P39" s="43"/>
      <c r="Q39" s="43" t="s">
        <v>16</v>
      </c>
      <c r="R39" s="43"/>
      <c r="S39" s="43"/>
    </row>
    <row r="40" spans="4:19" x14ac:dyDescent="0.3">
      <c r="D40" s="8" t="s">
        <v>133</v>
      </c>
      <c r="E40" s="7" t="s">
        <v>73</v>
      </c>
      <c r="F40" t="str">
        <f>IFERROR(VLOOKUP(D40,SPEC001!$B$2:$D$75,2,FALSE),
IFERROR(VLOOKUP(D40,SPEC002!$B$2:$D$77,2,FALSE),
IFERROR(VLOOKUP(D40,SPEC003!$B$2:$D$74,2,FALSE),
IFERROR(VLOOKUP(D40,SPEC004!$B$2:$D$77,2,FALSE),
IFERROR(VLOOKUP(D40,#REF!,2,FALSE), "")))))</f>
        <v>N-375</v>
      </c>
      <c r="I40" s="43"/>
      <c r="J40" s="43"/>
      <c r="K40" s="43"/>
      <c r="L40" s="43"/>
      <c r="M40" s="43"/>
      <c r="N40" s="43"/>
      <c r="O40" s="43"/>
      <c r="P40" s="43"/>
      <c r="Q40" s="43" t="s">
        <v>168</v>
      </c>
      <c r="R40" s="43"/>
      <c r="S40" s="43"/>
    </row>
    <row r="41" spans="4:19" x14ac:dyDescent="0.3">
      <c r="D41" s="8" t="s">
        <v>147</v>
      </c>
      <c r="E41" s="7" t="s">
        <v>73</v>
      </c>
      <c r="F41" t="str">
        <f>IFERROR(VLOOKUP(D41,SPEC001!$B$2:$D$75,2,FALSE),
IFERROR(VLOOKUP(D41,SPEC002!$B$2:$D$77,2,FALSE),
IFERROR(VLOOKUP(D41,SPEC003!$B$2:$D$74,2,FALSE),
IFERROR(VLOOKUP(D41,SPEC004!$B$2:$D$77,2,FALSE),
IFERROR(VLOOKUP(D41,#REF!,2,FALSE), "")))))</f>
        <v/>
      </c>
      <c r="I41" s="43"/>
      <c r="J41" s="43"/>
      <c r="K41" s="43"/>
      <c r="L41" s="43"/>
      <c r="M41" s="43"/>
      <c r="N41" s="43"/>
      <c r="O41" s="43"/>
      <c r="P41" s="43"/>
      <c r="Q41" s="43" t="s">
        <v>18</v>
      </c>
      <c r="R41" s="43"/>
      <c r="S41" s="43"/>
    </row>
    <row r="42" spans="4:19" x14ac:dyDescent="0.3">
      <c r="D42" s="8" t="s">
        <v>148</v>
      </c>
      <c r="E42" s="7" t="s">
        <v>73</v>
      </c>
      <c r="F42" t="str">
        <f>IFERROR(VLOOKUP(D42,SPEC001!$B$2:$D$75,2,FALSE),
IFERROR(VLOOKUP(D42,SPEC002!$B$2:$D$77,2,FALSE),
IFERROR(VLOOKUP(D42,SPEC003!$B$2:$D$74,2,FALSE),
IFERROR(VLOOKUP(D42,SPEC004!$B$2:$D$77,2,FALSE),
IFERROR(VLOOKUP(D42,#REF!,2,FALSE), "")))))</f>
        <v/>
      </c>
      <c r="I42" s="43"/>
      <c r="J42" s="43"/>
      <c r="K42" s="43"/>
      <c r="L42" s="43"/>
      <c r="M42" s="43"/>
      <c r="N42" s="43"/>
      <c r="O42" s="43"/>
      <c r="P42" s="43"/>
      <c r="Q42" s="43" t="s">
        <v>45</v>
      </c>
      <c r="R42" s="43"/>
      <c r="S42" s="43"/>
    </row>
    <row r="43" spans="4:19" x14ac:dyDescent="0.3">
      <c r="D43" s="8" t="s">
        <v>11</v>
      </c>
      <c r="E43" s="7" t="s">
        <v>73</v>
      </c>
      <c r="F43" t="str">
        <f>IFERROR(VLOOKUP(D43,SPEC001!$B$2:$D$75,2,FALSE),
IFERROR(VLOOKUP(D43,SPEC002!$B$2:$D$77,2,FALSE),
IFERROR(VLOOKUP(D43,SPEC003!$B$2:$D$74,2,FALSE),
IFERROR(VLOOKUP(D43,SPEC004!$B$2:$D$77,2,FALSE),
IFERROR(VLOOKUP(D43,#REF!,2,FALSE), "")))))</f>
        <v>PAI IAN HWA CC (white filler)</v>
      </c>
      <c r="I43" s="43"/>
      <c r="J43" s="43"/>
      <c r="K43" s="43"/>
      <c r="L43" s="43"/>
      <c r="M43" s="43"/>
      <c r="N43" s="43"/>
      <c r="O43" s="43"/>
      <c r="P43" s="43"/>
      <c r="Q43" s="43" t="s">
        <v>53</v>
      </c>
      <c r="R43" s="43"/>
      <c r="S43" s="43"/>
    </row>
    <row r="44" spans="4:19" x14ac:dyDescent="0.3">
      <c r="D44" s="8" t="s">
        <v>149</v>
      </c>
      <c r="E44" s="7" t="s">
        <v>73</v>
      </c>
      <c r="F44" t="str">
        <f>IFERROR(VLOOKUP(D44,SPEC001!$B$2:$D$75,2,FALSE),
IFERROR(VLOOKUP(D44,SPEC002!$B$2:$D$77,2,FALSE),
IFERROR(VLOOKUP(D44,SPEC003!$B$2:$D$74,2,FALSE),
IFERROR(VLOOKUP(D44,SPEC004!$B$2:$D$77,2,FALSE),
IFERROR(VLOOKUP(D44,#REF!,2,FALSE), "")))))</f>
        <v/>
      </c>
      <c r="I44" s="43"/>
      <c r="J44" s="43"/>
      <c r="K44" s="43"/>
      <c r="L44" s="43"/>
      <c r="M44" s="43"/>
      <c r="N44" s="43"/>
      <c r="O44" s="43"/>
      <c r="P44" s="43"/>
      <c r="Q44" s="43" t="s">
        <v>187</v>
      </c>
      <c r="R44" s="43"/>
      <c r="S44" s="43"/>
    </row>
    <row r="45" spans="4:19" x14ac:dyDescent="0.3">
      <c r="D45" s="8" t="s">
        <v>121</v>
      </c>
      <c r="E45" s="7" t="s">
        <v>73</v>
      </c>
      <c r="F45" t="str">
        <f>IFERROR(VLOOKUP(D45,SPEC001!$B$2:$D$75,2,FALSE),
IFERROR(VLOOKUP(D45,SPEC002!$B$2:$D$77,2,FALSE),
IFERROR(VLOOKUP(D45,SPEC003!$B$2:$D$74,2,FALSE),
IFERROR(VLOOKUP(D45,SPEC004!$B$2:$D$77,2,FALSE),
IFERROR(VLOOKUP(D45,#REF!,2,FALSE), "")))))</f>
        <v>Ultrasil 7000</v>
      </c>
      <c r="I45" s="43"/>
      <c r="J45" s="43"/>
      <c r="K45" s="43"/>
      <c r="L45" s="43"/>
      <c r="M45" s="43"/>
      <c r="N45" s="43"/>
      <c r="O45" s="43"/>
      <c r="P45" s="43"/>
      <c r="Q45" s="43" t="s">
        <v>52</v>
      </c>
      <c r="R45" s="43"/>
      <c r="S45" s="43"/>
    </row>
    <row r="46" spans="4:19" x14ac:dyDescent="0.3">
      <c r="D46" s="8" t="s">
        <v>150</v>
      </c>
      <c r="E46" s="7" t="s">
        <v>73</v>
      </c>
      <c r="F46" t="str">
        <f>IFERROR(VLOOKUP(D46,SPEC001!$B$2:$D$75,2,FALSE),
IFERROR(VLOOKUP(D46,SPEC002!$B$2:$D$77,2,FALSE),
IFERROR(VLOOKUP(D46,SPEC003!$B$2:$D$74,2,FALSE),
IFERROR(VLOOKUP(D46,SPEC004!$B$2:$D$77,2,FALSE),
IFERROR(VLOOKUP(D46,#REF!,2,FALSE), "")))))</f>
        <v/>
      </c>
      <c r="I46" s="43"/>
      <c r="J46" s="43"/>
      <c r="K46" s="43"/>
      <c r="L46" s="43"/>
      <c r="M46" s="43"/>
      <c r="N46" s="43"/>
      <c r="O46" s="43"/>
      <c r="P46" s="43"/>
      <c r="Q46" s="43" t="s">
        <v>55</v>
      </c>
      <c r="R46" s="43"/>
      <c r="S46" s="43"/>
    </row>
    <row r="47" spans="4:19" x14ac:dyDescent="0.3">
      <c r="D47" s="8"/>
      <c r="F47" t="str">
        <f>IFERROR(VLOOKUP(D47,SPEC001!$B$2:$D$75,2,FALSE),
IFERROR(VLOOKUP(D47,SPEC002!$B$2:$D$77,2,FALSE),
IFERROR(VLOOKUP(D47,SPEC003!$B$2:$D$74,2,FALSE),
IFERROR(VLOOKUP(D47,SPEC004!$B$2:$D$77,2,FALSE),
IFERROR(VLOOKUP(D47,#REF!,2,FALSE), "")))))</f>
        <v/>
      </c>
      <c r="I47" s="43"/>
      <c r="J47" s="43"/>
      <c r="K47" s="43"/>
      <c r="L47" s="43"/>
      <c r="M47" s="43"/>
      <c r="N47" s="43"/>
      <c r="O47" s="43"/>
      <c r="P47" s="43"/>
      <c r="Q47" s="43" t="s">
        <v>169</v>
      </c>
      <c r="R47" s="43"/>
      <c r="S47" s="43"/>
    </row>
    <row r="48" spans="4:19" x14ac:dyDescent="0.3">
      <c r="D48" s="8"/>
      <c r="F48" t="str">
        <f>IFERROR(VLOOKUP(D48,SPEC001!$B$2:$D$75,2,FALSE),
IFERROR(VLOOKUP(D48,SPEC002!$B$2:$D$77,2,FALSE),
IFERROR(VLOOKUP(D48,SPEC003!$B$2:$D$74,2,FALSE),
IFERROR(VLOOKUP(D48,SPEC004!$B$2:$D$77,2,FALSE),
IFERROR(VLOOKUP(D48,#REF!,2,FALSE), "")))))</f>
        <v/>
      </c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</row>
    <row r="49" spans="4:19" x14ac:dyDescent="0.3">
      <c r="D49" s="8"/>
      <c r="F49" t="str">
        <f>IFERROR(VLOOKUP(D49,SPEC001!$B$2:$D$75,2,FALSE),
IFERROR(VLOOKUP(D49,SPEC002!$B$2:$D$77,2,FALSE),
IFERROR(VLOOKUP(D49,SPEC003!$B$2:$D$74,2,FALSE),
IFERROR(VLOOKUP(D49,SPEC004!$B$2:$D$77,2,FALSE),
IFERROR(VLOOKUP(D49,#REF!,2,FALSE), "")))))</f>
        <v/>
      </c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</row>
    <row r="50" spans="4:19" x14ac:dyDescent="0.3">
      <c r="D50" s="10" t="s">
        <v>74</v>
      </c>
      <c r="F50" t="str">
        <f>IFERROR(VLOOKUP(D50,SPEC001!$B$2:$D$75,2,FALSE),
IFERROR(VLOOKUP(D50,SPEC002!$B$2:$D$77,2,FALSE),
IFERROR(VLOOKUP(D50,SPEC003!$B$2:$D$74,2,FALSE),
IFERROR(VLOOKUP(D50,SPEC004!$B$2:$D$77,2,FALSE),
IFERROR(VLOOKUP(D50,#REF!,2,FALSE), "")))))</f>
        <v/>
      </c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</row>
    <row r="51" spans="4:19" x14ac:dyDescent="0.3">
      <c r="D51" s="8"/>
      <c r="F51" t="str">
        <f>IFERROR(VLOOKUP(D51,SPEC001!$B$2:$D$75,2,FALSE),
IFERROR(VLOOKUP(D51,SPEC002!$B$2:$D$77,2,FALSE),
IFERROR(VLOOKUP(D51,SPEC003!$B$2:$D$74,2,FALSE),
IFERROR(VLOOKUP(D51,SPEC004!$B$2:$D$77,2,FALSE),
IFERROR(VLOOKUP(D51,#REF!,2,FALSE), "")))))</f>
        <v/>
      </c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</row>
    <row r="52" spans="4:19" x14ac:dyDescent="0.3">
      <c r="D52" s="10" t="s">
        <v>75</v>
      </c>
      <c r="F52" t="str">
        <f>IFERROR(VLOOKUP(D52,SPEC001!$B$2:$D$75,2,FALSE),
IFERROR(VLOOKUP(D52,SPEC002!$B$2:$D$77,2,FALSE),
IFERROR(VLOOKUP(D52,SPEC003!$B$2:$D$74,2,FALSE),
IFERROR(VLOOKUP(D52,SPEC004!$B$2:$D$77,2,FALSE),
IFERROR(VLOOKUP(D52,#REF!,2,FALSE), "")))))</f>
        <v/>
      </c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</row>
    <row r="53" spans="4:19" x14ac:dyDescent="0.3">
      <c r="D53" s="8" t="s">
        <v>151</v>
      </c>
      <c r="E53" s="10" t="s">
        <v>75</v>
      </c>
      <c r="F53" t="str">
        <f>IFERROR(VLOOKUP(D53,SPEC001!$B$2:$D$75,2,FALSE),
IFERROR(VLOOKUP(D53,SPEC002!$B$2:$D$77,2,FALSE),
IFERROR(VLOOKUP(D53,SPEC003!$B$2:$D$74,2,FALSE),
IFERROR(VLOOKUP(D53,SPEC004!$B$2:$D$77,2,FALSE),
IFERROR(VLOOKUP(D53,#REF!,2,FALSE), "")))))</f>
        <v/>
      </c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</row>
    <row r="54" spans="4:19" x14ac:dyDescent="0.3">
      <c r="D54" s="8" t="s">
        <v>14</v>
      </c>
      <c r="E54" s="10" t="s">
        <v>75</v>
      </c>
      <c r="F54" t="str">
        <f>IFERROR(VLOOKUP(D54,SPEC001!$B$2:$D$75,2,FALSE),
IFERROR(VLOOKUP(D54,SPEC002!$B$2:$D$77,2,FALSE),
IFERROR(VLOOKUP(D54,SPEC003!$B$2:$D$74,2,FALSE),
IFERROR(VLOOKUP(D54,SPEC004!$B$2:$D$77,2,FALSE),
IFERROR(VLOOKUP(D54,#REF!,2,FALSE), "")))))</f>
        <v>TDAE OIL</v>
      </c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</row>
    <row r="55" spans="4:19" x14ac:dyDescent="0.3">
      <c r="D55" s="8" t="s">
        <v>152</v>
      </c>
      <c r="E55" s="10" t="s">
        <v>75</v>
      </c>
      <c r="F55" t="str">
        <f>IFERROR(VLOOKUP(D55,SPEC001!$B$2:$D$75,2,FALSE),
IFERROR(VLOOKUP(D55,SPEC002!$B$2:$D$77,2,FALSE),
IFERROR(VLOOKUP(D55,SPEC003!$B$2:$D$74,2,FALSE),
IFERROR(VLOOKUP(D55,SPEC004!$B$2:$D$77,2,FALSE),
IFERROR(VLOOKUP(D55,#REF!,2,FALSE), "")))))</f>
        <v/>
      </c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</row>
    <row r="56" spans="4:19" x14ac:dyDescent="0.3">
      <c r="D56" s="8"/>
      <c r="F56" t="str">
        <f>IFERROR(VLOOKUP(D56,SPEC001!$B$2:$D$75,2,FALSE),
IFERROR(VLOOKUP(D56,SPEC002!$B$2:$D$77,2,FALSE),
IFERROR(VLOOKUP(D56,SPEC003!$B$2:$D$74,2,FALSE),
IFERROR(VLOOKUP(D56,SPEC004!$B$2:$D$77,2,FALSE),
IFERROR(VLOOKUP(D56,#REF!,2,FALSE), "")))))</f>
        <v/>
      </c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</row>
    <row r="57" spans="4:19" x14ac:dyDescent="0.3">
      <c r="D57" s="10" t="s">
        <v>76</v>
      </c>
      <c r="F57" t="str">
        <f>IFERROR(VLOOKUP(D57,SPEC001!$B$2:$D$75,2,FALSE),
IFERROR(VLOOKUP(D57,SPEC002!$B$2:$D$77,2,FALSE),
IFERROR(VLOOKUP(D57,SPEC003!$B$2:$D$74,2,FALSE),
IFERROR(VLOOKUP(D57,SPEC004!$B$2:$D$77,2,FALSE),
IFERROR(VLOOKUP(D57,#REF!,2,FALSE), "")))))</f>
        <v/>
      </c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</row>
    <row r="58" spans="4:19" x14ac:dyDescent="0.3">
      <c r="D58" s="8"/>
      <c r="F58" t="str">
        <f>IFERROR(VLOOKUP(D58,SPEC001!$B$2:$D$75,2,FALSE),
IFERROR(VLOOKUP(D58,SPEC002!$B$2:$D$77,2,FALSE),
IFERROR(VLOOKUP(D58,SPEC003!$B$2:$D$74,2,FALSE),
IFERROR(VLOOKUP(D58,SPEC004!$B$2:$D$77,2,FALSE),
IFERROR(VLOOKUP(D58,#REF!,2,FALSE), "")))))</f>
        <v/>
      </c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</row>
    <row r="59" spans="4:19" x14ac:dyDescent="0.3">
      <c r="D59" s="10" t="s">
        <v>78</v>
      </c>
      <c r="F59" t="str">
        <f>IFERROR(VLOOKUP(D59,SPEC001!$B$2:$D$75,2,FALSE),
IFERROR(VLOOKUP(D59,SPEC002!$B$2:$D$77,2,FALSE),
IFERROR(VLOOKUP(D59,SPEC003!$B$2:$D$74,2,FALSE),
IFERROR(VLOOKUP(D59,SPEC004!$B$2:$D$77,2,FALSE),
IFERROR(VLOOKUP(D59,#REF!,2,FALSE), "")))))</f>
        <v/>
      </c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</row>
    <row r="60" spans="4:19" x14ac:dyDescent="0.3">
      <c r="D60" s="8" t="s">
        <v>61</v>
      </c>
      <c r="E60" s="10" t="s">
        <v>78</v>
      </c>
      <c r="F60" t="str">
        <f>IFERROR(VLOOKUP(D60,SPEC001!$B$2:$D$75,2,FALSE),
IFERROR(VLOOKUP(D60,SPEC002!$B$2:$D$77,2,FALSE),
IFERROR(VLOOKUP(D60,SPEC003!$B$2:$D$74,2,FALSE),
IFERROR(VLOOKUP(D60,SPEC004!$B$2:$D$77,2,FALSE),
IFERROR(VLOOKUP(D60,#REF!,2,FALSE), "")))))</f>
        <v>STEARIC ACID</v>
      </c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</row>
    <row r="61" spans="4:19" x14ac:dyDescent="0.3">
      <c r="D61" s="8" t="s">
        <v>129</v>
      </c>
      <c r="E61" s="10" t="s">
        <v>78</v>
      </c>
      <c r="F61" t="str">
        <f>IFERROR(VLOOKUP(D61,SPEC001!$B$2:$D$75,2,FALSE),
IFERROR(VLOOKUP(D61,SPEC002!$B$2:$D$77,2,FALSE),
IFERROR(VLOOKUP(D61,SPEC003!$B$2:$D$74,2,FALSE),
IFERROR(VLOOKUP(D61,SPEC004!$B$2:$D$77,2,FALSE),
IFERROR(VLOOKUP(D61,#REF!,2,FALSE), "")))))</f>
        <v>Sylvatraxx 6720</v>
      </c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</row>
    <row r="62" spans="4:19" x14ac:dyDescent="0.3">
      <c r="D62" s="8"/>
      <c r="F62" t="str">
        <f>IFERROR(VLOOKUP(D62,SPEC001!$B$2:$D$75,2,FALSE),
IFERROR(VLOOKUP(D62,SPEC002!$B$2:$D$77,2,FALSE),
IFERROR(VLOOKUP(D62,SPEC003!$B$2:$D$74,2,FALSE),
IFERROR(VLOOKUP(D62,SPEC004!$B$2:$D$77,2,FALSE),
IFERROR(VLOOKUP(D62,#REF!,2,FALSE), "")))))</f>
        <v/>
      </c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</row>
    <row r="63" spans="4:19" x14ac:dyDescent="0.3">
      <c r="D63" s="10" t="s">
        <v>77</v>
      </c>
      <c r="F63" t="str">
        <f>IFERROR(VLOOKUP(D63,SPEC001!$B$2:$D$75,2,FALSE),
IFERROR(VLOOKUP(D63,SPEC002!$B$2:$D$77,2,FALSE),
IFERROR(VLOOKUP(D63,SPEC003!$B$2:$D$74,2,FALSE),
IFERROR(VLOOKUP(D63,SPEC004!$B$2:$D$77,2,FALSE),
IFERROR(VLOOKUP(D63,#REF!,2,FALSE), "")))))</f>
        <v/>
      </c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</row>
    <row r="64" spans="4:19" x14ac:dyDescent="0.3">
      <c r="D64" s="8" t="s">
        <v>60</v>
      </c>
      <c r="E64" s="10" t="s">
        <v>77</v>
      </c>
      <c r="F64" t="str">
        <f>IFERROR(VLOOKUP(D64,SPEC001!$B$2:$D$75,2,FALSE),
IFERROR(VLOOKUP(D64,SPEC002!$B$2:$D$77,2,FALSE),
IFERROR(VLOOKUP(D64,SPEC003!$B$2:$D$74,2,FALSE),
IFERROR(VLOOKUP(D64,SPEC004!$B$2:$D$77,2,FALSE),
IFERROR(VLOOKUP(D64,#REF!,2,FALSE), "")))))</f>
        <v>ZINC OXIDE</v>
      </c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</row>
    <row r="65" spans="4:19" x14ac:dyDescent="0.3">
      <c r="D65" s="8" t="s">
        <v>153</v>
      </c>
      <c r="E65" s="10" t="s">
        <v>77</v>
      </c>
      <c r="F65" t="str">
        <f>IFERROR(VLOOKUP(D65,SPEC001!$B$2:$D$75,2,FALSE),
IFERROR(VLOOKUP(D65,SPEC002!$B$2:$D$77,2,FALSE),
IFERROR(VLOOKUP(D65,SPEC003!$B$2:$D$74,2,FALSE),
IFERROR(VLOOKUP(D65,SPEC004!$B$2:$D$77,2,FALSE),
IFERROR(VLOOKUP(D65,#REF!,2,FALSE), "")))))</f>
        <v/>
      </c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</row>
    <row r="66" spans="4:19" x14ac:dyDescent="0.3">
      <c r="D66" s="8" t="s">
        <v>154</v>
      </c>
      <c r="E66" s="10" t="s">
        <v>77</v>
      </c>
      <c r="F66" t="str">
        <f>IFERROR(VLOOKUP(D66,SPEC001!$B$2:$D$75,2,FALSE),
IFERROR(VLOOKUP(D66,SPEC002!$B$2:$D$77,2,FALSE),
IFERROR(VLOOKUP(D66,SPEC003!$B$2:$D$74,2,FALSE),
IFERROR(VLOOKUP(D66,SPEC004!$B$2:$D$77,2,FALSE),
IFERROR(VLOOKUP(D66,#REF!,2,FALSE), "")))))</f>
        <v/>
      </c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</row>
    <row r="67" spans="4:19" x14ac:dyDescent="0.3">
      <c r="D67" s="8" t="s">
        <v>114</v>
      </c>
      <c r="E67" s="10" t="s">
        <v>77</v>
      </c>
      <c r="F67" t="str">
        <f>IFERROR(VLOOKUP(D67,SPEC001!$B$2:$D$75,2,FALSE),
IFERROR(VLOOKUP(D67,SPEC002!$B$2:$D$77,2,FALSE),
IFERROR(VLOOKUP(D67,SPEC003!$B$2:$D$74,2,FALSE),
IFERROR(VLOOKUP(D67,SPEC004!$B$2:$D$77,2,FALSE),
IFERROR(VLOOKUP(D67,#REF!,2,FALSE), "")))))</f>
        <v>CBS</v>
      </c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</row>
    <row r="68" spans="4:19" x14ac:dyDescent="0.3">
      <c r="D68" s="8" t="s">
        <v>116</v>
      </c>
      <c r="E68" s="10" t="s">
        <v>77</v>
      </c>
      <c r="F68" t="str">
        <f>IFERROR(VLOOKUP(D68,SPEC001!$B$2:$D$75,2,FALSE),
IFERROR(VLOOKUP(D68,SPEC002!$B$2:$D$77,2,FALSE),
IFERROR(VLOOKUP(D68,SPEC003!$B$2:$D$74,2,FALSE),
IFERROR(VLOOKUP(D68,SPEC004!$B$2:$D$77,2,FALSE),
IFERROR(VLOOKUP(D68,#REF!,2,FALSE), "")))))</f>
        <v>DPG</v>
      </c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</row>
    <row r="69" spans="4:19" x14ac:dyDescent="0.3">
      <c r="D69" s="8" t="s">
        <v>62</v>
      </c>
      <c r="E69" s="10" t="s">
        <v>77</v>
      </c>
      <c r="F69" t="str">
        <f>IFERROR(VLOOKUP(D69,SPEC001!$B$2:$D$75,2,FALSE),
IFERROR(VLOOKUP(D69,SPEC002!$B$2:$D$77,2,FALSE),
IFERROR(VLOOKUP(D69,SPEC003!$B$2:$D$74,2,FALSE),
IFERROR(VLOOKUP(D69,SPEC004!$B$2:$D$77,2,FALSE),
IFERROR(VLOOKUP(D69,#REF!,2,FALSE), "")))))</f>
        <v>MBTS</v>
      </c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</row>
    <row r="70" spans="4:19" x14ac:dyDescent="0.3">
      <c r="D70" s="8" t="s">
        <v>48</v>
      </c>
      <c r="E70" s="10" t="s">
        <v>77</v>
      </c>
      <c r="F70" t="str">
        <f>IFERROR(VLOOKUP(D70,SPEC001!$B$2:$D$75,2,FALSE),
IFERROR(VLOOKUP(D70,SPEC002!$B$2:$D$77,2,FALSE),
IFERROR(VLOOKUP(D70,SPEC003!$B$2:$D$74,2,FALSE),
IFERROR(VLOOKUP(D70,SPEC004!$B$2:$D$77,2,FALSE),
IFERROR(VLOOKUP(D70,#REF!,2,FALSE), "")))))</f>
        <v>DCBS</v>
      </c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</row>
    <row r="71" spans="4:19" x14ac:dyDescent="0.3">
      <c r="D71" s="8" t="s">
        <v>63</v>
      </c>
      <c r="E71" s="10" t="s">
        <v>77</v>
      </c>
      <c r="F71" t="str">
        <f>IFERROR(VLOOKUP(D71,SPEC001!$B$2:$D$75,2,FALSE),
IFERROR(VLOOKUP(D71,SPEC002!$B$2:$D$77,2,FALSE),
IFERROR(VLOOKUP(D71,SPEC003!$B$2:$D$74,2,FALSE),
IFERROR(VLOOKUP(D71,SPEC004!$B$2:$D$77,2,FALSE),
IFERROR(VLOOKUP(D71,#REF!,2,FALSE), "")))))</f>
        <v>TBBS</v>
      </c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</row>
    <row r="72" spans="4:19" x14ac:dyDescent="0.3">
      <c r="D72" s="8" t="s">
        <v>131</v>
      </c>
      <c r="E72" s="10" t="s">
        <v>77</v>
      </c>
      <c r="F72" t="str">
        <f>IFERROR(VLOOKUP(D72,SPEC001!$B$2:$D$75,2,FALSE),
IFERROR(VLOOKUP(D72,SPEC002!$B$2:$D$77,2,FALSE),
IFERROR(VLOOKUP(D72,SPEC003!$B$2:$D$74,2,FALSE),
IFERROR(VLOOKUP(D72,SPEC004!$B$2:$D$77,2,FALSE),
IFERROR(VLOOKUP(D72,#REF!,2,FALSE), "")))))</f>
        <v>RHENOGRAN HEXA-80</v>
      </c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</row>
    <row r="73" spans="4:19" x14ac:dyDescent="0.3">
      <c r="D73" s="8" t="s">
        <v>155</v>
      </c>
      <c r="E73" s="10" t="s">
        <v>77</v>
      </c>
      <c r="F73" t="str">
        <f>IFERROR(VLOOKUP(D73,SPEC001!$B$2:$D$75,2,FALSE),
IFERROR(VLOOKUP(D73,SPEC002!$B$2:$D$77,2,FALSE),
IFERROR(VLOOKUP(D73,SPEC003!$B$2:$D$74,2,FALSE),
IFERROR(VLOOKUP(D73,SPEC004!$B$2:$D$77,2,FALSE),
IFERROR(VLOOKUP(D73,#REF!,2,FALSE), "")))))</f>
        <v/>
      </c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</row>
    <row r="74" spans="4:19" x14ac:dyDescent="0.3">
      <c r="D74" s="8" t="s">
        <v>156</v>
      </c>
      <c r="E74" s="10" t="s">
        <v>77</v>
      </c>
      <c r="F74" t="str">
        <f>IFERROR(VLOOKUP(D74,SPEC001!$B$2:$D$75,2,FALSE),
IFERROR(VLOOKUP(D74,SPEC002!$B$2:$D$77,2,FALSE),
IFERROR(VLOOKUP(D74,SPEC003!$B$2:$D$74,2,FALSE),
IFERROR(VLOOKUP(D74,SPEC004!$B$2:$D$77,2,FALSE),
IFERROR(VLOOKUP(D74,#REF!,2,FALSE), "")))))</f>
        <v/>
      </c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</row>
    <row r="75" spans="4:19" x14ac:dyDescent="0.3">
      <c r="D75" s="8" t="s">
        <v>64</v>
      </c>
      <c r="E75" s="10" t="s">
        <v>77</v>
      </c>
      <c r="F75" t="str">
        <f>IFERROR(VLOOKUP(D75,SPEC001!$B$2:$D$75,2,FALSE),
IFERROR(VLOOKUP(D75,SPEC002!$B$2:$D$77,2,FALSE),
IFERROR(VLOOKUP(D75,SPEC003!$B$2:$D$74,2,FALSE),
IFERROR(VLOOKUP(D75,SPEC004!$B$2:$D$77,2,FALSE),
IFERROR(VLOOKUP(D75,#REF!,2,FALSE), "")))))</f>
        <v>6PPD</v>
      </c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</row>
    <row r="76" spans="4:19" x14ac:dyDescent="0.3">
      <c r="D76" s="8" t="s">
        <v>24</v>
      </c>
      <c r="E76" s="10" t="s">
        <v>77</v>
      </c>
      <c r="F76" t="str">
        <f>IFERROR(VLOOKUP(D76,SPEC001!$B$2:$D$75,2,FALSE),
IFERROR(VLOOKUP(D76,SPEC002!$B$2:$D$77,2,FALSE),
IFERROR(VLOOKUP(D76,SPEC003!$B$2:$D$74,2,FALSE),
IFERROR(VLOOKUP(D76,SPEC004!$B$2:$D$77,2,FALSE),
IFERROR(VLOOKUP(D76,#REF!,2,FALSE), "")))))</f>
        <v>TMQ</v>
      </c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</row>
    <row r="77" spans="4:19" x14ac:dyDescent="0.3">
      <c r="D77" s="8" t="s">
        <v>34</v>
      </c>
      <c r="E77" s="10" t="s">
        <v>77</v>
      </c>
      <c r="F77" t="str">
        <f>IFERROR(VLOOKUP(D77,SPEC001!$B$2:$D$75,2,FALSE),
IFERROR(VLOOKUP(D77,SPEC002!$B$2:$D$77,2,FALSE),
IFERROR(VLOOKUP(D77,SPEC003!$B$2:$D$74,2,FALSE),
IFERROR(VLOOKUP(D77,SPEC004!$B$2:$D$77,2,FALSE),
IFERROR(VLOOKUP(D77,#REF!,2,FALSE), "")))))</f>
        <v>OKERIN 2122 H</v>
      </c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</row>
    <row r="78" spans="4:19" x14ac:dyDescent="0.3">
      <c r="D78" s="8" t="s">
        <v>157</v>
      </c>
      <c r="E78" s="10" t="s">
        <v>77</v>
      </c>
      <c r="F78" t="str">
        <f>IFERROR(VLOOKUP(D78,SPEC001!$B$2:$D$75,2,FALSE),
IFERROR(VLOOKUP(D78,SPEC002!$B$2:$D$77,2,FALSE),
IFERROR(VLOOKUP(D78,SPEC003!$B$2:$D$74,2,FALSE),
IFERROR(VLOOKUP(D78,SPEC004!$B$2:$D$77,2,FALSE),
IFERROR(VLOOKUP(D78,#REF!,2,FALSE), "")))))</f>
        <v/>
      </c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</row>
    <row r="79" spans="4:19" x14ac:dyDescent="0.3">
      <c r="D79" s="8" t="s">
        <v>158</v>
      </c>
      <c r="E79" s="10" t="s">
        <v>77</v>
      </c>
      <c r="F79" t="str">
        <f>IFERROR(VLOOKUP(D79,SPEC001!$B$2:$D$75,2,FALSE),
IFERROR(VLOOKUP(D79,SPEC002!$B$2:$D$77,2,FALSE),
IFERROR(VLOOKUP(D79,SPEC003!$B$2:$D$74,2,FALSE),
IFERROR(VLOOKUP(D79,SPEC004!$B$2:$D$77,2,FALSE),
IFERROR(VLOOKUP(D79,#REF!,2,FALSE), "")))))</f>
        <v/>
      </c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</row>
    <row r="80" spans="4:19" x14ac:dyDescent="0.3">
      <c r="D80" s="8" t="s">
        <v>159</v>
      </c>
      <c r="E80" s="10" t="s">
        <v>77</v>
      </c>
      <c r="F80" t="str">
        <f>IFERROR(VLOOKUP(D80,SPEC001!$B$2:$D$75,2,FALSE),
IFERROR(VLOOKUP(D80,SPEC002!$B$2:$D$77,2,FALSE),
IFERROR(VLOOKUP(D80,SPEC003!$B$2:$D$74,2,FALSE),
IFERROR(VLOOKUP(D80,SPEC004!$B$2:$D$77,2,FALSE),
IFERROR(VLOOKUP(D80,#REF!,2,FALSE), "")))))</f>
        <v/>
      </c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</row>
    <row r="81" spans="4:19" x14ac:dyDescent="0.3">
      <c r="D81" s="8" t="s">
        <v>160</v>
      </c>
      <c r="E81" s="10" t="s">
        <v>77</v>
      </c>
      <c r="F81" t="str">
        <f>IFERROR(VLOOKUP(D81,SPEC001!$B$2:$D$75,2,FALSE),
IFERROR(VLOOKUP(D81,SPEC002!$B$2:$D$77,2,FALSE),
IFERROR(VLOOKUP(D81,SPEC003!$B$2:$D$74,2,FALSE),
IFERROR(VLOOKUP(D81,SPEC004!$B$2:$D$77,2,FALSE),
IFERROR(VLOOKUP(D81,#REF!,2,FALSE), "")))))</f>
        <v/>
      </c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</row>
    <row r="82" spans="4:19" x14ac:dyDescent="0.3">
      <c r="D82" s="8" t="s">
        <v>50</v>
      </c>
      <c r="E82" s="10" t="s">
        <v>77</v>
      </c>
      <c r="F82" t="str">
        <f>IFERROR(VLOOKUP(D82,SPEC001!$B$2:$D$75,2,FALSE),
IFERROR(VLOOKUP(D82,SPEC002!$B$2:$D$77,2,FALSE),
IFERROR(VLOOKUP(D82,SPEC003!$B$2:$D$74,2,FALSE),
IFERROR(VLOOKUP(D82,SPEC004!$B$2:$D$77,2,FALSE),
IFERROR(VLOOKUP(D82,#REF!,2,FALSE), "")))))</f>
        <v>OKERIN 15001 H</v>
      </c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</row>
    <row r="83" spans="4:19" x14ac:dyDescent="0.3">
      <c r="D83" s="8" t="s">
        <v>161</v>
      </c>
      <c r="E83" s="10" t="s">
        <v>77</v>
      </c>
      <c r="F83" t="str">
        <f>IFERROR(VLOOKUP(D83,SPEC001!$B$2:$D$75,2,FALSE),
IFERROR(VLOOKUP(D83,SPEC002!$B$2:$D$77,2,FALSE),
IFERROR(VLOOKUP(D83,SPEC003!$B$2:$D$74,2,FALSE),
IFERROR(VLOOKUP(D83,SPEC004!$B$2:$D$77,2,FALSE),
IFERROR(VLOOKUP(D83,#REF!,2,FALSE), "")))))</f>
        <v/>
      </c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</row>
    <row r="84" spans="4:19" x14ac:dyDescent="0.3">
      <c r="D84" s="8" t="s">
        <v>162</v>
      </c>
      <c r="E84" s="10" t="s">
        <v>77</v>
      </c>
      <c r="F84" t="str">
        <f>IFERROR(VLOOKUP(D84,SPEC001!$B$2:$D$75,2,FALSE),
IFERROR(VLOOKUP(D84,SPEC002!$B$2:$D$77,2,FALSE),
IFERROR(VLOOKUP(D84,SPEC003!$B$2:$D$74,2,FALSE),
IFERROR(VLOOKUP(D84,SPEC004!$B$2:$D$77,2,FALSE),
IFERROR(VLOOKUP(D84,#REF!,2,FALSE), "")))))</f>
        <v/>
      </c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</row>
    <row r="85" spans="4:19" x14ac:dyDescent="0.3">
      <c r="D85" s="8" t="s">
        <v>7</v>
      </c>
      <c r="E85" s="10" t="s">
        <v>77</v>
      </c>
      <c r="F85" t="str">
        <f>IFERROR(VLOOKUP(D85,SPEC001!$B$2:$D$75,2,FALSE),
IFERROR(VLOOKUP(D85,SPEC002!$B$2:$D$77,2,FALSE),
IFERROR(VLOOKUP(D85,SPEC003!$B$2:$D$74,2,FALSE),
IFERROR(VLOOKUP(D85,SPEC004!$B$2:$D$77,2,FALSE),
IFERROR(VLOOKUP(D85,#REF!,2,FALSE), "")))))</f>
        <v>SULFUR</v>
      </c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</row>
    <row r="86" spans="4:19" x14ac:dyDescent="0.3">
      <c r="D86" s="8" t="s">
        <v>27</v>
      </c>
      <c r="E86" s="10" t="s">
        <v>77</v>
      </c>
      <c r="F86" t="str">
        <f>IFERROR(VLOOKUP(D86,SPEC001!$B$2:$D$75,2,FALSE),
IFERROR(VLOOKUP(D86,SPEC002!$B$2:$D$77,2,FALSE),
IFERROR(VLOOKUP(D86,SPEC003!$B$2:$D$74,2,FALSE),
IFERROR(VLOOKUP(D86,SPEC004!$B$2:$D$77,2,FALSE),
IFERROR(VLOOKUP(D86,#REF!,2,FALSE), "")))))</f>
        <v>CRYSTEX OT 20%</v>
      </c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</row>
    <row r="87" spans="4:19" x14ac:dyDescent="0.3">
      <c r="D87" s="8" t="s">
        <v>163</v>
      </c>
      <c r="E87" s="10" t="s">
        <v>77</v>
      </c>
      <c r="F87" t="str">
        <f>IFERROR(VLOOKUP(D87,SPEC001!$B$2:$D$75,2,FALSE),
IFERROR(VLOOKUP(D87,SPEC002!$B$2:$D$77,2,FALSE),
IFERROR(VLOOKUP(D87,SPEC003!$B$2:$D$74,2,FALSE),
IFERROR(VLOOKUP(D87,SPEC004!$B$2:$D$77,2,FALSE),
IFERROR(VLOOKUP(D87,#REF!,2,FALSE), "")))))</f>
        <v/>
      </c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</row>
    <row r="88" spans="4:19" x14ac:dyDescent="0.3">
      <c r="D88" s="8" t="s">
        <v>164</v>
      </c>
      <c r="E88" s="10" t="s">
        <v>77</v>
      </c>
      <c r="F88" t="str">
        <f>IFERROR(VLOOKUP(D88,SPEC001!$B$2:$D$75,2,FALSE),
IFERROR(VLOOKUP(D88,SPEC002!$B$2:$D$77,2,FALSE),
IFERROR(VLOOKUP(D88,SPEC003!$B$2:$D$74,2,FALSE),
IFERROR(VLOOKUP(D88,SPEC004!$B$2:$D$77,2,FALSE),
IFERROR(VLOOKUP(D88,#REF!,2,FALSE), "")))))</f>
        <v/>
      </c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</row>
    <row r="89" spans="4:19" x14ac:dyDescent="0.3">
      <c r="D89" s="8" t="s">
        <v>165</v>
      </c>
      <c r="E89" s="10" t="s">
        <v>77</v>
      </c>
      <c r="F89" t="str">
        <f>IFERROR(VLOOKUP(D89,SPEC001!$B$2:$D$75,2,FALSE),
IFERROR(VLOOKUP(D89,SPEC002!$B$2:$D$77,2,FALSE),
IFERROR(VLOOKUP(D89,SPEC003!$B$2:$D$74,2,FALSE),
IFERROR(VLOOKUP(D89,SPEC004!$B$2:$D$77,2,FALSE),
IFERROR(VLOOKUP(D89,#REF!,2,FALSE), "")))))</f>
        <v>SUMIKANOL 620</v>
      </c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</row>
    <row r="90" spans="4:19" x14ac:dyDescent="0.3">
      <c r="D90" s="8" t="s">
        <v>166</v>
      </c>
      <c r="E90" s="10" t="s">
        <v>77</v>
      </c>
      <c r="F90" t="str">
        <f>IFERROR(VLOOKUP(D90,SPEC001!$B$2:$D$75,2,FALSE),
IFERROR(VLOOKUP(D90,SPEC002!$B$2:$D$77,2,FALSE),
IFERROR(VLOOKUP(D90,SPEC003!$B$2:$D$74,2,FALSE),
IFERROR(VLOOKUP(D90,SPEC004!$B$2:$D$77,2,FALSE),
IFERROR(VLOOKUP(D90,#REF!,2,FALSE), "")))))</f>
        <v>SUMIKANOL-507</v>
      </c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</row>
    <row r="91" spans="4:19" x14ac:dyDescent="0.3">
      <c r="D91" s="8" t="s">
        <v>135</v>
      </c>
      <c r="E91" s="10" t="s">
        <v>77</v>
      </c>
      <c r="F91" t="str">
        <f>IFERROR(VLOOKUP(D91,SPEC001!$B$2:$D$75,2,FALSE),
IFERROR(VLOOKUP(D91,SPEC002!$B$2:$D$77,2,FALSE),
IFERROR(VLOOKUP(D91,SPEC003!$B$2:$D$74,2,FALSE),
IFERROR(VLOOKUP(D91,SPEC004!$B$2:$D$77,2,FALSE),
IFERROR(VLOOKUP(D91,#REF!,2,FALSE), "")))))</f>
        <v>SP-6700</v>
      </c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</row>
    <row r="92" spans="4:19" x14ac:dyDescent="0.3">
      <c r="D92" s="8" t="s">
        <v>123</v>
      </c>
      <c r="E92" s="10" t="s">
        <v>77</v>
      </c>
      <c r="F92" t="str">
        <f>IFERROR(VLOOKUP(D92,SPEC001!$B$2:$D$75,2,FALSE),
IFERROR(VLOOKUP(D92,SPEC002!$B$2:$D$77,2,FALSE),
IFERROR(VLOOKUP(D92,SPEC003!$B$2:$D$74,2,FALSE),
IFERROR(VLOOKUP(D92,SPEC004!$B$2:$D$77,2,FALSE),
IFERROR(VLOOKUP(D92,#REF!,2,FALSE), "")))))</f>
        <v>AKTIPLAST ST</v>
      </c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</row>
    <row r="93" spans="4:19" x14ac:dyDescent="0.3">
      <c r="D93" s="8" t="s">
        <v>125</v>
      </c>
      <c r="E93" s="10" t="s">
        <v>77</v>
      </c>
      <c r="F93" t="str">
        <f>IFERROR(VLOOKUP(D93,SPEC001!$B$2:$D$75,2,FALSE),
IFERROR(VLOOKUP(D93,SPEC002!$B$2:$D$77,2,FALSE),
IFERROR(VLOOKUP(D93,SPEC003!$B$2:$D$74,2,FALSE),
IFERROR(VLOOKUP(D93,SPEC004!$B$2:$D$77,2,FALSE),
IFERROR(VLOOKUP(D93,#REF!,2,FALSE), "")))))</f>
        <v>X 50 S</v>
      </c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</row>
    <row r="94" spans="4:19" x14ac:dyDescent="0.3">
      <c r="D94" s="8" t="s">
        <v>167</v>
      </c>
      <c r="E94" s="10" t="s">
        <v>77</v>
      </c>
      <c r="F94" t="str">
        <f>IFERROR(VLOOKUP(D94,SPEC001!$B$2:$D$75,2,FALSE),
IFERROR(VLOOKUP(D94,SPEC002!$B$2:$D$77,2,FALSE),
IFERROR(VLOOKUP(D94,SPEC003!$B$2:$D$74,2,FALSE),
IFERROR(VLOOKUP(D94,SPEC004!$B$2:$D$77,2,FALSE),
IFERROR(VLOOKUP(D94,#REF!,2,FALSE), "")))))</f>
        <v/>
      </c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</row>
    <row r="95" spans="4:19" x14ac:dyDescent="0.3">
      <c r="D95" s="8" t="s">
        <v>65</v>
      </c>
      <c r="E95" s="10" t="s">
        <v>77</v>
      </c>
      <c r="F95" t="str">
        <f>IFERROR(VLOOKUP(D95,SPEC001!$B$2:$D$75,2,FALSE),
IFERROR(VLOOKUP(D95,SPEC002!$B$2:$D$77,2,FALSE),
IFERROR(VLOOKUP(D95,SPEC003!$B$2:$D$74,2,FALSE),
IFERROR(VLOOKUP(D95,SPEC004!$B$2:$D$77,2,FALSE),
IFERROR(VLOOKUP(D95,#REF!,2,FALSE), "")))))</f>
        <v>ULTRABEND 4000</v>
      </c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</row>
    <row r="96" spans="4:19" x14ac:dyDescent="0.3">
      <c r="D96" s="8" t="s">
        <v>41</v>
      </c>
      <c r="E96" s="10" t="s">
        <v>77</v>
      </c>
      <c r="F96" t="str">
        <f>IFERROR(VLOOKUP(D96,SPEC001!$B$2:$D$75,2,FALSE),
IFERROR(VLOOKUP(D96,SPEC002!$B$2:$D$77,2,FALSE),
IFERROR(VLOOKUP(D96,SPEC003!$B$2:$D$74,2,FALSE),
IFERROR(VLOOKUP(D96,SPEC004!$B$2:$D$77,2,FALSE),
IFERROR(VLOOKUP(D96,#REF!,2,FALSE), "")))))</f>
        <v>RENACIT-11</v>
      </c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</row>
    <row r="97" spans="4:19" x14ac:dyDescent="0.3">
      <c r="D97" s="8" t="s">
        <v>42</v>
      </c>
      <c r="E97" s="10" t="s">
        <v>77</v>
      </c>
      <c r="F97" t="str">
        <f>IFERROR(VLOOKUP(D97,SPEC001!$B$2:$D$75,2,FALSE),
IFERROR(VLOOKUP(D97,SPEC002!$B$2:$D$77,2,FALSE),
IFERROR(VLOOKUP(D97,SPEC003!$B$2:$D$74,2,FALSE),
IFERROR(VLOOKUP(D97,SPEC004!$B$2:$D$77,2,FALSE),
IFERROR(VLOOKUP(D97,#REF!,2,FALSE), "")))))</f>
        <v>Struktol HT105</v>
      </c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</row>
    <row r="98" spans="4:19" x14ac:dyDescent="0.3">
      <c r="D98" s="8" t="s">
        <v>29</v>
      </c>
      <c r="E98" s="10" t="s">
        <v>77</v>
      </c>
      <c r="F98" t="str">
        <f>IFERROR(VLOOKUP(D98,SPEC001!$B$2:$D$75,2,FALSE),
IFERROR(VLOOKUP(D98,SPEC002!$B$2:$D$77,2,FALSE),
IFERROR(VLOOKUP(D98,SPEC003!$B$2:$D$74,2,FALSE),
IFERROR(VLOOKUP(D98,SPEC004!$B$2:$D$77,2,FALSE),
IFERROR(VLOOKUP(D98,#REF!,2,FALSE), "")))))</f>
        <v>PVI</v>
      </c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</row>
    <row r="99" spans="4:19" x14ac:dyDescent="0.3">
      <c r="D99" s="8" t="s">
        <v>16</v>
      </c>
      <c r="E99" s="10" t="s">
        <v>77</v>
      </c>
      <c r="F99" t="str">
        <f>IFERROR(VLOOKUP(D99,SPEC001!$B$2:$D$75,2,FALSE),
IFERROR(VLOOKUP(D99,SPEC002!$B$2:$D$77,2,FALSE),
IFERROR(VLOOKUP(D99,SPEC003!$B$2:$D$74,2,FALSE),
IFERROR(VLOOKUP(D99,SPEC004!$B$2:$D$77,2,FALSE),
IFERROR(VLOOKUP(D99,#REF!,2,FALSE), "")))))</f>
        <v>Magnesium Oxide (MgO)</v>
      </c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</row>
    <row r="100" spans="4:19" x14ac:dyDescent="0.3">
      <c r="D100" s="8" t="s">
        <v>168</v>
      </c>
      <c r="E100" s="10" t="s">
        <v>77</v>
      </c>
      <c r="F100" t="str">
        <f>IFERROR(VLOOKUP(D100,SPEC001!$B$2:$D$75,2,FALSE),
IFERROR(VLOOKUP(D100,SPEC002!$B$2:$D$77,2,FALSE),
IFERROR(VLOOKUP(D100,SPEC003!$B$2:$D$74,2,FALSE),
IFERROR(VLOOKUP(D100,SPEC004!$B$2:$D$77,2,FALSE),
IFERROR(VLOOKUP(D100,#REF!,2,FALSE), "")))))</f>
        <v/>
      </c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</row>
    <row r="101" spans="4:19" x14ac:dyDescent="0.3">
      <c r="D101" s="8" t="s">
        <v>18</v>
      </c>
      <c r="E101" s="10" t="s">
        <v>77</v>
      </c>
      <c r="F101" t="str">
        <f>IFERROR(VLOOKUP(D101,SPEC001!$B$2:$D$75,2,FALSE),
IFERROR(VLOOKUP(D101,SPEC002!$B$2:$D$77,2,FALSE),
IFERROR(VLOOKUP(D101,SPEC003!$B$2:$D$74,2,FALSE),
IFERROR(VLOOKUP(D101,SPEC004!$B$2:$D$77,2,FALSE),
IFERROR(VLOOKUP(D101,#REF!,2,FALSE), "")))))</f>
        <v>ESCOREZ-1102</v>
      </c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</row>
    <row r="102" spans="4:19" x14ac:dyDescent="0.3">
      <c r="D102" s="8" t="s">
        <v>45</v>
      </c>
      <c r="E102" s="10" t="s">
        <v>77</v>
      </c>
      <c r="F102" t="str">
        <f>IFERROR(VLOOKUP(D102,SPEC001!$B$2:$D$75,2,FALSE),
IFERROR(VLOOKUP(D102,SPEC002!$B$2:$D$77,2,FALSE),
IFERROR(VLOOKUP(D102,SPEC003!$B$2:$D$74,2,FALSE),
IFERROR(VLOOKUP(D102,SPEC004!$B$2:$D$77,2,FALSE),
IFERROR(VLOOKUP(D102,#REF!,2,FALSE), "")))))</f>
        <v>SP-1068</v>
      </c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</row>
    <row r="103" spans="4:19" x14ac:dyDescent="0.3">
      <c r="D103" s="8" t="s">
        <v>53</v>
      </c>
      <c r="E103" s="10" t="s">
        <v>77</v>
      </c>
      <c r="F103" t="str">
        <f>IFERROR(VLOOKUP(D103,SPEC001!$B$2:$D$75,2,FALSE),
IFERROR(VLOOKUP(D103,SPEC002!$B$2:$D$77,2,FALSE),
IFERROR(VLOOKUP(D103,SPEC003!$B$2:$D$74,2,FALSE),
IFERROR(VLOOKUP(D103,SPEC004!$B$2:$D$77,2,FALSE),
IFERROR(VLOOKUP(D103,#REF!,2,FALSE), "")))))</f>
        <v>MANOBOND 680C</v>
      </c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</row>
    <row r="104" spans="4:19" x14ac:dyDescent="0.3">
      <c r="D104" s="8" t="s">
        <v>187</v>
      </c>
      <c r="E104" s="10" t="s">
        <v>77</v>
      </c>
      <c r="F104" t="str">
        <f>IFERROR(VLOOKUP(D104,SPEC001!$B$2:$D$75,2,FALSE),
IFERROR(VLOOKUP(D104,SPEC002!$B$2:$D$77,2,FALSE),
IFERROR(VLOOKUP(D104,SPEC003!$B$2:$D$74,2,FALSE),
IFERROR(VLOOKUP(D104,SPEC004!$B$2:$D$77,2,FALSE),
IFERROR(VLOOKUP(D104,#REF!,2,FALSE), "")))))</f>
        <v/>
      </c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</row>
    <row r="105" spans="4:19" x14ac:dyDescent="0.3">
      <c r="D105" s="8" t="s">
        <v>52</v>
      </c>
      <c r="E105" s="10" t="s">
        <v>77</v>
      </c>
      <c r="F105" t="str">
        <f>IFERROR(VLOOKUP(D105,SPEC001!$B$2:$D$75,2,FALSE),
IFERROR(VLOOKUP(D105,SPEC002!$B$2:$D$77,2,FALSE),
IFERROR(VLOOKUP(D105,SPEC003!$B$2:$D$74,2,FALSE),
IFERROR(VLOOKUP(D105,SPEC004!$B$2:$D$77,2,FALSE),
IFERROR(VLOOKUP(D105,#REF!,2,FALSE), "")))))</f>
        <v>ELAZTOBOND A-250</v>
      </c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</row>
    <row r="106" spans="4:19" x14ac:dyDescent="0.3">
      <c r="D106" s="8" t="s">
        <v>55</v>
      </c>
      <c r="E106" s="10" t="s">
        <v>77</v>
      </c>
      <c r="F106" t="str">
        <f>IFERROR(VLOOKUP(D106,SPEC001!$B$2:$D$75,2,FALSE),
IFERROR(VLOOKUP(D106,SPEC002!$B$2:$D$77,2,FALSE),
IFERROR(VLOOKUP(D106,SPEC003!$B$2:$D$74,2,FALSE),
IFERROR(VLOOKUP(D106,SPEC004!$B$2:$D$77,2,FALSE),
IFERROR(VLOOKUP(D106,#REF!,2,FALSE), "")))))</f>
        <v>RA-65</v>
      </c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</row>
    <row r="107" spans="4:19" x14ac:dyDescent="0.3">
      <c r="D107" s="8" t="s">
        <v>169</v>
      </c>
      <c r="E107" s="10" t="s">
        <v>77</v>
      </c>
      <c r="F107" t="str">
        <f>IFERROR(VLOOKUP(D107,SPEC001!$B$2:$D$75,2,FALSE),
IFERROR(VLOOKUP(D107,SPEC002!$B$2:$D$77,2,FALSE),
IFERROR(VLOOKUP(D107,SPEC003!$B$2:$D$74,2,FALSE),
IFERROR(VLOOKUP(D107,SPEC004!$B$2:$D$77,2,FALSE),
IFERROR(VLOOKUP(D107,#REF!,2,FALSE), "")))))</f>
        <v/>
      </c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</row>
    <row r="108" spans="4:19" x14ac:dyDescent="0.3">
      <c r="D108" s="8"/>
      <c r="F108" t="str">
        <f>IFERROR(VLOOKUP(D108,SPEC001!$B$2:$D$75,2,FALSE),
IFERROR(VLOOKUP(D108,SPEC002!$B$2:$D$77,2,FALSE),
IFERROR(VLOOKUP(D108,SPEC003!$B$2:$D$74,2,FALSE),
IFERROR(VLOOKUP(D108,SPEC004!$B$2:$D$77,2,FALSE),
IFERROR(VLOOKUP(D108,#REF!,2,FALSE), "")))))</f>
        <v/>
      </c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</row>
    <row r="109" spans="4:19" x14ac:dyDescent="0.3">
      <c r="D109" s="8"/>
      <c r="F109" t="str">
        <f>IFERROR(VLOOKUP(D109,SPEC001!$B$2:$D$75,2,FALSE),
IFERROR(VLOOKUP(D109,SPEC002!$B$2:$D$77,2,FALSE),
IFERROR(VLOOKUP(D109,SPEC003!$B$2:$D$74,2,FALSE),
IFERROR(VLOOKUP(D109,SPEC004!$B$2:$D$77,2,FALSE),
IFERROR(VLOOKUP(D109,#REF!,2,FALSE), "")))))</f>
        <v/>
      </c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</row>
    <row r="110" spans="4:19" x14ac:dyDescent="0.3">
      <c r="D110" s="8"/>
      <c r="F110" t="str">
        <f>IFERROR(VLOOKUP(D110,SPEC001!$B$2:$D$75,2,FALSE),
IFERROR(VLOOKUP(D110,SPEC002!$B$2:$D$77,2,FALSE),
IFERROR(VLOOKUP(D110,SPEC003!$B$2:$D$74,2,FALSE),
IFERROR(VLOOKUP(D110,SPEC004!$B$2:$D$77,2,FALSE),
IFERROR(VLOOKUP(D110,#REF!,2,FALSE), "")))))</f>
        <v/>
      </c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</row>
    <row r="111" spans="4:19" x14ac:dyDescent="0.3">
      <c r="D111" s="8"/>
      <c r="F111" t="str">
        <f>IFERROR(VLOOKUP(D111,SPEC001!$B$2:$D$75,2,FALSE),
IFERROR(VLOOKUP(D111,SPEC002!$B$2:$D$77,2,FALSE),
IFERROR(VLOOKUP(D111,SPEC003!$B$2:$D$74,2,FALSE),
IFERROR(VLOOKUP(D111,SPEC004!$B$2:$D$77,2,FALSE),
IFERROR(VLOOKUP(D111,#REF!,2,FALSE), "")))))</f>
        <v/>
      </c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</row>
    <row r="112" spans="4:19" x14ac:dyDescent="0.3">
      <c r="D112" s="10" t="s">
        <v>79</v>
      </c>
      <c r="F112" t="str">
        <f>IFERROR(VLOOKUP(D112,SPEC001!$B$2:$D$75,2,FALSE),
IFERROR(VLOOKUP(D112,SPEC002!$B$2:$D$77,2,FALSE),
IFERROR(VLOOKUP(D112,SPEC003!$B$2:$D$74,2,FALSE),
IFERROR(VLOOKUP(D112,SPEC004!$B$2:$D$77,2,FALSE),
IFERROR(VLOOKUP(D112,#REF!,2,FALSE), "")))))</f>
        <v/>
      </c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</row>
    <row r="113" spans="4:19" x14ac:dyDescent="0.3">
      <c r="D113" s="8" t="s">
        <v>170</v>
      </c>
      <c r="E113" s="10" t="s">
        <v>79</v>
      </c>
      <c r="F113" t="str">
        <f>IFERROR(VLOOKUP(D113,SPEC001!$B$2:$D$75,2,FALSE),
IFERROR(VLOOKUP(D113,SPEC002!$B$2:$D$77,2,FALSE),
IFERROR(VLOOKUP(D113,SPEC003!$B$2:$D$74,2,FALSE),
IFERROR(VLOOKUP(D113,SPEC004!$B$2:$D$77,2,FALSE),
IFERROR(VLOOKUP(D113,#REF!,2,FALSE), "")))))</f>
        <v/>
      </c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</row>
    <row r="114" spans="4:19" x14ac:dyDescent="0.3">
      <c r="D114" s="8" t="s">
        <v>143</v>
      </c>
      <c r="E114" s="10" t="s">
        <v>79</v>
      </c>
      <c r="F114" t="str">
        <f>IFERROR(VLOOKUP(D114,SPEC001!$B$2:$D$75,2,FALSE),
IFERROR(VLOOKUP(D114,SPEC002!$B$2:$D$77,2,FALSE),
IFERROR(VLOOKUP(D114,SPEC003!$B$2:$D$74,2,FALSE),
IFERROR(VLOOKUP(D114,SPEC004!$B$2:$D$77,2,FALSE),
IFERROR(VLOOKUP(D114,#REF!,2,FALSE), "")))))</f>
        <v>BEAD WIRE 1.26 MM</v>
      </c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</row>
    <row r="115" spans="4:19" x14ac:dyDescent="0.3">
      <c r="D115" s="8" t="s">
        <v>171</v>
      </c>
      <c r="E115" s="10" t="s">
        <v>79</v>
      </c>
      <c r="F115" t="str">
        <f>IFERROR(VLOOKUP(D115,SPEC001!$B$2:$D$75,2,FALSE),
IFERROR(VLOOKUP(D115,SPEC002!$B$2:$D$77,2,FALSE),
IFERROR(VLOOKUP(D115,SPEC003!$B$2:$D$74,2,FALSE),
IFERROR(VLOOKUP(D115,SPEC004!$B$2:$D$77,2,FALSE),
IFERROR(VLOOKUP(D115,#REF!,2,FALSE), "")))))</f>
        <v/>
      </c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</row>
    <row r="116" spans="4:19" x14ac:dyDescent="0.3">
      <c r="D116" s="8" t="s">
        <v>141</v>
      </c>
      <c r="E116" s="10" t="s">
        <v>79</v>
      </c>
      <c r="F116" t="str">
        <f>IFERROR(VLOOKUP(D116,SPEC001!$B$2:$D$75,2,FALSE),
IFERROR(VLOOKUP(D116,SPEC002!$B$2:$D$77,2,FALSE),
IFERROR(VLOOKUP(D116,SPEC003!$B$2:$D$74,2,FALSE),
IFERROR(VLOOKUP(D116,SPEC004!$B$2:$D$77,2,FALSE),
IFERROR(VLOOKUP(D116,#REF!,2,FALSE), "")))))</f>
        <v>NYLON 66 (840 D/2) 52E</v>
      </c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</row>
    <row r="117" spans="4:19" x14ac:dyDescent="0.3">
      <c r="D117" s="8" t="s">
        <v>172</v>
      </c>
      <c r="E117" s="10" t="s">
        <v>79</v>
      </c>
      <c r="F117" t="str">
        <f>IFERROR(VLOOKUP(D117,SPEC001!$B$2:$D$75,2,FALSE),
IFERROR(VLOOKUP(D117,SPEC002!$B$2:$D$77,2,FALSE),
IFERROR(VLOOKUP(D117,SPEC003!$B$2:$D$74,2,FALSE),
IFERROR(VLOOKUP(D117,SPEC004!$B$2:$D$77,2,FALSE),
IFERROR(VLOOKUP(D117,#REF!,2,FALSE), "")))))</f>
        <v/>
      </c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</row>
    <row r="118" spans="4:19" x14ac:dyDescent="0.3">
      <c r="D118" s="8" t="s">
        <v>173</v>
      </c>
      <c r="E118" s="10" t="s">
        <v>79</v>
      </c>
      <c r="F118" t="str">
        <f>IFERROR(VLOOKUP(D118,SPEC001!$B$2:$D$75,2,FALSE),
IFERROR(VLOOKUP(D118,SPEC002!$B$2:$D$77,2,FALSE),
IFERROR(VLOOKUP(D118,SPEC003!$B$2:$D$74,2,FALSE),
IFERROR(VLOOKUP(D118,SPEC004!$B$2:$D$77,2,FALSE),
IFERROR(VLOOKUP(D118,#REF!,2,FALSE), "")))))</f>
        <v/>
      </c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</row>
    <row r="119" spans="4:19" x14ac:dyDescent="0.3">
      <c r="D119" s="8" t="s">
        <v>174</v>
      </c>
      <c r="E119" s="10" t="s">
        <v>79</v>
      </c>
      <c r="F119" t="str">
        <f>IFERROR(VLOOKUP(D119,SPEC001!$B$2:$D$75,2,FALSE),
IFERROR(VLOOKUP(D119,SPEC002!$B$2:$D$77,2,FALSE),
IFERROR(VLOOKUP(D119,SPEC003!$B$2:$D$74,2,FALSE),
IFERROR(VLOOKUP(D119,SPEC004!$B$2:$D$77,2,FALSE),
IFERROR(VLOOKUP(D119,#REF!,2,FALSE), "")))))</f>
        <v/>
      </c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</row>
    <row r="120" spans="4:19" x14ac:dyDescent="0.3">
      <c r="D120" s="8" t="s">
        <v>175</v>
      </c>
      <c r="E120" s="10" t="s">
        <v>79</v>
      </c>
      <c r="F120" t="str">
        <f>IFERROR(VLOOKUP(D120,SPEC001!$B$2:$D$75,2,FALSE),
IFERROR(VLOOKUP(D120,SPEC002!$B$2:$D$77,2,FALSE),
IFERROR(VLOOKUP(D120,SPEC003!$B$2:$D$74,2,FALSE),
IFERROR(VLOOKUP(D120,SPEC004!$B$2:$D$77,2,FALSE),
IFERROR(VLOOKUP(D120,#REF!,2,FALSE), "")))))</f>
        <v/>
      </c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</row>
    <row r="121" spans="4:19" x14ac:dyDescent="0.3">
      <c r="D121" s="8" t="s">
        <v>176</v>
      </c>
      <c r="E121" s="10" t="s">
        <v>79</v>
      </c>
      <c r="F121" t="str">
        <f>IFERROR(VLOOKUP(D121,SPEC001!$B$2:$D$75,2,FALSE),
IFERROR(VLOOKUP(D121,SPEC002!$B$2:$D$77,2,FALSE),
IFERROR(VLOOKUP(D121,SPEC003!$B$2:$D$74,2,FALSE),
IFERROR(VLOOKUP(D121,SPEC004!$B$2:$D$77,2,FALSE),
IFERROR(VLOOKUP(D121,#REF!,2,FALSE), "")))))</f>
        <v/>
      </c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</row>
    <row r="122" spans="4:19" x14ac:dyDescent="0.3">
      <c r="D122" s="8" t="s">
        <v>186</v>
      </c>
      <c r="E122" s="10" t="s">
        <v>79</v>
      </c>
      <c r="F122" t="str">
        <f>IFERROR(VLOOKUP(D122,SPEC001!$B$2:$D$75,2,FALSE),
IFERROR(VLOOKUP(D122,SPEC002!$B$2:$D$77,2,FALSE),
IFERROR(VLOOKUP(D122,SPEC003!$B$2:$D$74,2,FALSE),
IFERROR(VLOOKUP(D122,SPEC004!$B$2:$D$77,2,FALSE),
IFERROR(VLOOKUP(D122,#REF!,2,FALSE), "")))))</f>
        <v>POLYESTER (1500 D/2) 54E</v>
      </c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</row>
    <row r="123" spans="4:19" x14ac:dyDescent="0.3">
      <c r="D123" s="8" t="s">
        <v>185</v>
      </c>
      <c r="E123" s="10" t="s">
        <v>79</v>
      </c>
      <c r="F123" t="str">
        <f>IFERROR(VLOOKUP(D123,SPEC001!$B$2:$D$75,2,FALSE),
IFERROR(VLOOKUP(D123,SPEC002!$B$2:$D$77,2,FALSE),
IFERROR(VLOOKUP(D123,SPEC003!$B$2:$D$74,2,FALSE),
IFERROR(VLOOKUP(D123,SPEC004!$B$2:$D$77,2,FALSE),
IFERROR(VLOOKUP(D123,#REF!,2,FALSE), "")))))</f>
        <v/>
      </c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</row>
    <row r="124" spans="4:19" x14ac:dyDescent="0.3">
      <c r="D124" s="8" t="s">
        <v>137</v>
      </c>
      <c r="E124" s="10" t="s">
        <v>79</v>
      </c>
      <c r="F124" t="str">
        <f>IFERROR(VLOOKUP(D124,SPEC001!$B$2:$D$75,2,FALSE),
IFERROR(VLOOKUP(D124,SPEC002!$B$2:$D$77,2,FALSE),
IFERROR(VLOOKUP(D124,SPEC003!$B$2:$D$74,2,FALSE),
IFERROR(VLOOKUP(D124,SPEC004!$B$2:$D$77,2,FALSE),
IFERROR(VLOOKUP(D124,#REF!,2,FALSE), "")))))</f>
        <v>POLYESTER (1500 D/2) 54E</v>
      </c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</row>
    <row r="125" spans="4:19" x14ac:dyDescent="0.3">
      <c r="D125" s="8" t="s">
        <v>177</v>
      </c>
      <c r="E125" s="10" t="s">
        <v>79</v>
      </c>
      <c r="F125" t="str">
        <f>IFERROR(VLOOKUP(D125,SPEC001!$B$2:$D$75,2,FALSE),
IFERROR(VLOOKUP(D125,SPEC002!$B$2:$D$77,2,FALSE),
IFERROR(VLOOKUP(D125,SPEC003!$B$2:$D$74,2,FALSE),
IFERROR(VLOOKUP(D125,SPEC004!$B$2:$D$77,2,FALSE),
IFERROR(VLOOKUP(D125,#REF!,2,FALSE), "")))))</f>
        <v/>
      </c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</row>
    <row r="126" spans="4:19" x14ac:dyDescent="0.3">
      <c r="D126" s="8" t="s">
        <v>178</v>
      </c>
      <c r="E126" s="10" t="s">
        <v>79</v>
      </c>
      <c r="F126" t="str">
        <f>IFERROR(VLOOKUP(D126,SPEC001!$B$2:$D$75,2,FALSE),
IFERROR(VLOOKUP(D126,SPEC002!$B$2:$D$77,2,FALSE),
IFERROR(VLOOKUP(D126,SPEC003!$B$2:$D$74,2,FALSE),
IFERROR(VLOOKUP(D126,SPEC004!$B$2:$D$77,2,FALSE),
IFERROR(VLOOKUP(D126,#REF!,2,FALSE), "")))))</f>
        <v/>
      </c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</row>
    <row r="127" spans="4:19" x14ac:dyDescent="0.3">
      <c r="D127" s="8" t="s">
        <v>179</v>
      </c>
      <c r="E127" s="10" t="s">
        <v>79</v>
      </c>
      <c r="F127" t="str">
        <f>IFERROR(VLOOKUP(D127,SPEC001!$B$2:$D$75,2,FALSE),
IFERROR(VLOOKUP(D127,SPEC002!$B$2:$D$77,2,FALSE),
IFERROR(VLOOKUP(D127,SPEC003!$B$2:$D$74,2,FALSE),
IFERROR(VLOOKUP(D127,SPEC004!$B$2:$D$77,2,FALSE),
IFERROR(VLOOKUP(D127,#REF!,2,FALSE), "")))))</f>
        <v/>
      </c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</row>
    <row r="128" spans="4:19" x14ac:dyDescent="0.3">
      <c r="D128" s="8" t="s">
        <v>180</v>
      </c>
      <c r="E128" s="10" t="s">
        <v>79</v>
      </c>
      <c r="F128" t="str">
        <f>IFERROR(VLOOKUP(D128,SPEC001!$B$2:$D$75,2,FALSE),
IFERROR(VLOOKUP(D128,SPEC002!$B$2:$D$77,2,FALSE),
IFERROR(VLOOKUP(D128,SPEC003!$B$2:$D$74,2,FALSE),
IFERROR(VLOOKUP(D128,SPEC004!$B$2:$D$77,2,FALSE),
IFERROR(VLOOKUP(D128,#REF!,2,FALSE), "")))))</f>
        <v/>
      </c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</row>
    <row r="129" spans="4:19" x14ac:dyDescent="0.3">
      <c r="D129" s="8" t="s">
        <v>139</v>
      </c>
      <c r="E129" s="10" t="s">
        <v>79</v>
      </c>
      <c r="F129" t="str">
        <f>IFERROR(VLOOKUP(D129,SPEC001!$B$2:$D$75,2,FALSE),
IFERROR(VLOOKUP(D129,SPEC002!$B$2:$D$77,2,FALSE),
IFERROR(VLOOKUP(D129,SPEC003!$B$2:$D$74,2,FALSE),
IFERROR(VLOOKUP(D129,SPEC004!$B$2:$D$77,2,FALSE),
IFERROR(VLOOKUP(D129,#REF!,2,FALSE), "")))))</f>
        <v>STEEL CORD 3×0.27 HT</v>
      </c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</row>
    <row r="130" spans="4:19" x14ac:dyDescent="0.3">
      <c r="D130" s="8" t="s">
        <v>181</v>
      </c>
      <c r="E130" s="10" t="s">
        <v>79</v>
      </c>
      <c r="F130" t="str">
        <f>IFERROR(VLOOKUP(D130,SPEC001!$B$2:$D$75,2,FALSE),
IFERROR(VLOOKUP(D130,SPEC002!$B$2:$D$77,2,FALSE),
IFERROR(VLOOKUP(D130,SPEC003!$B$2:$D$74,2,FALSE),
IFERROR(VLOOKUP(D130,SPEC004!$B$2:$D$77,2,FALSE),
IFERROR(VLOOKUP(D130,#REF!,2,FALSE), "")))))</f>
        <v/>
      </c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</row>
    <row r="131" spans="4:19" x14ac:dyDescent="0.3">
      <c r="D131" s="8" t="s">
        <v>182</v>
      </c>
      <c r="E131" s="10" t="s">
        <v>79</v>
      </c>
      <c r="F131" t="str">
        <f>IFERROR(VLOOKUP(D131,SPEC001!$B$2:$D$75,2,FALSE),
IFERROR(VLOOKUP(D131,SPEC002!$B$2:$D$77,2,FALSE),
IFERROR(VLOOKUP(D131,SPEC003!$B$2:$D$74,2,FALSE),
IFERROR(VLOOKUP(D131,SPEC004!$B$2:$D$77,2,FALSE),
IFERROR(VLOOKUP(D131,#REF!,2,FALSE), "")))))</f>
        <v/>
      </c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</row>
    <row r="132" spans="4:19" x14ac:dyDescent="0.3">
      <c r="D132" s="8"/>
      <c r="F132" t="str">
        <f>IFERROR(VLOOKUP(D132,SPEC001!$B$2:$D$75,2,FALSE),
IFERROR(VLOOKUP(D132,SPEC002!$B$2:$D$77,2,FALSE),
IFERROR(VLOOKUP(D132,SPEC003!$B$2:$D$74,2,FALSE),
IFERROR(VLOOKUP(D132,SPEC004!$B$2:$D$77,2,FALSE),
IFERROR(VLOOKUP(D132,#REF!,2,FALSE), "")))))</f>
        <v/>
      </c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</row>
    <row r="133" spans="4:19" x14ac:dyDescent="0.3">
      <c r="D133" s="8"/>
      <c r="F133" t="str">
        <f>IFERROR(VLOOKUP(D133,SPEC001!$B$2:$D$75,2,FALSE),
IFERROR(VLOOKUP(D133,SPEC002!$B$2:$D$77,2,FALSE),
IFERROR(VLOOKUP(D133,SPEC003!$B$2:$D$74,2,FALSE),
IFERROR(VLOOKUP(D133,SPEC004!$B$2:$D$77,2,FALSE),
IFERROR(VLOOKUP(D133,#REF!,2,FALSE), "")))))</f>
        <v/>
      </c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</row>
    <row r="134" spans="4:19" x14ac:dyDescent="0.3">
      <c r="D134" s="8"/>
      <c r="F134" t="str">
        <f>IFERROR(VLOOKUP(D134,SPEC001!$B$2:$D$75,2,FALSE),
IFERROR(VLOOKUP(D134,SPEC002!$B$2:$D$77,2,FALSE),
IFERROR(VLOOKUP(D134,SPEC003!$B$2:$D$74,2,FALSE),
IFERROR(VLOOKUP(D134,SPEC004!$B$2:$D$77,2,FALSE),
IFERROR(VLOOKUP(D134,#REF!,2,FALSE), "")))))</f>
        <v/>
      </c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</row>
    <row r="135" spans="4:19" x14ac:dyDescent="0.3">
      <c r="D135" s="8"/>
      <c r="F135" t="str">
        <f>IFERROR(VLOOKUP(D135,SPEC001!$B$2:$D$75,2,FALSE),
IFERROR(VLOOKUP(D135,SPEC002!$B$2:$D$77,2,FALSE),
IFERROR(VLOOKUP(D135,SPEC003!$B$2:$D$74,2,FALSE),
IFERROR(VLOOKUP(D135,SPEC004!$B$2:$D$77,2,FALSE),
IFERROR(VLOOKUP(D135,#REF!,2,FALSE), "")))))</f>
        <v/>
      </c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</row>
    <row r="136" spans="4:19" x14ac:dyDescent="0.3">
      <c r="D136" s="8"/>
      <c r="F136" t="str">
        <f>IFERROR(VLOOKUP(D136,SPEC001!$B$2:$D$75,2,FALSE),
IFERROR(VLOOKUP(D136,SPEC002!$B$2:$D$77,2,FALSE),
IFERROR(VLOOKUP(D136,SPEC003!$B$2:$D$74,2,FALSE),
IFERROR(VLOOKUP(D136,SPEC004!$B$2:$D$77,2,FALSE),
IFERROR(VLOOKUP(D136,#REF!,2,FALSE), "")))))</f>
        <v/>
      </c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</row>
    <row r="137" spans="4:19" x14ac:dyDescent="0.3">
      <c r="D137" s="8"/>
      <c r="F137" t="str">
        <f>IFERROR(VLOOKUP(D137,SPEC001!$B$2:$D$75,2,FALSE),
IFERROR(VLOOKUP(D137,SPEC002!$B$2:$D$77,2,FALSE),
IFERROR(VLOOKUP(D137,SPEC003!$B$2:$D$74,2,FALSE),
IFERROR(VLOOKUP(D137,SPEC004!$B$2:$D$77,2,FALSE),
IFERROR(VLOOKUP(D137,#REF!,2,FALSE), "")))))</f>
        <v/>
      </c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</row>
    <row r="138" spans="4:19" x14ac:dyDescent="0.3">
      <c r="D138" s="8"/>
      <c r="F138" t="str">
        <f>IFERROR(VLOOKUP(D138,SPEC001!$B$2:$D$75,2,FALSE),
IFERROR(VLOOKUP(D138,SPEC002!$B$2:$D$77,2,FALSE),
IFERROR(VLOOKUP(D138,SPEC003!$B$2:$D$74,2,FALSE),
IFERROR(VLOOKUP(D138,SPEC004!$B$2:$D$77,2,FALSE),
IFERROR(VLOOKUP(D138,#REF!,2,FALSE), "")))))</f>
        <v/>
      </c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</row>
    <row r="139" spans="4:19" x14ac:dyDescent="0.3">
      <c r="D139" s="8"/>
      <c r="F139" t="str">
        <f>IFERROR(VLOOKUP(D139,SPEC001!$B$2:$D$75,2,FALSE),
IFERROR(VLOOKUP(D139,SPEC002!$B$2:$D$77,2,FALSE),
IFERROR(VLOOKUP(D139,SPEC003!$B$2:$D$74,2,FALSE),
IFERROR(VLOOKUP(D139,SPEC004!$B$2:$D$77,2,FALSE),
IFERROR(VLOOKUP(D139,#REF!,2,FALSE), "")))))</f>
        <v/>
      </c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</row>
    <row r="140" spans="4:19" x14ac:dyDescent="0.3">
      <c r="D140" s="8"/>
      <c r="F140" t="str">
        <f>IFERROR(VLOOKUP(D140,SPEC001!$B$2:$D$75,2,FALSE),
IFERROR(VLOOKUP(D140,SPEC002!$B$2:$D$77,2,FALSE),
IFERROR(VLOOKUP(D140,SPEC003!$B$2:$D$74,2,FALSE),
IFERROR(VLOOKUP(D140,SPEC004!$B$2:$D$77,2,FALSE),
IFERROR(VLOOKUP(D140,#REF!,2,FALSE), "")))))</f>
        <v/>
      </c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</row>
    <row r="141" spans="4:19" x14ac:dyDescent="0.3">
      <c r="D141" s="8"/>
      <c r="F141" t="str">
        <f>IFERROR(VLOOKUP(D141,SPEC001!$B$2:$D$75,2,FALSE),
IFERROR(VLOOKUP(D141,SPEC002!$B$2:$D$77,2,FALSE),
IFERROR(VLOOKUP(D141,SPEC003!$B$2:$D$74,2,FALSE),
IFERROR(VLOOKUP(D141,SPEC004!$B$2:$D$77,2,FALSE),
IFERROR(VLOOKUP(D141,#REF!,2,FALSE), "")))))</f>
        <v/>
      </c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</row>
    <row r="142" spans="4:19" x14ac:dyDescent="0.3">
      <c r="D142" s="10" t="s">
        <v>80</v>
      </c>
      <c r="F142" t="str">
        <f>IFERROR(VLOOKUP(D142,SPEC001!$B$2:$D$75,2,FALSE),
IFERROR(VLOOKUP(D142,SPEC002!$B$2:$D$77,2,FALSE),
IFERROR(VLOOKUP(D142,SPEC003!$B$2:$D$74,2,FALSE),
IFERROR(VLOOKUP(D142,SPEC004!$B$2:$D$77,2,FALSE),
IFERROR(VLOOKUP(D142,#REF!,2,FALSE), "")))))</f>
        <v/>
      </c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</row>
    <row r="143" spans="4:19" x14ac:dyDescent="0.3">
      <c r="D143" s="8"/>
      <c r="E143" s="10" t="s">
        <v>80</v>
      </c>
      <c r="F143" t="str">
        <f>IFERROR(VLOOKUP(D143,SPEC001!$B$2:$D$75,2,FALSE),
IFERROR(VLOOKUP(D143,SPEC002!$B$2:$D$77,2,FALSE),
IFERROR(VLOOKUP(D143,SPEC003!$B$2:$D$74,2,FALSE),
IFERROR(VLOOKUP(D143,SPEC004!$B$2:$D$77,2,FALSE),
IFERROR(VLOOKUP(D143,#REF!,2,FALSE), "")))))</f>
        <v/>
      </c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</row>
    <row r="144" spans="4:19" x14ac:dyDescent="0.3">
      <c r="D144" s="8"/>
      <c r="E144" s="10" t="s">
        <v>80</v>
      </c>
      <c r="F144" t="str">
        <f>IFERROR(VLOOKUP(D144,SPEC001!$B$2:$D$75,2,FALSE),
IFERROR(VLOOKUP(D144,SPEC002!$B$2:$D$77,2,FALSE),
IFERROR(VLOOKUP(D144,SPEC003!$B$2:$D$74,2,FALSE),
IFERROR(VLOOKUP(D144,SPEC004!$B$2:$D$77,2,FALSE),
IFERROR(VLOOKUP(D144,#REF!,2,FALSE), "")))))</f>
        <v/>
      </c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</row>
    <row r="145" spans="9:19" x14ac:dyDescent="0.3">
      <c r="I145" s="60" t="s">
        <v>70</v>
      </c>
      <c r="J145" s="61" t="s">
        <v>71</v>
      </c>
      <c r="K145" s="46" t="s">
        <v>72</v>
      </c>
      <c r="L145" s="59" t="s">
        <v>73</v>
      </c>
      <c r="M145" s="46" t="s">
        <v>74</v>
      </c>
      <c r="N145" s="46" t="s">
        <v>75</v>
      </c>
      <c r="O145" s="46" t="s">
        <v>76</v>
      </c>
      <c r="P145" s="46" t="s">
        <v>78</v>
      </c>
      <c r="Q145" s="46" t="s">
        <v>77</v>
      </c>
      <c r="R145" s="46" t="s">
        <v>79</v>
      </c>
      <c r="S145" s="46" t="s">
        <v>80</v>
      </c>
    </row>
  </sheetData>
  <customSheetViews>
    <customSheetView guid="{5C7B38D6-29D9-4C20-A92E-817BB499D35F}" topLeftCell="A22">
      <selection activeCell="D52" sqref="D5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3DB9-CCB9-48B6-9F2A-78C5C1FF0354}">
  <sheetPr codeName="Sheet10"/>
  <dimension ref="A1:Q531"/>
  <sheetViews>
    <sheetView zoomScale="70" zoomScaleNormal="70" workbookViewId="0">
      <selection activeCell="E41" sqref="E41"/>
    </sheetView>
  </sheetViews>
  <sheetFormatPr defaultRowHeight="14.4" x14ac:dyDescent="0.3"/>
  <cols>
    <col min="1" max="1" width="16.6640625" bestFit="1" customWidth="1"/>
    <col min="2" max="2" width="8" bestFit="1" customWidth="1"/>
    <col min="3" max="3" width="5" bestFit="1" customWidth="1"/>
    <col min="4" max="4" width="6.44140625" bestFit="1" customWidth="1"/>
    <col min="5" max="5" width="15.6640625" bestFit="1" customWidth="1"/>
    <col min="7" max="7" width="12" bestFit="1" customWidth="1"/>
    <col min="8" max="8" width="20.88671875" style="54" customWidth="1"/>
    <col min="9" max="9" width="12.33203125" bestFit="1" customWidth="1"/>
    <col min="10" max="10" width="38.44140625" customWidth="1"/>
  </cols>
  <sheetData>
    <row r="1" spans="1:17" x14ac:dyDescent="0.3">
      <c r="A1" s="53" t="s">
        <v>239</v>
      </c>
      <c r="B1" s="53" t="s">
        <v>240</v>
      </c>
      <c r="C1" s="53" t="s">
        <v>236</v>
      </c>
      <c r="D1" s="53" t="s">
        <v>237</v>
      </c>
      <c r="E1" s="53" t="s">
        <v>241</v>
      </c>
      <c r="F1" s="53" t="s">
        <v>242</v>
      </c>
      <c r="G1" s="53" t="s">
        <v>243</v>
      </c>
      <c r="H1" s="53" t="s">
        <v>238</v>
      </c>
      <c r="I1" s="53" t="s">
        <v>249</v>
      </c>
      <c r="J1" s="53" t="s">
        <v>255</v>
      </c>
      <c r="K1" s="44"/>
      <c r="L1" s="247" t="s">
        <v>13</v>
      </c>
      <c r="M1" s="247"/>
      <c r="N1" s="247" t="s">
        <v>14</v>
      </c>
      <c r="O1" s="247"/>
      <c r="P1" s="247" t="s">
        <v>60</v>
      </c>
      <c r="Q1" s="247"/>
    </row>
    <row r="2" spans="1:17" x14ac:dyDescent="0.3">
      <c r="A2" s="39">
        <v>45819.994490740741</v>
      </c>
      <c r="B2" t="s">
        <v>223</v>
      </c>
      <c r="C2">
        <v>18</v>
      </c>
      <c r="D2" t="s">
        <v>371</v>
      </c>
      <c r="E2" t="s">
        <v>13</v>
      </c>
      <c r="F2">
        <v>2.6330967608239501E-2</v>
      </c>
      <c r="G2">
        <v>2.369787084741555E-2</v>
      </c>
      <c r="H2" s="54">
        <v>85920203</v>
      </c>
      <c r="I2" t="s">
        <v>336</v>
      </c>
      <c r="J2" t="s">
        <v>372</v>
      </c>
    </row>
    <row r="3" spans="1:17" x14ac:dyDescent="0.3">
      <c r="A3" s="39">
        <v>45819.994490740741</v>
      </c>
      <c r="B3" t="s">
        <v>223</v>
      </c>
      <c r="C3">
        <v>110</v>
      </c>
      <c r="D3" t="s">
        <v>371</v>
      </c>
      <c r="E3" t="s">
        <v>60</v>
      </c>
      <c r="F3">
        <v>4.8367744608766701E-2</v>
      </c>
      <c r="G3">
        <v>4.1112582917451693E-2</v>
      </c>
      <c r="H3" s="54">
        <v>85920203</v>
      </c>
      <c r="I3" t="s">
        <v>337</v>
      </c>
      <c r="J3" t="s">
        <v>372</v>
      </c>
    </row>
    <row r="4" spans="1:17" x14ac:dyDescent="0.3">
      <c r="A4" s="39">
        <v>45819.994490740741</v>
      </c>
      <c r="B4" t="s">
        <v>223</v>
      </c>
      <c r="C4">
        <v>98</v>
      </c>
      <c r="D4" t="s">
        <v>371</v>
      </c>
      <c r="E4" t="s">
        <v>14</v>
      </c>
      <c r="F4">
        <v>0.54678497057798903</v>
      </c>
      <c r="G4">
        <v>0.43742797646239123</v>
      </c>
      <c r="H4" s="54">
        <v>85920203</v>
      </c>
      <c r="I4" t="s">
        <v>338</v>
      </c>
      <c r="J4" t="s">
        <v>372</v>
      </c>
    </row>
    <row r="5" spans="1:17" x14ac:dyDescent="0.3">
      <c r="A5" s="39">
        <v>45819.994490740741</v>
      </c>
      <c r="B5" t="s">
        <v>223</v>
      </c>
      <c r="C5">
        <v>34</v>
      </c>
      <c r="D5" t="s">
        <v>371</v>
      </c>
      <c r="E5" t="s">
        <v>336</v>
      </c>
      <c r="F5">
        <v>1.0477310826671599E-2</v>
      </c>
      <c r="G5">
        <v>1.311040758749555E-2</v>
      </c>
      <c r="H5" s="54">
        <v>85920203</v>
      </c>
      <c r="I5" t="s">
        <v>336</v>
      </c>
      <c r="J5" t="s">
        <v>373</v>
      </c>
    </row>
    <row r="6" spans="1:17" x14ac:dyDescent="0.3">
      <c r="A6" s="39">
        <v>45819.994490740741</v>
      </c>
      <c r="B6" t="s">
        <v>223</v>
      </c>
      <c r="C6">
        <v>105</v>
      </c>
      <c r="D6" t="s">
        <v>371</v>
      </c>
      <c r="E6" t="s">
        <v>337</v>
      </c>
      <c r="F6">
        <v>2.5456707688824602E-3</v>
      </c>
      <c r="G6">
        <v>9.8008324601974658E-3</v>
      </c>
      <c r="H6" s="54">
        <v>85920203</v>
      </c>
      <c r="I6" t="s">
        <v>337</v>
      </c>
      <c r="J6" t="s">
        <v>373</v>
      </c>
    </row>
    <row r="7" spans="1:17" x14ac:dyDescent="0.3">
      <c r="A7" s="39">
        <v>45819.994490740741</v>
      </c>
      <c r="B7" t="s">
        <v>223</v>
      </c>
      <c r="C7">
        <v>93</v>
      </c>
      <c r="D7" t="s">
        <v>371</v>
      </c>
      <c r="E7" t="s">
        <v>338</v>
      </c>
      <c r="F7">
        <v>0.33651568998201098</v>
      </c>
      <c r="G7">
        <v>0.44587268409760877</v>
      </c>
      <c r="H7" s="54">
        <v>85920203</v>
      </c>
      <c r="I7" t="s">
        <v>338</v>
      </c>
      <c r="J7" t="s">
        <v>373</v>
      </c>
    </row>
    <row r="8" spans="1:17" x14ac:dyDescent="0.3">
      <c r="A8" s="39">
        <v>45819.994490740741</v>
      </c>
      <c r="B8" t="s">
        <v>58</v>
      </c>
      <c r="C8">
        <v>18</v>
      </c>
      <c r="D8" t="s">
        <v>371</v>
      </c>
      <c r="E8" t="s">
        <v>13</v>
      </c>
      <c r="F8">
        <v>3.2507367417579598E-2</v>
      </c>
      <c r="G8">
        <v>2.925663067582164E-2</v>
      </c>
      <c r="H8" s="54">
        <v>85920203</v>
      </c>
      <c r="I8" t="s">
        <v>336</v>
      </c>
      <c r="J8" t="s">
        <v>372</v>
      </c>
    </row>
    <row r="9" spans="1:17" x14ac:dyDescent="0.3">
      <c r="A9" s="39">
        <v>45819.994490740741</v>
      </c>
      <c r="B9" t="s">
        <v>58</v>
      </c>
      <c r="C9">
        <v>108</v>
      </c>
      <c r="D9" t="s">
        <v>371</v>
      </c>
      <c r="E9" t="s">
        <v>60</v>
      </c>
      <c r="F9">
        <v>2.7669290248431799E-2</v>
      </c>
      <c r="G9">
        <v>2.3518896711167029E-2</v>
      </c>
      <c r="H9" s="54">
        <v>85920203</v>
      </c>
      <c r="I9" t="s">
        <v>337</v>
      </c>
      <c r="J9" t="s">
        <v>372</v>
      </c>
    </row>
    <row r="10" spans="1:17" x14ac:dyDescent="0.3">
      <c r="A10" s="39">
        <v>45819.994490740741</v>
      </c>
      <c r="B10" t="s">
        <v>58</v>
      </c>
      <c r="C10">
        <v>97</v>
      </c>
      <c r="D10" t="s">
        <v>371</v>
      </c>
      <c r="E10" t="s">
        <v>14</v>
      </c>
      <c r="F10">
        <v>0.187304508855</v>
      </c>
      <c r="G10">
        <v>0.14984360708399999</v>
      </c>
      <c r="H10" s="54">
        <v>85920203</v>
      </c>
      <c r="I10" t="s">
        <v>338</v>
      </c>
      <c r="J10" t="s">
        <v>372</v>
      </c>
    </row>
    <row r="11" spans="1:17" x14ac:dyDescent="0.3">
      <c r="A11" s="39">
        <v>45819.994490740741</v>
      </c>
      <c r="B11" t="s">
        <v>58</v>
      </c>
      <c r="C11">
        <v>34</v>
      </c>
      <c r="D11" t="s">
        <v>371</v>
      </c>
      <c r="E11" t="s">
        <v>336</v>
      </c>
      <c r="F11">
        <v>1.11635774721538E-2</v>
      </c>
      <c r="G11">
        <v>1.4414314213911759E-2</v>
      </c>
      <c r="H11" s="54">
        <v>85920203</v>
      </c>
      <c r="I11" t="s">
        <v>336</v>
      </c>
      <c r="J11" t="s">
        <v>373</v>
      </c>
    </row>
    <row r="12" spans="1:17" x14ac:dyDescent="0.3">
      <c r="A12" s="39">
        <v>45819.994490740741</v>
      </c>
      <c r="B12" t="s">
        <v>58</v>
      </c>
      <c r="C12">
        <v>103</v>
      </c>
      <c r="D12" t="s">
        <v>371</v>
      </c>
      <c r="E12" t="s">
        <v>337</v>
      </c>
      <c r="F12">
        <v>1.4562784341279899E-3</v>
      </c>
      <c r="G12">
        <v>5.6066719713927593E-3</v>
      </c>
      <c r="H12" s="54">
        <v>85920203</v>
      </c>
      <c r="I12" t="s">
        <v>337</v>
      </c>
      <c r="J12" t="s">
        <v>373</v>
      </c>
    </row>
    <row r="13" spans="1:17" x14ac:dyDescent="0.3">
      <c r="A13" s="39">
        <v>45819.994490740741</v>
      </c>
      <c r="B13" t="s">
        <v>58</v>
      </c>
      <c r="C13">
        <v>92</v>
      </c>
      <c r="D13" t="s">
        <v>371</v>
      </c>
      <c r="E13" t="s">
        <v>338</v>
      </c>
      <c r="F13">
        <v>0.11527549114500001</v>
      </c>
      <c r="G13">
        <v>0.152736392916</v>
      </c>
      <c r="H13" s="54">
        <v>85920203</v>
      </c>
      <c r="I13" t="s">
        <v>338</v>
      </c>
      <c r="J13" t="s">
        <v>373</v>
      </c>
    </row>
    <row r="14" spans="1:17" x14ac:dyDescent="0.3">
      <c r="A14" s="39">
        <v>45819.994490740741</v>
      </c>
      <c r="B14" t="s">
        <v>217</v>
      </c>
      <c r="C14">
        <v>18</v>
      </c>
      <c r="D14" t="s">
        <v>371</v>
      </c>
      <c r="E14" t="s">
        <v>13</v>
      </c>
      <c r="F14">
        <v>3.2507367417579598E-2</v>
      </c>
      <c r="G14">
        <v>2.925663067582164E-2</v>
      </c>
      <c r="H14" s="54">
        <v>85920203</v>
      </c>
      <c r="I14" t="s">
        <v>336</v>
      </c>
      <c r="J14" t="s">
        <v>372</v>
      </c>
    </row>
    <row r="15" spans="1:17" x14ac:dyDescent="0.3">
      <c r="A15" s="39">
        <v>45819.994490740741</v>
      </c>
      <c r="B15" t="s">
        <v>217</v>
      </c>
      <c r="C15">
        <v>110</v>
      </c>
      <c r="D15" t="s">
        <v>371</v>
      </c>
      <c r="E15" t="s">
        <v>60</v>
      </c>
      <c r="F15">
        <v>3.21626791375672E-2</v>
      </c>
      <c r="G15">
        <v>2.733827726693212E-2</v>
      </c>
      <c r="H15" s="54">
        <v>85920203</v>
      </c>
      <c r="I15" t="s">
        <v>337</v>
      </c>
      <c r="J15" t="s">
        <v>372</v>
      </c>
    </row>
    <row r="16" spans="1:17" x14ac:dyDescent="0.3">
      <c r="A16" s="39">
        <v>45819.994490740741</v>
      </c>
      <c r="B16" t="s">
        <v>217</v>
      </c>
      <c r="C16">
        <v>99</v>
      </c>
      <c r="D16" t="s">
        <v>371</v>
      </c>
      <c r="E16" t="s">
        <v>14</v>
      </c>
      <c r="F16">
        <v>0.2339913555</v>
      </c>
      <c r="G16">
        <v>0.18719308440000001</v>
      </c>
      <c r="H16" s="54">
        <v>85920203</v>
      </c>
      <c r="I16" t="s">
        <v>338</v>
      </c>
      <c r="J16" t="s">
        <v>372</v>
      </c>
    </row>
    <row r="17" spans="1:10" x14ac:dyDescent="0.3">
      <c r="A17" s="39">
        <v>45819.994490740741</v>
      </c>
      <c r="B17" t="s">
        <v>217</v>
      </c>
      <c r="C17">
        <v>34</v>
      </c>
      <c r="D17" t="s">
        <v>371</v>
      </c>
      <c r="E17" t="s">
        <v>336</v>
      </c>
      <c r="F17">
        <v>1.11635774721538E-2</v>
      </c>
      <c r="G17">
        <v>1.4414314213911759E-2</v>
      </c>
      <c r="H17" s="54">
        <v>85920203</v>
      </c>
      <c r="I17" t="s">
        <v>336</v>
      </c>
      <c r="J17" t="s">
        <v>373</v>
      </c>
    </row>
    <row r="18" spans="1:10" x14ac:dyDescent="0.3">
      <c r="A18" s="39">
        <v>45819.994490740741</v>
      </c>
      <c r="B18" t="s">
        <v>217</v>
      </c>
      <c r="C18">
        <v>105</v>
      </c>
      <c r="D18" t="s">
        <v>371</v>
      </c>
      <c r="E18" t="s">
        <v>337</v>
      </c>
      <c r="F18">
        <v>1.69277258618775E-3</v>
      </c>
      <c r="G18">
        <v>6.5171744568228293E-3</v>
      </c>
      <c r="H18" s="54">
        <v>85920203</v>
      </c>
      <c r="I18" t="s">
        <v>337</v>
      </c>
      <c r="J18" t="s">
        <v>373</v>
      </c>
    </row>
    <row r="19" spans="1:10" x14ac:dyDescent="0.3">
      <c r="A19" s="39">
        <v>45819.994490740741</v>
      </c>
      <c r="B19" t="s">
        <v>217</v>
      </c>
      <c r="C19">
        <v>93</v>
      </c>
      <c r="D19" t="s">
        <v>371</v>
      </c>
      <c r="E19" t="s">
        <v>338</v>
      </c>
      <c r="F19">
        <v>0.1440086445</v>
      </c>
      <c r="G19">
        <v>0.19080691560000002</v>
      </c>
      <c r="H19" s="54">
        <v>85920203</v>
      </c>
      <c r="I19" t="s">
        <v>338</v>
      </c>
      <c r="J19" t="s">
        <v>373</v>
      </c>
    </row>
    <row r="20" spans="1:10" x14ac:dyDescent="0.3">
      <c r="A20" s="39">
        <v>45819.994490740741</v>
      </c>
      <c r="B20" t="s">
        <v>218</v>
      </c>
      <c r="C20">
        <v>18</v>
      </c>
      <c r="D20" t="s">
        <v>371</v>
      </c>
      <c r="E20" t="s">
        <v>13</v>
      </c>
      <c r="F20">
        <v>3.2507367417579598E-2</v>
      </c>
      <c r="G20">
        <v>2.925663067582164E-2</v>
      </c>
      <c r="H20" s="54">
        <v>85920203</v>
      </c>
      <c r="I20" t="s">
        <v>336</v>
      </c>
      <c r="J20" t="s">
        <v>372</v>
      </c>
    </row>
    <row r="21" spans="1:10" x14ac:dyDescent="0.3">
      <c r="A21" s="39">
        <v>45819.994490740741</v>
      </c>
      <c r="B21" t="s">
        <v>218</v>
      </c>
      <c r="C21">
        <v>109</v>
      </c>
      <c r="D21" t="s">
        <v>371</v>
      </c>
      <c r="E21" t="s">
        <v>60</v>
      </c>
      <c r="F21">
        <v>3.8933483421619598E-2</v>
      </c>
      <c r="G21">
        <v>3.3093460908376657E-2</v>
      </c>
      <c r="H21" s="54">
        <v>85920203</v>
      </c>
      <c r="I21" t="s">
        <v>337</v>
      </c>
      <c r="J21" t="s">
        <v>372</v>
      </c>
    </row>
    <row r="22" spans="1:10" x14ac:dyDescent="0.3">
      <c r="A22" s="39">
        <v>45819.994490740741</v>
      </c>
      <c r="B22" t="s">
        <v>218</v>
      </c>
      <c r="C22">
        <v>98</v>
      </c>
      <c r="D22" t="s">
        <v>371</v>
      </c>
      <c r="E22" t="s">
        <v>14</v>
      </c>
      <c r="F22">
        <v>6.1917463198661801E-2</v>
      </c>
      <c r="G22">
        <v>4.9533970558929441E-2</v>
      </c>
      <c r="H22" s="54">
        <v>85920203</v>
      </c>
      <c r="I22" t="s">
        <v>338</v>
      </c>
      <c r="J22" t="s">
        <v>372</v>
      </c>
    </row>
    <row r="23" spans="1:10" x14ac:dyDescent="0.3">
      <c r="A23" s="39">
        <v>45819.994490740741</v>
      </c>
      <c r="B23" t="s">
        <v>218</v>
      </c>
      <c r="C23">
        <v>34</v>
      </c>
      <c r="D23" t="s">
        <v>371</v>
      </c>
      <c r="E23" t="s">
        <v>336</v>
      </c>
      <c r="F23">
        <v>1.11635774721538E-2</v>
      </c>
      <c r="G23">
        <v>1.4414314213911759E-2</v>
      </c>
      <c r="H23" s="54">
        <v>85920203</v>
      </c>
      <c r="I23" t="s">
        <v>336</v>
      </c>
      <c r="J23" t="s">
        <v>373</v>
      </c>
    </row>
    <row r="24" spans="1:10" x14ac:dyDescent="0.3">
      <c r="A24" s="39">
        <v>45819.994490740741</v>
      </c>
      <c r="B24" t="s">
        <v>218</v>
      </c>
      <c r="C24">
        <v>104</v>
      </c>
      <c r="D24" t="s">
        <v>371</v>
      </c>
      <c r="E24" t="s">
        <v>337</v>
      </c>
      <c r="F24">
        <v>2.0491307064010298E-3</v>
      </c>
      <c r="G24">
        <v>7.8891532196439691E-3</v>
      </c>
      <c r="H24" s="54">
        <v>85920203</v>
      </c>
      <c r="I24" t="s">
        <v>337</v>
      </c>
      <c r="J24" t="s">
        <v>373</v>
      </c>
    </row>
    <row r="25" spans="1:10" x14ac:dyDescent="0.3">
      <c r="A25" s="39">
        <v>45819.994490740741</v>
      </c>
      <c r="B25" t="s">
        <v>218</v>
      </c>
      <c r="C25">
        <v>94</v>
      </c>
      <c r="D25" t="s">
        <v>371</v>
      </c>
      <c r="E25" t="s">
        <v>338</v>
      </c>
      <c r="F25">
        <v>3.8106749401338201E-2</v>
      </c>
      <c r="G25">
        <v>5.0490242041070561E-2</v>
      </c>
      <c r="H25" s="54">
        <v>85920203</v>
      </c>
      <c r="I25" t="s">
        <v>338</v>
      </c>
      <c r="J25" t="s">
        <v>373</v>
      </c>
    </row>
    <row r="26" spans="1:10" x14ac:dyDescent="0.3">
      <c r="A26" s="39">
        <v>45819.994490740741</v>
      </c>
      <c r="B26" t="s">
        <v>219</v>
      </c>
      <c r="C26">
        <v>18</v>
      </c>
      <c r="D26" t="s">
        <v>371</v>
      </c>
      <c r="E26" t="s">
        <v>13</v>
      </c>
      <c r="F26">
        <v>3.2507367417579598E-2</v>
      </c>
      <c r="G26">
        <v>2.925663067582164E-2</v>
      </c>
      <c r="H26" s="54">
        <v>85920203</v>
      </c>
      <c r="I26" t="s">
        <v>336</v>
      </c>
      <c r="J26" t="s">
        <v>372</v>
      </c>
    </row>
    <row r="27" spans="1:10" x14ac:dyDescent="0.3">
      <c r="A27" s="39">
        <v>45819.994490740741</v>
      </c>
      <c r="B27" t="s">
        <v>219</v>
      </c>
      <c r="C27">
        <v>110</v>
      </c>
      <c r="D27" t="s">
        <v>371</v>
      </c>
      <c r="E27" t="s">
        <v>60</v>
      </c>
      <c r="F27">
        <v>2.85679680262589E-2</v>
      </c>
      <c r="G27">
        <v>2.4282772822320064E-2</v>
      </c>
      <c r="H27" s="54">
        <v>85920203</v>
      </c>
      <c r="I27" t="s">
        <v>337</v>
      </c>
      <c r="J27" t="s">
        <v>372</v>
      </c>
    </row>
    <row r="28" spans="1:10" x14ac:dyDescent="0.3">
      <c r="A28" s="39">
        <v>45819.994490740741</v>
      </c>
      <c r="B28" t="s">
        <v>219</v>
      </c>
      <c r="C28">
        <v>99</v>
      </c>
      <c r="D28" t="s">
        <v>371</v>
      </c>
      <c r="E28" t="s">
        <v>14</v>
      </c>
      <c r="F28">
        <v>0.51879226247999999</v>
      </c>
      <c r="G28">
        <v>0.41503380998400002</v>
      </c>
      <c r="H28" s="54">
        <v>85920203</v>
      </c>
      <c r="I28" t="s">
        <v>338</v>
      </c>
      <c r="J28" t="s">
        <v>372</v>
      </c>
    </row>
    <row r="29" spans="1:10" x14ac:dyDescent="0.3">
      <c r="A29" s="39">
        <v>45819.994490740741</v>
      </c>
      <c r="B29" t="s">
        <v>219</v>
      </c>
      <c r="C29">
        <v>34</v>
      </c>
      <c r="D29" t="s">
        <v>371</v>
      </c>
      <c r="E29" t="s">
        <v>336</v>
      </c>
      <c r="F29">
        <v>1.11635774721538E-2</v>
      </c>
      <c r="G29">
        <v>1.4414314213911759E-2</v>
      </c>
      <c r="H29" s="54">
        <v>85920203</v>
      </c>
      <c r="I29" t="s">
        <v>336</v>
      </c>
      <c r="J29" t="s">
        <v>373</v>
      </c>
    </row>
    <row r="30" spans="1:10" x14ac:dyDescent="0.3">
      <c r="A30" s="39">
        <v>45819.994490740741</v>
      </c>
      <c r="B30" t="s">
        <v>219</v>
      </c>
      <c r="C30">
        <v>105</v>
      </c>
      <c r="D30" t="s">
        <v>371</v>
      </c>
      <c r="E30" t="s">
        <v>337</v>
      </c>
      <c r="F30">
        <v>1.5035772645399399E-3</v>
      </c>
      <c r="G30">
        <v>5.7887724684787751E-3</v>
      </c>
      <c r="H30" s="54">
        <v>85920203</v>
      </c>
      <c r="I30" t="s">
        <v>337</v>
      </c>
      <c r="J30" t="s">
        <v>373</v>
      </c>
    </row>
    <row r="31" spans="1:10" x14ac:dyDescent="0.3">
      <c r="A31" s="39">
        <v>45819.994490740741</v>
      </c>
      <c r="B31" t="s">
        <v>219</v>
      </c>
      <c r="C31">
        <v>92</v>
      </c>
      <c r="D31" t="s">
        <v>371</v>
      </c>
      <c r="E31" t="s">
        <v>338</v>
      </c>
      <c r="F31">
        <v>0.31928773752</v>
      </c>
      <c r="G31">
        <v>0.42304619001600002</v>
      </c>
      <c r="H31" s="54">
        <v>85920203</v>
      </c>
      <c r="I31" t="s">
        <v>338</v>
      </c>
      <c r="J31" t="s">
        <v>373</v>
      </c>
    </row>
    <row r="32" spans="1:10" x14ac:dyDescent="0.3">
      <c r="A32" s="39">
        <v>45819.994490740741</v>
      </c>
      <c r="B32" t="s">
        <v>220</v>
      </c>
      <c r="C32">
        <v>18</v>
      </c>
      <c r="D32" t="s">
        <v>371</v>
      </c>
      <c r="E32" t="s">
        <v>13</v>
      </c>
      <c r="F32">
        <v>3.2507367417579598E-2</v>
      </c>
      <c r="G32">
        <v>2.925663067582164E-2</v>
      </c>
      <c r="H32" s="54">
        <v>85920203</v>
      </c>
      <c r="I32" t="s">
        <v>336</v>
      </c>
      <c r="J32" t="s">
        <v>372</v>
      </c>
    </row>
    <row r="33" spans="1:10" x14ac:dyDescent="0.3">
      <c r="A33" s="39">
        <v>45819.994490740741</v>
      </c>
      <c r="B33" t="s">
        <v>220</v>
      </c>
      <c r="C33">
        <v>109</v>
      </c>
      <c r="D33" t="s">
        <v>371</v>
      </c>
      <c r="E33" t="s">
        <v>60</v>
      </c>
      <c r="F33">
        <v>6.9261293760649295E-2</v>
      </c>
      <c r="G33">
        <v>5.8872099696551897E-2</v>
      </c>
      <c r="H33" s="54">
        <v>85920203</v>
      </c>
      <c r="I33" t="s">
        <v>337</v>
      </c>
      <c r="J33" t="s">
        <v>372</v>
      </c>
    </row>
    <row r="34" spans="1:10" x14ac:dyDescent="0.3">
      <c r="A34" s="39">
        <v>45819.994490740741</v>
      </c>
      <c r="B34" t="s">
        <v>220</v>
      </c>
      <c r="C34">
        <v>97</v>
      </c>
      <c r="D34" t="s">
        <v>371</v>
      </c>
      <c r="E34" t="s">
        <v>14</v>
      </c>
      <c r="F34">
        <v>0.54678497057798903</v>
      </c>
      <c r="G34">
        <v>0.43742797646239123</v>
      </c>
      <c r="H34" s="54">
        <v>85920203</v>
      </c>
      <c r="I34" t="s">
        <v>338</v>
      </c>
      <c r="J34" t="s">
        <v>372</v>
      </c>
    </row>
    <row r="35" spans="1:10" x14ac:dyDescent="0.3">
      <c r="A35" s="39">
        <v>45819.994490740741</v>
      </c>
      <c r="B35" t="s">
        <v>220</v>
      </c>
      <c r="C35">
        <v>34</v>
      </c>
      <c r="D35" t="s">
        <v>371</v>
      </c>
      <c r="E35" t="s">
        <v>336</v>
      </c>
      <c r="F35">
        <v>1.11635774721538E-2</v>
      </c>
      <c r="G35">
        <v>1.4414314213911759E-2</v>
      </c>
      <c r="H35" s="54">
        <v>85920203</v>
      </c>
      <c r="I35" t="s">
        <v>336</v>
      </c>
      <c r="J35" t="s">
        <v>373</v>
      </c>
    </row>
    <row r="36" spans="1:10" x14ac:dyDescent="0.3">
      <c r="A36" s="39">
        <v>45819.994490740741</v>
      </c>
      <c r="B36" t="s">
        <v>220</v>
      </c>
      <c r="C36">
        <v>106</v>
      </c>
      <c r="D36" t="s">
        <v>371</v>
      </c>
      <c r="E36" t="s">
        <v>337</v>
      </c>
      <c r="F36">
        <v>3.6453312505604898E-3</v>
      </c>
      <c r="G36">
        <v>1.4034525314657882E-2</v>
      </c>
      <c r="H36" s="54">
        <v>85920203</v>
      </c>
      <c r="I36" t="s">
        <v>337</v>
      </c>
      <c r="J36" t="s">
        <v>373</v>
      </c>
    </row>
    <row r="37" spans="1:10" x14ac:dyDescent="0.3">
      <c r="A37" s="39">
        <v>45819.994490740741</v>
      </c>
      <c r="B37" t="s">
        <v>220</v>
      </c>
      <c r="C37">
        <v>93</v>
      </c>
      <c r="D37" t="s">
        <v>371</v>
      </c>
      <c r="E37" t="s">
        <v>338</v>
      </c>
      <c r="F37">
        <v>0.33651568998201098</v>
      </c>
      <c r="G37">
        <v>0.44587268409760877</v>
      </c>
      <c r="H37" s="54">
        <v>85920203</v>
      </c>
      <c r="I37" t="s">
        <v>338</v>
      </c>
      <c r="J37" t="s">
        <v>373</v>
      </c>
    </row>
    <row r="38" spans="1:10" x14ac:dyDescent="0.3">
      <c r="A38" s="39">
        <v>45820.00886574074</v>
      </c>
      <c r="B38" t="s">
        <v>223</v>
      </c>
      <c r="C38">
        <v>18</v>
      </c>
      <c r="D38" t="s">
        <v>371</v>
      </c>
      <c r="E38" t="s">
        <v>13</v>
      </c>
      <c r="F38">
        <v>2.3697870847415599E-2</v>
      </c>
      <c r="G38">
        <v>2.132808376267404E-2</v>
      </c>
      <c r="H38" s="54">
        <v>763622</v>
      </c>
      <c r="I38" t="s">
        <v>336</v>
      </c>
      <c r="J38" t="s">
        <v>372</v>
      </c>
    </row>
    <row r="39" spans="1:10" x14ac:dyDescent="0.3">
      <c r="A39" s="39">
        <v>45820.00886574074</v>
      </c>
      <c r="B39" t="s">
        <v>223</v>
      </c>
      <c r="C39">
        <v>110</v>
      </c>
      <c r="D39" t="s">
        <v>371</v>
      </c>
      <c r="E39" t="s">
        <v>60</v>
      </c>
      <c r="F39">
        <v>4.11125829174517E-2</v>
      </c>
      <c r="G39">
        <v>3.4945695479833942E-2</v>
      </c>
      <c r="H39" s="54">
        <v>763622</v>
      </c>
      <c r="I39" t="s">
        <v>337</v>
      </c>
      <c r="J39" t="s">
        <v>372</v>
      </c>
    </row>
    <row r="40" spans="1:10" x14ac:dyDescent="0.3">
      <c r="A40" s="39">
        <v>45820.00886574074</v>
      </c>
      <c r="B40" t="s">
        <v>223</v>
      </c>
      <c r="C40">
        <v>98</v>
      </c>
      <c r="D40" t="s">
        <v>371</v>
      </c>
      <c r="E40" t="s">
        <v>14</v>
      </c>
      <c r="F40">
        <v>0.43742797646239101</v>
      </c>
      <c r="G40">
        <v>0.34994238116991283</v>
      </c>
      <c r="H40" s="54">
        <v>763622</v>
      </c>
      <c r="I40" t="s">
        <v>338</v>
      </c>
      <c r="J40" t="s">
        <v>372</v>
      </c>
    </row>
    <row r="41" spans="1:10" x14ac:dyDescent="0.3">
      <c r="A41" s="39">
        <v>45820.00886574074</v>
      </c>
      <c r="B41" t="s">
        <v>223</v>
      </c>
      <c r="C41">
        <v>34</v>
      </c>
      <c r="D41" t="s">
        <v>371</v>
      </c>
      <c r="E41" t="s">
        <v>336</v>
      </c>
      <c r="F41">
        <v>1.3110407587495499E-2</v>
      </c>
      <c r="G41">
        <v>1.548019467223706E-2</v>
      </c>
      <c r="H41" s="54">
        <v>763622</v>
      </c>
      <c r="I41" t="s">
        <v>336</v>
      </c>
      <c r="J41" t="s">
        <v>373</v>
      </c>
    </row>
    <row r="42" spans="1:10" x14ac:dyDescent="0.3">
      <c r="A42" s="39">
        <v>45820.00886574074</v>
      </c>
      <c r="B42" t="s">
        <v>223</v>
      </c>
      <c r="C42">
        <v>105</v>
      </c>
      <c r="D42" t="s">
        <v>371</v>
      </c>
      <c r="E42" t="s">
        <v>337</v>
      </c>
      <c r="F42">
        <v>9.8008324601974693E-3</v>
      </c>
      <c r="G42">
        <v>1.5967719897815223E-2</v>
      </c>
      <c r="H42" s="54">
        <v>763622</v>
      </c>
      <c r="I42" t="s">
        <v>337</v>
      </c>
      <c r="J42" t="s">
        <v>373</v>
      </c>
    </row>
    <row r="43" spans="1:10" x14ac:dyDescent="0.3">
      <c r="A43" s="39">
        <v>45820.00886574074</v>
      </c>
      <c r="B43" t="s">
        <v>223</v>
      </c>
      <c r="C43">
        <v>93</v>
      </c>
      <c r="D43" t="s">
        <v>371</v>
      </c>
      <c r="E43" t="s">
        <v>338</v>
      </c>
      <c r="F43">
        <v>0.445872684097609</v>
      </c>
      <c r="G43">
        <v>0.53335827939008718</v>
      </c>
      <c r="H43" s="54">
        <v>763622</v>
      </c>
      <c r="I43" t="s">
        <v>338</v>
      </c>
      <c r="J43" t="s">
        <v>373</v>
      </c>
    </row>
    <row r="44" spans="1:10" x14ac:dyDescent="0.3">
      <c r="A44" s="39">
        <v>45820.008877314816</v>
      </c>
      <c r="B44" t="s">
        <v>58</v>
      </c>
      <c r="C44">
        <v>18</v>
      </c>
      <c r="D44" t="s">
        <v>371</v>
      </c>
      <c r="E44" t="s">
        <v>13</v>
      </c>
      <c r="F44">
        <v>2.9256630675821599E-2</v>
      </c>
      <c r="G44">
        <v>2.6330967608239438E-2</v>
      </c>
      <c r="H44" s="54">
        <v>763622</v>
      </c>
      <c r="I44" t="s">
        <v>336</v>
      </c>
      <c r="J44" t="s">
        <v>372</v>
      </c>
    </row>
    <row r="45" spans="1:10" x14ac:dyDescent="0.3">
      <c r="A45" s="39">
        <v>45820.008877314816</v>
      </c>
      <c r="B45" t="s">
        <v>58</v>
      </c>
      <c r="C45">
        <v>108</v>
      </c>
      <c r="D45" t="s">
        <v>371</v>
      </c>
      <c r="E45" t="s">
        <v>60</v>
      </c>
      <c r="F45">
        <v>2.3518896711167001E-2</v>
      </c>
      <c r="G45">
        <v>1.9991062204491952E-2</v>
      </c>
      <c r="H45" s="54">
        <v>763622</v>
      </c>
      <c r="I45" t="s">
        <v>337</v>
      </c>
      <c r="J45" t="s">
        <v>372</v>
      </c>
    </row>
    <row r="46" spans="1:10" x14ac:dyDescent="0.3">
      <c r="A46" s="39">
        <v>45820.008877314816</v>
      </c>
      <c r="B46" t="s">
        <v>58</v>
      </c>
      <c r="C46">
        <v>97</v>
      </c>
      <c r="D46" t="s">
        <v>371</v>
      </c>
      <c r="E46" t="s">
        <v>14</v>
      </c>
      <c r="F46">
        <v>0.14984360708399999</v>
      </c>
      <c r="G46">
        <v>0.1198748856672</v>
      </c>
      <c r="H46" s="54">
        <v>763622</v>
      </c>
      <c r="I46" t="s">
        <v>338</v>
      </c>
      <c r="J46" t="s">
        <v>372</v>
      </c>
    </row>
    <row r="47" spans="1:10" x14ac:dyDescent="0.3">
      <c r="A47" s="39">
        <v>45820.008877314816</v>
      </c>
      <c r="B47" t="s">
        <v>58</v>
      </c>
      <c r="C47">
        <v>34</v>
      </c>
      <c r="D47" t="s">
        <v>371</v>
      </c>
      <c r="E47" t="s">
        <v>336</v>
      </c>
      <c r="F47">
        <v>1.4414314213911801E-2</v>
      </c>
      <c r="G47">
        <v>1.733997728149396E-2</v>
      </c>
      <c r="H47" s="54">
        <v>763622</v>
      </c>
      <c r="I47" t="s">
        <v>336</v>
      </c>
      <c r="J47" t="s">
        <v>373</v>
      </c>
    </row>
    <row r="48" spans="1:10" x14ac:dyDescent="0.3">
      <c r="A48" s="39">
        <v>45820.008877314816</v>
      </c>
      <c r="B48" t="s">
        <v>58</v>
      </c>
      <c r="C48">
        <v>103</v>
      </c>
      <c r="D48" t="s">
        <v>371</v>
      </c>
      <c r="E48" t="s">
        <v>337</v>
      </c>
      <c r="F48">
        <v>5.6066719713927602E-3</v>
      </c>
      <c r="G48">
        <v>9.1345064780678099E-3</v>
      </c>
      <c r="H48" s="54">
        <v>763622</v>
      </c>
      <c r="I48" t="s">
        <v>337</v>
      </c>
      <c r="J48" t="s">
        <v>373</v>
      </c>
    </row>
    <row r="49" spans="1:10" x14ac:dyDescent="0.3">
      <c r="A49" s="39">
        <v>45820.008877314816</v>
      </c>
      <c r="B49" t="s">
        <v>58</v>
      </c>
      <c r="C49">
        <v>92</v>
      </c>
      <c r="D49" t="s">
        <v>371</v>
      </c>
      <c r="E49" t="s">
        <v>338</v>
      </c>
      <c r="F49">
        <v>0.152736392916</v>
      </c>
      <c r="G49">
        <v>0.18270511433280001</v>
      </c>
      <c r="H49" s="54">
        <v>763622</v>
      </c>
      <c r="I49" t="s">
        <v>338</v>
      </c>
      <c r="J49" t="s">
        <v>373</v>
      </c>
    </row>
    <row r="50" spans="1:10" x14ac:dyDescent="0.3">
      <c r="A50" s="39">
        <v>45820.008877314816</v>
      </c>
      <c r="B50" t="s">
        <v>217</v>
      </c>
      <c r="C50">
        <v>18</v>
      </c>
      <c r="D50" t="s">
        <v>371</v>
      </c>
      <c r="E50" t="s">
        <v>13</v>
      </c>
      <c r="F50">
        <v>2.9256630675821599E-2</v>
      </c>
      <c r="G50">
        <v>2.6330967608239438E-2</v>
      </c>
      <c r="H50" s="54">
        <v>763622</v>
      </c>
      <c r="I50" t="s">
        <v>336</v>
      </c>
      <c r="J50" t="s">
        <v>372</v>
      </c>
    </row>
    <row r="51" spans="1:10" x14ac:dyDescent="0.3">
      <c r="A51" s="39">
        <v>45820.008877314816</v>
      </c>
      <c r="B51" t="s">
        <v>217</v>
      </c>
      <c r="C51">
        <v>110</v>
      </c>
      <c r="D51" t="s">
        <v>371</v>
      </c>
      <c r="E51" t="s">
        <v>60</v>
      </c>
      <c r="F51">
        <v>2.7338277266932099E-2</v>
      </c>
      <c r="G51">
        <v>2.3237535676892282E-2</v>
      </c>
      <c r="H51" s="54">
        <v>763622</v>
      </c>
      <c r="I51" t="s">
        <v>337</v>
      </c>
      <c r="J51" t="s">
        <v>372</v>
      </c>
    </row>
    <row r="52" spans="1:10" x14ac:dyDescent="0.3">
      <c r="A52" s="39">
        <v>45820.008877314816</v>
      </c>
      <c r="B52" t="s">
        <v>217</v>
      </c>
      <c r="C52">
        <v>99</v>
      </c>
      <c r="D52" t="s">
        <v>371</v>
      </c>
      <c r="E52" t="s">
        <v>14</v>
      </c>
      <c r="F52">
        <v>0.18719308439999999</v>
      </c>
      <c r="G52">
        <v>0.14975446751999999</v>
      </c>
      <c r="H52" s="54">
        <v>763622</v>
      </c>
      <c r="I52" t="s">
        <v>338</v>
      </c>
      <c r="J52" t="s">
        <v>372</v>
      </c>
    </row>
    <row r="53" spans="1:10" x14ac:dyDescent="0.3">
      <c r="A53" s="39">
        <v>45820.008877314816</v>
      </c>
      <c r="B53" t="s">
        <v>217</v>
      </c>
      <c r="C53">
        <v>34</v>
      </c>
      <c r="D53" t="s">
        <v>371</v>
      </c>
      <c r="E53" t="s">
        <v>336</v>
      </c>
      <c r="F53">
        <v>1.4414314213911801E-2</v>
      </c>
      <c r="G53">
        <v>1.733997728149396E-2</v>
      </c>
      <c r="H53" s="54">
        <v>763622</v>
      </c>
      <c r="I53" t="s">
        <v>336</v>
      </c>
      <c r="J53" t="s">
        <v>373</v>
      </c>
    </row>
    <row r="54" spans="1:10" x14ac:dyDescent="0.3">
      <c r="A54" s="39">
        <v>45820.008877314816</v>
      </c>
      <c r="B54" t="s">
        <v>217</v>
      </c>
      <c r="C54">
        <v>105</v>
      </c>
      <c r="D54" t="s">
        <v>371</v>
      </c>
      <c r="E54" t="s">
        <v>337</v>
      </c>
      <c r="F54">
        <v>6.5171744568228301E-3</v>
      </c>
      <c r="G54">
        <v>1.0617916046862644E-2</v>
      </c>
      <c r="H54" s="54">
        <v>763622</v>
      </c>
      <c r="I54" t="s">
        <v>337</v>
      </c>
      <c r="J54" t="s">
        <v>373</v>
      </c>
    </row>
    <row r="55" spans="1:10" x14ac:dyDescent="0.3">
      <c r="A55" s="39">
        <v>45820.008877314816</v>
      </c>
      <c r="B55" t="s">
        <v>217</v>
      </c>
      <c r="C55">
        <v>93</v>
      </c>
      <c r="D55" t="s">
        <v>371</v>
      </c>
      <c r="E55" t="s">
        <v>338</v>
      </c>
      <c r="F55">
        <v>0.19080691559999999</v>
      </c>
      <c r="G55">
        <v>0.22824553247999999</v>
      </c>
      <c r="H55" s="54">
        <v>763622</v>
      </c>
      <c r="I55" t="s">
        <v>338</v>
      </c>
      <c r="J55" t="s">
        <v>373</v>
      </c>
    </row>
    <row r="56" spans="1:10" x14ac:dyDescent="0.3">
      <c r="A56" s="39">
        <v>45820.008877314816</v>
      </c>
      <c r="B56" t="s">
        <v>218</v>
      </c>
      <c r="C56">
        <v>18</v>
      </c>
      <c r="D56" t="s">
        <v>371</v>
      </c>
      <c r="E56" t="s">
        <v>13</v>
      </c>
      <c r="F56">
        <v>2.9256630675821599E-2</v>
      </c>
      <c r="G56">
        <v>2.6330967608239438E-2</v>
      </c>
      <c r="H56" s="54">
        <v>763622</v>
      </c>
      <c r="I56" t="s">
        <v>336</v>
      </c>
      <c r="J56" t="s">
        <v>372</v>
      </c>
    </row>
    <row r="57" spans="1:10" x14ac:dyDescent="0.3">
      <c r="A57" s="39">
        <v>45820.008877314816</v>
      </c>
      <c r="B57" t="s">
        <v>218</v>
      </c>
      <c r="C57">
        <v>109</v>
      </c>
      <c r="D57" t="s">
        <v>371</v>
      </c>
      <c r="E57" t="s">
        <v>60</v>
      </c>
      <c r="F57">
        <v>3.3093460908376698E-2</v>
      </c>
      <c r="G57">
        <v>2.8129441772120192E-2</v>
      </c>
      <c r="H57" s="54">
        <v>763622</v>
      </c>
      <c r="I57" t="s">
        <v>337</v>
      </c>
      <c r="J57" t="s">
        <v>372</v>
      </c>
    </row>
    <row r="58" spans="1:10" x14ac:dyDescent="0.3">
      <c r="A58" s="39">
        <v>45820.008877314816</v>
      </c>
      <c r="B58" t="s">
        <v>218</v>
      </c>
      <c r="C58">
        <v>98</v>
      </c>
      <c r="D58" t="s">
        <v>371</v>
      </c>
      <c r="E58" t="s">
        <v>14</v>
      </c>
      <c r="F58">
        <v>4.9533970558929399E-2</v>
      </c>
      <c r="G58">
        <v>3.9627176447143524E-2</v>
      </c>
      <c r="H58" s="54">
        <v>763622</v>
      </c>
      <c r="I58" t="s">
        <v>338</v>
      </c>
      <c r="J58" t="s">
        <v>372</v>
      </c>
    </row>
    <row r="59" spans="1:10" x14ac:dyDescent="0.3">
      <c r="A59" s="39">
        <v>45820.008877314816</v>
      </c>
      <c r="B59" t="s">
        <v>218</v>
      </c>
      <c r="C59">
        <v>34</v>
      </c>
      <c r="D59" t="s">
        <v>371</v>
      </c>
      <c r="E59" t="s">
        <v>336</v>
      </c>
      <c r="F59">
        <v>1.4414314213911801E-2</v>
      </c>
      <c r="G59">
        <v>1.733997728149396E-2</v>
      </c>
      <c r="H59" s="54">
        <v>763622</v>
      </c>
      <c r="I59" t="s">
        <v>336</v>
      </c>
      <c r="J59" t="s">
        <v>373</v>
      </c>
    </row>
    <row r="60" spans="1:10" x14ac:dyDescent="0.3">
      <c r="A60" s="39">
        <v>45820.008877314816</v>
      </c>
      <c r="B60" t="s">
        <v>218</v>
      </c>
      <c r="C60">
        <v>104</v>
      </c>
      <c r="D60" t="s">
        <v>371</v>
      </c>
      <c r="E60" t="s">
        <v>337</v>
      </c>
      <c r="F60">
        <v>7.8891532196439709E-3</v>
      </c>
      <c r="G60">
        <v>1.2853172355900475E-2</v>
      </c>
      <c r="H60" s="54">
        <v>763622</v>
      </c>
      <c r="I60" t="s">
        <v>337</v>
      </c>
      <c r="J60" t="s">
        <v>373</v>
      </c>
    </row>
    <row r="61" spans="1:10" x14ac:dyDescent="0.3">
      <c r="A61" s="39">
        <v>45820.008877314816</v>
      </c>
      <c r="B61" t="s">
        <v>218</v>
      </c>
      <c r="C61">
        <v>94</v>
      </c>
      <c r="D61" t="s">
        <v>371</v>
      </c>
      <c r="E61" t="s">
        <v>338</v>
      </c>
      <c r="F61">
        <v>5.0490242041070603E-2</v>
      </c>
      <c r="G61">
        <v>6.0397036152856486E-2</v>
      </c>
      <c r="H61" s="54">
        <v>763622</v>
      </c>
      <c r="I61" t="s">
        <v>338</v>
      </c>
      <c r="J61" t="s">
        <v>373</v>
      </c>
    </row>
    <row r="62" spans="1:10" x14ac:dyDescent="0.3">
      <c r="A62" s="39">
        <v>45820.008877314816</v>
      </c>
      <c r="B62" t="s">
        <v>219</v>
      </c>
      <c r="C62">
        <v>18</v>
      </c>
      <c r="D62" t="s">
        <v>371</v>
      </c>
      <c r="E62" t="s">
        <v>13</v>
      </c>
      <c r="F62">
        <v>2.9256630675821599E-2</v>
      </c>
      <c r="G62">
        <v>2.6330967608239438E-2</v>
      </c>
      <c r="H62" s="54">
        <v>763622</v>
      </c>
      <c r="I62" t="s">
        <v>336</v>
      </c>
      <c r="J62" t="s">
        <v>372</v>
      </c>
    </row>
    <row r="63" spans="1:10" x14ac:dyDescent="0.3">
      <c r="A63" s="39">
        <v>45820.008877314816</v>
      </c>
      <c r="B63" t="s">
        <v>219</v>
      </c>
      <c r="C63">
        <v>110</v>
      </c>
      <c r="D63" t="s">
        <v>371</v>
      </c>
      <c r="E63" t="s">
        <v>60</v>
      </c>
      <c r="F63">
        <v>2.4282772822320099E-2</v>
      </c>
      <c r="G63">
        <v>2.0640356898972083E-2</v>
      </c>
      <c r="H63" s="54">
        <v>763622</v>
      </c>
      <c r="I63" t="s">
        <v>337</v>
      </c>
      <c r="J63" t="s">
        <v>372</v>
      </c>
    </row>
    <row r="64" spans="1:10" x14ac:dyDescent="0.3">
      <c r="A64" s="39">
        <v>45820.008877314816</v>
      </c>
      <c r="B64" t="s">
        <v>219</v>
      </c>
      <c r="C64">
        <v>99</v>
      </c>
      <c r="D64" t="s">
        <v>371</v>
      </c>
      <c r="E64" t="s">
        <v>14</v>
      </c>
      <c r="F64">
        <v>0.41503380998400002</v>
      </c>
      <c r="G64">
        <v>0.33202704798720006</v>
      </c>
      <c r="H64" s="54">
        <v>763622</v>
      </c>
      <c r="I64" t="s">
        <v>338</v>
      </c>
      <c r="J64" t="s">
        <v>372</v>
      </c>
    </row>
    <row r="65" spans="1:10" x14ac:dyDescent="0.3">
      <c r="A65" s="39">
        <v>45820.008877314816</v>
      </c>
      <c r="B65" t="s">
        <v>219</v>
      </c>
      <c r="C65">
        <v>34</v>
      </c>
      <c r="D65" t="s">
        <v>371</v>
      </c>
      <c r="E65" t="s">
        <v>336</v>
      </c>
      <c r="F65">
        <v>1.4414314213911801E-2</v>
      </c>
      <c r="G65">
        <v>1.733997728149396E-2</v>
      </c>
      <c r="H65" s="54">
        <v>763622</v>
      </c>
      <c r="I65" t="s">
        <v>336</v>
      </c>
      <c r="J65" t="s">
        <v>373</v>
      </c>
    </row>
    <row r="66" spans="1:10" x14ac:dyDescent="0.3">
      <c r="A66" s="39">
        <v>45820.008877314816</v>
      </c>
      <c r="B66" t="s">
        <v>219</v>
      </c>
      <c r="C66">
        <v>105</v>
      </c>
      <c r="D66" t="s">
        <v>371</v>
      </c>
      <c r="E66" t="s">
        <v>337</v>
      </c>
      <c r="F66">
        <v>5.7887724684787803E-3</v>
      </c>
      <c r="G66">
        <v>9.431188391826795E-3</v>
      </c>
      <c r="H66" s="54">
        <v>763622</v>
      </c>
      <c r="I66" t="s">
        <v>337</v>
      </c>
      <c r="J66" t="s">
        <v>373</v>
      </c>
    </row>
    <row r="67" spans="1:10" x14ac:dyDescent="0.3">
      <c r="A67" s="39">
        <v>45820.008877314816</v>
      </c>
      <c r="B67" t="s">
        <v>219</v>
      </c>
      <c r="C67">
        <v>92</v>
      </c>
      <c r="D67" t="s">
        <v>371</v>
      </c>
      <c r="E67" t="s">
        <v>338</v>
      </c>
      <c r="F67">
        <v>0.42304619001600002</v>
      </c>
      <c r="G67">
        <v>0.50605295201280009</v>
      </c>
      <c r="H67" s="54">
        <v>763622</v>
      </c>
      <c r="I67" t="s">
        <v>338</v>
      </c>
      <c r="J67" t="s">
        <v>373</v>
      </c>
    </row>
    <row r="68" spans="1:10" x14ac:dyDescent="0.3">
      <c r="A68" s="39">
        <v>45820.008877314816</v>
      </c>
      <c r="B68" t="s">
        <v>220</v>
      </c>
      <c r="C68">
        <v>18</v>
      </c>
      <c r="D68" t="s">
        <v>371</v>
      </c>
      <c r="E68" t="s">
        <v>13</v>
      </c>
      <c r="F68">
        <v>2.9256630675821599E-2</v>
      </c>
      <c r="G68">
        <v>2.6330967608239438E-2</v>
      </c>
      <c r="H68" s="54">
        <v>763622</v>
      </c>
      <c r="I68" t="s">
        <v>336</v>
      </c>
      <c r="J68" t="s">
        <v>372</v>
      </c>
    </row>
    <row r="69" spans="1:10" x14ac:dyDescent="0.3">
      <c r="A69" s="39">
        <v>45820.008877314816</v>
      </c>
      <c r="B69" t="s">
        <v>220</v>
      </c>
      <c r="C69">
        <v>109</v>
      </c>
      <c r="D69" t="s">
        <v>371</v>
      </c>
      <c r="E69" t="s">
        <v>60</v>
      </c>
      <c r="F69">
        <v>5.8872099696551897E-2</v>
      </c>
      <c r="G69">
        <v>5.0041284742069113E-2</v>
      </c>
      <c r="H69" s="54">
        <v>763622</v>
      </c>
      <c r="I69" t="s">
        <v>337</v>
      </c>
      <c r="J69" t="s">
        <v>372</v>
      </c>
    </row>
    <row r="70" spans="1:10" x14ac:dyDescent="0.3">
      <c r="A70" s="39">
        <v>45820.008877314816</v>
      </c>
      <c r="B70" t="s">
        <v>220</v>
      </c>
      <c r="C70">
        <v>97</v>
      </c>
      <c r="D70" t="s">
        <v>371</v>
      </c>
      <c r="E70" t="s">
        <v>14</v>
      </c>
      <c r="F70">
        <v>0.43742797646239101</v>
      </c>
      <c r="G70">
        <v>0.34994238116991283</v>
      </c>
      <c r="H70" s="54">
        <v>763622</v>
      </c>
      <c r="I70" t="s">
        <v>338</v>
      </c>
      <c r="J70" t="s">
        <v>372</v>
      </c>
    </row>
    <row r="71" spans="1:10" x14ac:dyDescent="0.3">
      <c r="A71" s="39">
        <v>45820.008877314816</v>
      </c>
      <c r="B71" t="s">
        <v>220</v>
      </c>
      <c r="C71">
        <v>34</v>
      </c>
      <c r="D71" t="s">
        <v>371</v>
      </c>
      <c r="E71" t="s">
        <v>336</v>
      </c>
      <c r="F71">
        <v>1.4414314213911801E-2</v>
      </c>
      <c r="G71">
        <v>1.733997728149396E-2</v>
      </c>
      <c r="H71" s="54">
        <v>763622</v>
      </c>
      <c r="I71" t="s">
        <v>336</v>
      </c>
      <c r="J71" t="s">
        <v>373</v>
      </c>
    </row>
    <row r="72" spans="1:10" x14ac:dyDescent="0.3">
      <c r="A72" s="39">
        <v>45820.008877314816</v>
      </c>
      <c r="B72" t="s">
        <v>220</v>
      </c>
      <c r="C72">
        <v>106</v>
      </c>
      <c r="D72" t="s">
        <v>371</v>
      </c>
      <c r="E72" t="s">
        <v>337</v>
      </c>
      <c r="F72">
        <v>1.40345253146579E-2</v>
      </c>
      <c r="G72">
        <v>2.2865340269140683E-2</v>
      </c>
      <c r="H72" s="54">
        <v>763622</v>
      </c>
      <c r="I72" t="s">
        <v>337</v>
      </c>
      <c r="J72" t="s">
        <v>373</v>
      </c>
    </row>
    <row r="73" spans="1:10" x14ac:dyDescent="0.3">
      <c r="A73" s="39">
        <v>45820.008877314816</v>
      </c>
      <c r="B73" t="s">
        <v>220</v>
      </c>
      <c r="C73">
        <v>93</v>
      </c>
      <c r="D73" t="s">
        <v>371</v>
      </c>
      <c r="E73" t="s">
        <v>338</v>
      </c>
      <c r="F73">
        <v>0.445872684097609</v>
      </c>
      <c r="G73">
        <v>0.53335827939008718</v>
      </c>
      <c r="H73" s="54">
        <v>763622</v>
      </c>
      <c r="I73" t="s">
        <v>338</v>
      </c>
      <c r="J73" t="s">
        <v>373</v>
      </c>
    </row>
    <row r="74" spans="1:10" x14ac:dyDescent="0.3">
      <c r="A74" s="39">
        <v>45820.465208333335</v>
      </c>
      <c r="B74" t="s">
        <v>223</v>
      </c>
      <c r="C74">
        <v>18</v>
      </c>
      <c r="D74" t="s">
        <v>371</v>
      </c>
      <c r="E74" t="s">
        <v>13</v>
      </c>
      <c r="F74">
        <v>2.1328083762674001E-2</v>
      </c>
      <c r="G74">
        <v>1.9195275386406602E-2</v>
      </c>
      <c r="H74" s="54">
        <v>40188645</v>
      </c>
      <c r="I74" t="s">
        <v>336</v>
      </c>
      <c r="J74" t="s">
        <v>372</v>
      </c>
    </row>
    <row r="75" spans="1:10" x14ac:dyDescent="0.3">
      <c r="A75" s="39">
        <v>45820.465208333335</v>
      </c>
      <c r="B75" t="s">
        <v>223</v>
      </c>
      <c r="C75">
        <v>110</v>
      </c>
      <c r="D75" t="s">
        <v>371</v>
      </c>
      <c r="E75" t="s">
        <v>60</v>
      </c>
      <c r="F75">
        <v>3.4945695479833901E-2</v>
      </c>
      <c r="G75">
        <v>2.9703841157858814E-2</v>
      </c>
      <c r="H75" s="54">
        <v>40188645</v>
      </c>
      <c r="I75" t="s">
        <v>337</v>
      </c>
      <c r="J75" t="s">
        <v>372</v>
      </c>
    </row>
    <row r="76" spans="1:10" x14ac:dyDescent="0.3">
      <c r="A76" s="39">
        <v>45820.465208333335</v>
      </c>
      <c r="B76" t="s">
        <v>223</v>
      </c>
      <c r="C76">
        <v>98</v>
      </c>
      <c r="D76" t="s">
        <v>371</v>
      </c>
      <c r="E76" t="s">
        <v>14</v>
      </c>
      <c r="F76">
        <v>0.349942381169913</v>
      </c>
      <c r="G76">
        <v>0.27995390493593042</v>
      </c>
      <c r="H76" s="54">
        <v>40188645</v>
      </c>
      <c r="I76" t="s">
        <v>338</v>
      </c>
      <c r="J76" t="s">
        <v>372</v>
      </c>
    </row>
    <row r="77" spans="1:10" x14ac:dyDescent="0.3">
      <c r="A77" s="39">
        <v>45820.465219907404</v>
      </c>
      <c r="B77" t="s">
        <v>223</v>
      </c>
      <c r="C77">
        <v>34</v>
      </c>
      <c r="D77" t="s">
        <v>371</v>
      </c>
      <c r="E77" t="s">
        <v>336</v>
      </c>
      <c r="F77">
        <v>1.54801946722371E-2</v>
      </c>
      <c r="G77">
        <v>1.7613003048504501E-2</v>
      </c>
      <c r="H77" s="54">
        <v>40188645</v>
      </c>
      <c r="I77" t="s">
        <v>336</v>
      </c>
      <c r="J77" t="s">
        <v>373</v>
      </c>
    </row>
    <row r="78" spans="1:10" x14ac:dyDescent="0.3">
      <c r="A78" s="39">
        <v>45820.465219907404</v>
      </c>
      <c r="B78" t="s">
        <v>223</v>
      </c>
      <c r="C78">
        <v>105</v>
      </c>
      <c r="D78" t="s">
        <v>371</v>
      </c>
      <c r="E78" t="s">
        <v>337</v>
      </c>
      <c r="F78">
        <v>1.5967719897815199E-2</v>
      </c>
      <c r="G78">
        <v>2.1209574219790285E-2</v>
      </c>
      <c r="H78" s="54">
        <v>40188645</v>
      </c>
      <c r="I78" t="s">
        <v>337</v>
      </c>
      <c r="J78" t="s">
        <v>373</v>
      </c>
    </row>
    <row r="79" spans="1:10" x14ac:dyDescent="0.3">
      <c r="A79" s="39">
        <v>45820.465219907404</v>
      </c>
      <c r="B79" t="s">
        <v>223</v>
      </c>
      <c r="C79">
        <v>93</v>
      </c>
      <c r="D79" t="s">
        <v>371</v>
      </c>
      <c r="E79" t="s">
        <v>338</v>
      </c>
      <c r="F79">
        <v>0.53335827939008695</v>
      </c>
      <c r="G79">
        <v>0.60334675562406959</v>
      </c>
      <c r="H79" s="54">
        <v>40188645</v>
      </c>
      <c r="I79" t="s">
        <v>338</v>
      </c>
      <c r="J79" t="s">
        <v>373</v>
      </c>
    </row>
    <row r="80" spans="1:10" x14ac:dyDescent="0.3">
      <c r="A80" s="39">
        <v>45820.465219907404</v>
      </c>
      <c r="B80" t="s">
        <v>58</v>
      </c>
      <c r="C80">
        <v>18</v>
      </c>
      <c r="D80" t="s">
        <v>371</v>
      </c>
      <c r="E80" t="s">
        <v>13</v>
      </c>
      <c r="F80">
        <v>2.63309676082394E-2</v>
      </c>
      <c r="G80">
        <v>2.369787084741546E-2</v>
      </c>
      <c r="H80" s="54">
        <v>40188645</v>
      </c>
      <c r="I80" t="s">
        <v>336</v>
      </c>
      <c r="J80" t="s">
        <v>372</v>
      </c>
    </row>
    <row r="81" spans="1:10" x14ac:dyDescent="0.3">
      <c r="A81" s="39">
        <v>45820.465219907404</v>
      </c>
      <c r="B81" t="s">
        <v>58</v>
      </c>
      <c r="C81">
        <v>108</v>
      </c>
      <c r="D81" t="s">
        <v>371</v>
      </c>
      <c r="E81" t="s">
        <v>60</v>
      </c>
      <c r="F81">
        <v>1.9991062204492E-2</v>
      </c>
      <c r="G81">
        <v>1.6992402873818199E-2</v>
      </c>
      <c r="H81" s="54">
        <v>40188645</v>
      </c>
      <c r="I81" t="s">
        <v>337</v>
      </c>
      <c r="J81" t="s">
        <v>372</v>
      </c>
    </row>
    <row r="82" spans="1:10" x14ac:dyDescent="0.3">
      <c r="A82" s="39">
        <v>45820.465219907404</v>
      </c>
      <c r="B82" t="s">
        <v>58</v>
      </c>
      <c r="C82">
        <v>97</v>
      </c>
      <c r="D82" t="s">
        <v>371</v>
      </c>
      <c r="E82" t="s">
        <v>14</v>
      </c>
      <c r="F82">
        <v>0.1198748856672</v>
      </c>
      <c r="G82">
        <v>9.5899908533760014E-2</v>
      </c>
      <c r="H82" s="54">
        <v>40188645</v>
      </c>
      <c r="I82" t="s">
        <v>338</v>
      </c>
      <c r="J82" t="s">
        <v>372</v>
      </c>
    </row>
    <row r="83" spans="1:10" x14ac:dyDescent="0.3">
      <c r="A83" s="39">
        <v>45820.465219907404</v>
      </c>
      <c r="B83" t="s">
        <v>58</v>
      </c>
      <c r="C83">
        <v>34</v>
      </c>
      <c r="D83" t="s">
        <v>371</v>
      </c>
      <c r="E83" t="s">
        <v>336</v>
      </c>
      <c r="F83">
        <v>1.7339977281494001E-2</v>
      </c>
      <c r="G83">
        <v>1.9973074042317941E-2</v>
      </c>
      <c r="H83" s="54">
        <v>40188645</v>
      </c>
      <c r="I83" t="s">
        <v>336</v>
      </c>
      <c r="J83" t="s">
        <v>373</v>
      </c>
    </row>
    <row r="84" spans="1:10" x14ac:dyDescent="0.3">
      <c r="A84" s="39">
        <v>45820.465219907404</v>
      </c>
      <c r="B84" t="s">
        <v>58</v>
      </c>
      <c r="C84">
        <v>103</v>
      </c>
      <c r="D84" t="s">
        <v>371</v>
      </c>
      <c r="E84" t="s">
        <v>337</v>
      </c>
      <c r="F84">
        <v>9.1345064780678099E-3</v>
      </c>
      <c r="G84">
        <v>1.213316580874161E-2</v>
      </c>
      <c r="H84" s="54">
        <v>40188645</v>
      </c>
      <c r="I84" t="s">
        <v>337</v>
      </c>
      <c r="J84" t="s">
        <v>373</v>
      </c>
    </row>
    <row r="85" spans="1:10" x14ac:dyDescent="0.3">
      <c r="A85" s="39">
        <v>45820.465219907404</v>
      </c>
      <c r="B85" t="s">
        <v>58</v>
      </c>
      <c r="C85">
        <v>92</v>
      </c>
      <c r="D85" t="s">
        <v>371</v>
      </c>
      <c r="E85" t="s">
        <v>338</v>
      </c>
      <c r="F85">
        <v>0.18270511433280001</v>
      </c>
      <c r="G85">
        <v>0.20668009146624</v>
      </c>
      <c r="H85" s="54">
        <v>40188645</v>
      </c>
      <c r="I85" t="s">
        <v>338</v>
      </c>
      <c r="J85" t="s">
        <v>373</v>
      </c>
    </row>
    <row r="86" spans="1:10" x14ac:dyDescent="0.3">
      <c r="A86" s="39">
        <v>45820.465219907404</v>
      </c>
      <c r="B86" t="s">
        <v>217</v>
      </c>
      <c r="C86">
        <v>18</v>
      </c>
      <c r="D86" t="s">
        <v>371</v>
      </c>
      <c r="E86" t="s">
        <v>13</v>
      </c>
      <c r="F86">
        <v>2.63309676082394E-2</v>
      </c>
      <c r="G86">
        <v>2.369787084741546E-2</v>
      </c>
      <c r="H86" s="54">
        <v>40188645</v>
      </c>
      <c r="I86" t="s">
        <v>336</v>
      </c>
      <c r="J86" t="s">
        <v>372</v>
      </c>
    </row>
    <row r="87" spans="1:10" x14ac:dyDescent="0.3">
      <c r="A87" s="39">
        <v>45820.465219907404</v>
      </c>
      <c r="B87" t="s">
        <v>217</v>
      </c>
      <c r="C87">
        <v>110</v>
      </c>
      <c r="D87" t="s">
        <v>371</v>
      </c>
      <c r="E87" t="s">
        <v>60</v>
      </c>
      <c r="F87">
        <v>2.3237535676892299E-2</v>
      </c>
      <c r="G87">
        <v>1.9751905325358456E-2</v>
      </c>
      <c r="H87" s="54">
        <v>40188645</v>
      </c>
      <c r="I87" t="s">
        <v>337</v>
      </c>
      <c r="J87" t="s">
        <v>372</v>
      </c>
    </row>
    <row r="88" spans="1:10" x14ac:dyDescent="0.3">
      <c r="A88" s="39">
        <v>45820.465219907404</v>
      </c>
      <c r="B88" t="s">
        <v>217</v>
      </c>
      <c r="C88">
        <v>99</v>
      </c>
      <c r="D88" t="s">
        <v>371</v>
      </c>
      <c r="E88" t="s">
        <v>14</v>
      </c>
      <c r="F88">
        <v>0.14975446751999999</v>
      </c>
      <c r="G88">
        <v>0.119803574016</v>
      </c>
      <c r="H88" s="54">
        <v>40188645</v>
      </c>
      <c r="I88" t="s">
        <v>338</v>
      </c>
      <c r="J88" t="s">
        <v>372</v>
      </c>
    </row>
    <row r="89" spans="1:10" x14ac:dyDescent="0.3">
      <c r="A89" s="39">
        <v>45820.465219907404</v>
      </c>
      <c r="B89" t="s">
        <v>217</v>
      </c>
      <c r="C89">
        <v>34</v>
      </c>
      <c r="D89" t="s">
        <v>371</v>
      </c>
      <c r="E89" t="s">
        <v>336</v>
      </c>
      <c r="F89">
        <v>1.7339977281494001E-2</v>
      </c>
      <c r="G89">
        <v>1.9973074042317941E-2</v>
      </c>
      <c r="H89" s="54">
        <v>40188645</v>
      </c>
      <c r="I89" t="s">
        <v>336</v>
      </c>
      <c r="J89" t="s">
        <v>373</v>
      </c>
    </row>
    <row r="90" spans="1:10" x14ac:dyDescent="0.3">
      <c r="A90" s="39">
        <v>45820.465219907404</v>
      </c>
      <c r="B90" t="s">
        <v>217</v>
      </c>
      <c r="C90">
        <v>105</v>
      </c>
      <c r="D90" t="s">
        <v>371</v>
      </c>
      <c r="E90" t="s">
        <v>337</v>
      </c>
      <c r="F90">
        <v>1.06179160468626E-2</v>
      </c>
      <c r="G90">
        <v>1.4103546398396446E-2</v>
      </c>
      <c r="H90" s="54">
        <v>40188645</v>
      </c>
      <c r="I90" t="s">
        <v>337</v>
      </c>
      <c r="J90" t="s">
        <v>373</v>
      </c>
    </row>
    <row r="91" spans="1:10" x14ac:dyDescent="0.3">
      <c r="A91" s="39">
        <v>45820.465219907404</v>
      </c>
      <c r="B91" t="s">
        <v>217</v>
      </c>
      <c r="C91">
        <v>93</v>
      </c>
      <c r="D91" t="s">
        <v>371</v>
      </c>
      <c r="E91" t="s">
        <v>338</v>
      </c>
      <c r="F91">
        <v>0.22824553248000001</v>
      </c>
      <c r="G91">
        <v>0.258196425984</v>
      </c>
      <c r="H91" s="54">
        <v>40188645</v>
      </c>
      <c r="I91" t="s">
        <v>338</v>
      </c>
      <c r="J91" t="s">
        <v>373</v>
      </c>
    </row>
    <row r="92" spans="1:10" x14ac:dyDescent="0.3">
      <c r="A92" s="39">
        <v>45820.465219907404</v>
      </c>
      <c r="B92" t="s">
        <v>218</v>
      </c>
      <c r="C92">
        <v>18</v>
      </c>
      <c r="D92" t="s">
        <v>371</v>
      </c>
      <c r="E92" t="s">
        <v>13</v>
      </c>
      <c r="F92">
        <v>2.63309676082394E-2</v>
      </c>
      <c r="G92">
        <v>2.369787084741546E-2</v>
      </c>
      <c r="H92" s="54">
        <v>40188645</v>
      </c>
      <c r="I92" t="s">
        <v>336</v>
      </c>
      <c r="J92" t="s">
        <v>372</v>
      </c>
    </row>
    <row r="93" spans="1:10" x14ac:dyDescent="0.3">
      <c r="A93" s="39">
        <v>45820.465219907404</v>
      </c>
      <c r="B93" t="s">
        <v>218</v>
      </c>
      <c r="C93">
        <v>109</v>
      </c>
      <c r="D93" t="s">
        <v>371</v>
      </c>
      <c r="E93" t="s">
        <v>60</v>
      </c>
      <c r="F93">
        <v>2.8129441772120199E-2</v>
      </c>
      <c r="G93">
        <v>2.3910025506302168E-2</v>
      </c>
      <c r="H93" s="54">
        <v>40188645</v>
      </c>
      <c r="I93" t="s">
        <v>337</v>
      </c>
      <c r="J93" t="s">
        <v>372</v>
      </c>
    </row>
    <row r="94" spans="1:10" x14ac:dyDescent="0.3">
      <c r="A94" s="39">
        <v>45820.465219907404</v>
      </c>
      <c r="B94" t="s">
        <v>218</v>
      </c>
      <c r="C94">
        <v>98</v>
      </c>
      <c r="D94" t="s">
        <v>371</v>
      </c>
      <c r="E94" t="s">
        <v>14</v>
      </c>
      <c r="F94">
        <v>3.9627176447143503E-2</v>
      </c>
      <c r="G94">
        <v>3.1701741157714805E-2</v>
      </c>
      <c r="H94" s="54">
        <v>40188645</v>
      </c>
      <c r="I94" t="s">
        <v>338</v>
      </c>
      <c r="J94" t="s">
        <v>372</v>
      </c>
    </row>
    <row r="95" spans="1:10" x14ac:dyDescent="0.3">
      <c r="A95" s="39">
        <v>45820.465219907404</v>
      </c>
      <c r="B95" t="s">
        <v>218</v>
      </c>
      <c r="C95">
        <v>34</v>
      </c>
      <c r="D95" t="s">
        <v>371</v>
      </c>
      <c r="E95" t="s">
        <v>336</v>
      </c>
      <c r="F95">
        <v>1.7339977281494001E-2</v>
      </c>
      <c r="G95">
        <v>1.9973074042317941E-2</v>
      </c>
      <c r="H95" s="54">
        <v>40188645</v>
      </c>
      <c r="I95" t="s">
        <v>336</v>
      </c>
      <c r="J95" t="s">
        <v>373</v>
      </c>
    </row>
    <row r="96" spans="1:10" x14ac:dyDescent="0.3">
      <c r="A96" s="39">
        <v>45820.465231481481</v>
      </c>
      <c r="B96" t="s">
        <v>218</v>
      </c>
      <c r="C96">
        <v>104</v>
      </c>
      <c r="D96" t="s">
        <v>371</v>
      </c>
      <c r="E96" t="s">
        <v>337</v>
      </c>
      <c r="F96">
        <v>1.28531723559005E-2</v>
      </c>
      <c r="G96">
        <v>1.707258862171853E-2</v>
      </c>
      <c r="H96" s="54">
        <v>40188645</v>
      </c>
      <c r="I96" t="s">
        <v>337</v>
      </c>
      <c r="J96" t="s">
        <v>373</v>
      </c>
    </row>
    <row r="97" spans="1:10" x14ac:dyDescent="0.3">
      <c r="A97" s="39">
        <v>45820.465231481481</v>
      </c>
      <c r="B97" t="s">
        <v>218</v>
      </c>
      <c r="C97">
        <v>94</v>
      </c>
      <c r="D97" t="s">
        <v>371</v>
      </c>
      <c r="E97" t="s">
        <v>338</v>
      </c>
      <c r="F97">
        <v>6.0397036152856499E-2</v>
      </c>
      <c r="G97">
        <v>6.8322471442285204E-2</v>
      </c>
      <c r="H97" s="54">
        <v>40188645</v>
      </c>
      <c r="I97" t="s">
        <v>338</v>
      </c>
      <c r="J97" t="s">
        <v>373</v>
      </c>
    </row>
    <row r="98" spans="1:10" x14ac:dyDescent="0.3">
      <c r="A98" s="39">
        <v>45820.465231481481</v>
      </c>
      <c r="B98" t="s">
        <v>219</v>
      </c>
      <c r="C98">
        <v>18</v>
      </c>
      <c r="D98" t="s">
        <v>371</v>
      </c>
      <c r="E98" t="s">
        <v>13</v>
      </c>
      <c r="F98">
        <v>2.63309676082394E-2</v>
      </c>
      <c r="G98">
        <v>2.369787084741546E-2</v>
      </c>
      <c r="H98" s="54">
        <v>40188645</v>
      </c>
      <c r="I98" t="s">
        <v>336</v>
      </c>
      <c r="J98" t="s">
        <v>372</v>
      </c>
    </row>
    <row r="99" spans="1:10" x14ac:dyDescent="0.3">
      <c r="A99" s="39">
        <v>45820.465231481481</v>
      </c>
      <c r="B99" t="s">
        <v>219</v>
      </c>
      <c r="C99">
        <v>110</v>
      </c>
      <c r="D99" t="s">
        <v>371</v>
      </c>
      <c r="E99" t="s">
        <v>60</v>
      </c>
      <c r="F99">
        <v>2.06403568989721E-2</v>
      </c>
      <c r="G99">
        <v>1.7544303364126285E-2</v>
      </c>
      <c r="H99" s="54">
        <v>40188645</v>
      </c>
      <c r="I99" t="s">
        <v>337</v>
      </c>
      <c r="J99" t="s">
        <v>372</v>
      </c>
    </row>
    <row r="100" spans="1:10" x14ac:dyDescent="0.3">
      <c r="A100" s="39">
        <v>45820.465231481481</v>
      </c>
      <c r="B100" t="s">
        <v>219</v>
      </c>
      <c r="C100">
        <v>99</v>
      </c>
      <c r="D100" t="s">
        <v>371</v>
      </c>
      <c r="E100" t="s">
        <v>14</v>
      </c>
      <c r="F100">
        <v>0.33202704798720001</v>
      </c>
      <c r="G100">
        <v>0.26562163838976</v>
      </c>
      <c r="H100" s="54">
        <v>40188645</v>
      </c>
      <c r="I100" t="s">
        <v>338</v>
      </c>
      <c r="J100" t="s">
        <v>372</v>
      </c>
    </row>
    <row r="101" spans="1:10" x14ac:dyDescent="0.3">
      <c r="A101" s="39">
        <v>45820.465231481481</v>
      </c>
      <c r="B101" t="s">
        <v>219</v>
      </c>
      <c r="C101">
        <v>34</v>
      </c>
      <c r="D101" t="s">
        <v>371</v>
      </c>
      <c r="E101" t="s">
        <v>336</v>
      </c>
      <c r="F101">
        <v>1.7339977281494001E-2</v>
      </c>
      <c r="G101">
        <v>1.9973074042317941E-2</v>
      </c>
      <c r="H101" s="54">
        <v>40188645</v>
      </c>
      <c r="I101" t="s">
        <v>336</v>
      </c>
      <c r="J101" t="s">
        <v>373</v>
      </c>
    </row>
    <row r="102" spans="1:10" x14ac:dyDescent="0.3">
      <c r="A102" s="39">
        <v>45820.465231481481</v>
      </c>
      <c r="B102" t="s">
        <v>219</v>
      </c>
      <c r="C102">
        <v>105</v>
      </c>
      <c r="D102" t="s">
        <v>371</v>
      </c>
      <c r="E102" t="s">
        <v>337</v>
      </c>
      <c r="F102">
        <v>9.4311883918268002E-3</v>
      </c>
      <c r="G102">
        <v>1.2527241926672615E-2</v>
      </c>
      <c r="H102" s="54">
        <v>40188645</v>
      </c>
      <c r="I102" t="s">
        <v>337</v>
      </c>
      <c r="J102" t="s">
        <v>373</v>
      </c>
    </row>
    <row r="103" spans="1:10" x14ac:dyDescent="0.3">
      <c r="A103" s="39">
        <v>45820.465231481481</v>
      </c>
      <c r="B103" t="s">
        <v>219</v>
      </c>
      <c r="C103">
        <v>92</v>
      </c>
      <c r="D103" t="s">
        <v>371</v>
      </c>
      <c r="E103" t="s">
        <v>338</v>
      </c>
      <c r="F103">
        <v>0.50605295201279998</v>
      </c>
      <c r="G103">
        <v>0.57245836161024</v>
      </c>
      <c r="H103" s="54">
        <v>40188645</v>
      </c>
      <c r="I103" t="s">
        <v>338</v>
      </c>
      <c r="J103" t="s">
        <v>373</v>
      </c>
    </row>
    <row r="104" spans="1:10" x14ac:dyDescent="0.3">
      <c r="A104" s="39">
        <v>45820.465231481481</v>
      </c>
      <c r="B104" t="s">
        <v>220</v>
      </c>
      <c r="C104">
        <v>18</v>
      </c>
      <c r="D104" t="s">
        <v>371</v>
      </c>
      <c r="E104" t="s">
        <v>13</v>
      </c>
      <c r="F104">
        <v>2.63309676082394E-2</v>
      </c>
      <c r="G104">
        <v>2.369787084741546E-2</v>
      </c>
      <c r="H104" s="54">
        <v>40188645</v>
      </c>
      <c r="I104" t="s">
        <v>336</v>
      </c>
      <c r="J104" t="s">
        <v>372</v>
      </c>
    </row>
    <row r="105" spans="1:10" x14ac:dyDescent="0.3">
      <c r="A105" s="39">
        <v>45820.465231481481</v>
      </c>
      <c r="B105" t="s">
        <v>220</v>
      </c>
      <c r="C105">
        <v>109</v>
      </c>
      <c r="D105" t="s">
        <v>371</v>
      </c>
      <c r="E105" t="s">
        <v>60</v>
      </c>
      <c r="F105">
        <v>5.0041284742069099E-2</v>
      </c>
      <c r="G105">
        <v>4.2535092030758732E-2</v>
      </c>
      <c r="H105" s="54">
        <v>40188645</v>
      </c>
      <c r="I105" t="s">
        <v>337</v>
      </c>
      <c r="J105" t="s">
        <v>372</v>
      </c>
    </row>
    <row r="106" spans="1:10" x14ac:dyDescent="0.3">
      <c r="A106" s="39">
        <v>45820.465231481481</v>
      </c>
      <c r="B106" t="s">
        <v>220</v>
      </c>
      <c r="C106">
        <v>97</v>
      </c>
      <c r="D106" t="s">
        <v>371</v>
      </c>
      <c r="E106" t="s">
        <v>14</v>
      </c>
      <c r="F106">
        <v>0.349942381169913</v>
      </c>
      <c r="G106">
        <v>0.27995390493593042</v>
      </c>
      <c r="H106" s="54">
        <v>40188645</v>
      </c>
      <c r="I106" t="s">
        <v>338</v>
      </c>
      <c r="J106" t="s">
        <v>372</v>
      </c>
    </row>
    <row r="107" spans="1:10" x14ac:dyDescent="0.3">
      <c r="A107" s="39">
        <v>45820.465231481481</v>
      </c>
      <c r="B107" t="s">
        <v>220</v>
      </c>
      <c r="C107">
        <v>34</v>
      </c>
      <c r="D107" t="s">
        <v>371</v>
      </c>
      <c r="E107" t="s">
        <v>336</v>
      </c>
      <c r="F107">
        <v>1.7339977281494001E-2</v>
      </c>
      <c r="G107">
        <v>1.9973074042317941E-2</v>
      </c>
      <c r="H107" s="54">
        <v>40188645</v>
      </c>
      <c r="I107" t="s">
        <v>336</v>
      </c>
      <c r="J107" t="s">
        <v>373</v>
      </c>
    </row>
    <row r="108" spans="1:10" x14ac:dyDescent="0.3">
      <c r="A108" s="39">
        <v>45820.465231481481</v>
      </c>
      <c r="B108" t="s">
        <v>220</v>
      </c>
      <c r="C108">
        <v>106</v>
      </c>
      <c r="D108" t="s">
        <v>371</v>
      </c>
      <c r="E108" t="s">
        <v>337</v>
      </c>
      <c r="F108">
        <v>2.2865340269140701E-2</v>
      </c>
      <c r="G108">
        <v>3.0371532980451067E-2</v>
      </c>
      <c r="H108" s="54">
        <v>40188645</v>
      </c>
      <c r="I108" t="s">
        <v>337</v>
      </c>
      <c r="J108" t="s">
        <v>373</v>
      </c>
    </row>
    <row r="109" spans="1:10" x14ac:dyDescent="0.3">
      <c r="A109" s="39">
        <v>45820.465231481481</v>
      </c>
      <c r="B109" t="s">
        <v>220</v>
      </c>
      <c r="C109">
        <v>93</v>
      </c>
      <c r="D109" t="s">
        <v>371</v>
      </c>
      <c r="E109" t="s">
        <v>338</v>
      </c>
      <c r="F109">
        <v>0.53335827939008695</v>
      </c>
      <c r="G109">
        <v>0.60334675562406959</v>
      </c>
      <c r="H109" s="54">
        <v>40188645</v>
      </c>
      <c r="I109" t="s">
        <v>338</v>
      </c>
      <c r="J109" t="s">
        <v>373</v>
      </c>
    </row>
    <row r="110" spans="1:10" x14ac:dyDescent="0.3">
      <c r="A110" s="39">
        <v>45820.78</v>
      </c>
      <c r="B110" t="s">
        <v>223</v>
      </c>
      <c r="C110">
        <v>18</v>
      </c>
      <c r="D110" t="s">
        <v>371</v>
      </c>
      <c r="E110" t="s">
        <v>13</v>
      </c>
      <c r="F110">
        <v>1.3496678006067099E-4</v>
      </c>
      <c r="G110">
        <v>1.2147010205460389E-4</v>
      </c>
      <c r="H110" s="54">
        <v>67387289</v>
      </c>
      <c r="I110" t="s">
        <v>336</v>
      </c>
      <c r="J110" t="s">
        <v>372</v>
      </c>
    </row>
    <row r="111" spans="1:10" x14ac:dyDescent="0.3">
      <c r="A111" s="39">
        <v>45820.78</v>
      </c>
      <c r="B111" t="s">
        <v>223</v>
      </c>
      <c r="C111">
        <v>110</v>
      </c>
      <c r="D111" t="s">
        <v>371</v>
      </c>
      <c r="E111" t="s">
        <v>60</v>
      </c>
      <c r="F111">
        <v>4.2359559526482602E-3</v>
      </c>
      <c r="G111">
        <v>3.3887647621186085E-3</v>
      </c>
      <c r="H111" s="54">
        <v>67387289</v>
      </c>
      <c r="I111" t="s">
        <v>337</v>
      </c>
      <c r="J111" t="s">
        <v>372</v>
      </c>
    </row>
    <row r="112" spans="1:10" x14ac:dyDescent="0.3">
      <c r="A112" s="39">
        <v>45820.78</v>
      </c>
      <c r="B112" t="s">
        <v>223</v>
      </c>
      <c r="C112">
        <v>98</v>
      </c>
      <c r="D112" t="s">
        <v>371</v>
      </c>
      <c r="E112" t="s">
        <v>14</v>
      </c>
      <c r="F112">
        <v>0.22396312394874399</v>
      </c>
      <c r="G112">
        <v>0.17917049915899519</v>
      </c>
      <c r="H112" s="54">
        <v>67387289</v>
      </c>
      <c r="I112" t="s">
        <v>338</v>
      </c>
      <c r="J112" t="s">
        <v>372</v>
      </c>
    </row>
    <row r="113" spans="1:10" x14ac:dyDescent="0.3">
      <c r="A113" s="39">
        <v>45820.78</v>
      </c>
      <c r="B113" t="s">
        <v>223</v>
      </c>
      <c r="C113">
        <v>34</v>
      </c>
      <c r="D113" t="s">
        <v>371</v>
      </c>
      <c r="E113" t="s">
        <v>336</v>
      </c>
      <c r="F113">
        <v>3.6673311654850403E-2</v>
      </c>
      <c r="G113">
        <v>3.6686808332856473E-2</v>
      </c>
      <c r="H113" s="54">
        <v>67387289</v>
      </c>
      <c r="I113" t="s">
        <v>336</v>
      </c>
      <c r="J113" t="s">
        <v>373</v>
      </c>
    </row>
    <row r="114" spans="1:10" x14ac:dyDescent="0.3">
      <c r="A114" s="39">
        <v>45820.78</v>
      </c>
      <c r="B114" t="s">
        <v>223</v>
      </c>
      <c r="C114">
        <v>105</v>
      </c>
      <c r="D114" t="s">
        <v>371</v>
      </c>
      <c r="E114" t="s">
        <v>337</v>
      </c>
      <c r="F114">
        <v>4.6677459425000803E-2</v>
      </c>
      <c r="G114">
        <v>4.7524650615530455E-2</v>
      </c>
      <c r="H114" s="54">
        <v>67387289</v>
      </c>
      <c r="I114" t="s">
        <v>337</v>
      </c>
      <c r="J114" t="s">
        <v>373</v>
      </c>
    </row>
    <row r="115" spans="1:10" x14ac:dyDescent="0.3">
      <c r="A115" s="39">
        <v>45820.78</v>
      </c>
      <c r="B115" t="s">
        <v>223</v>
      </c>
      <c r="C115">
        <v>93</v>
      </c>
      <c r="D115" t="s">
        <v>371</v>
      </c>
      <c r="E115" t="s">
        <v>338</v>
      </c>
      <c r="F115">
        <v>0.65933753661125605</v>
      </c>
      <c r="G115">
        <v>0.70413016140100482</v>
      </c>
      <c r="H115" s="54">
        <v>67387289</v>
      </c>
      <c r="I115" t="s">
        <v>338</v>
      </c>
      <c r="J115" t="s">
        <v>373</v>
      </c>
    </row>
    <row r="116" spans="1:10" x14ac:dyDescent="0.3">
      <c r="A116" s="39">
        <v>45820.78</v>
      </c>
      <c r="B116" t="s">
        <v>58</v>
      </c>
      <c r="C116">
        <v>18</v>
      </c>
      <c r="D116" t="s">
        <v>371</v>
      </c>
      <c r="E116" t="s">
        <v>13</v>
      </c>
      <c r="F116">
        <v>1.6662565439589099E-4</v>
      </c>
      <c r="G116">
        <v>1.4996308895630191E-4</v>
      </c>
      <c r="H116" s="54">
        <v>67387289</v>
      </c>
      <c r="I116" t="s">
        <v>336</v>
      </c>
      <c r="J116" t="s">
        <v>372</v>
      </c>
    </row>
    <row r="117" spans="1:10" x14ac:dyDescent="0.3">
      <c r="A117" s="39">
        <v>45820.78</v>
      </c>
      <c r="B117" t="s">
        <v>58</v>
      </c>
      <c r="C117">
        <v>108</v>
      </c>
      <c r="D117" t="s">
        <v>371</v>
      </c>
      <c r="E117" t="s">
        <v>60</v>
      </c>
      <c r="F117">
        <v>2.4232243136710898E-3</v>
      </c>
      <c r="G117">
        <v>1.938579450936872E-3</v>
      </c>
      <c r="H117" s="54">
        <v>67387289</v>
      </c>
      <c r="I117" t="s">
        <v>337</v>
      </c>
      <c r="J117" t="s">
        <v>372</v>
      </c>
    </row>
    <row r="118" spans="1:10" x14ac:dyDescent="0.3">
      <c r="A118" s="39">
        <v>45820.78</v>
      </c>
      <c r="B118" t="s">
        <v>58</v>
      </c>
      <c r="C118">
        <v>97</v>
      </c>
      <c r="D118" t="s">
        <v>371</v>
      </c>
      <c r="E118" t="s">
        <v>14</v>
      </c>
      <c r="F118">
        <v>7.6719926827007998E-2</v>
      </c>
      <c r="G118">
        <v>6.1375941461606402E-2</v>
      </c>
      <c r="H118" s="54">
        <v>67387289</v>
      </c>
      <c r="I118" t="s">
        <v>338</v>
      </c>
      <c r="J118" t="s">
        <v>372</v>
      </c>
    </row>
    <row r="119" spans="1:10" x14ac:dyDescent="0.3">
      <c r="A119" s="39">
        <v>45820.78</v>
      </c>
      <c r="B119" t="s">
        <v>58</v>
      </c>
      <c r="C119">
        <v>34</v>
      </c>
      <c r="D119" t="s">
        <v>371</v>
      </c>
      <c r="E119" t="s">
        <v>336</v>
      </c>
      <c r="F119">
        <v>4.35043192353377E-2</v>
      </c>
      <c r="G119">
        <v>4.3520981800777292E-2</v>
      </c>
      <c r="H119" s="54">
        <v>67387289</v>
      </c>
      <c r="I119" t="s">
        <v>336</v>
      </c>
      <c r="J119" t="s">
        <v>373</v>
      </c>
    </row>
    <row r="120" spans="1:10" x14ac:dyDescent="0.3">
      <c r="A120" s="39">
        <v>45820.78</v>
      </c>
      <c r="B120" t="s">
        <v>58</v>
      </c>
      <c r="C120">
        <v>103</v>
      </c>
      <c r="D120" t="s">
        <v>371</v>
      </c>
      <c r="E120" t="s">
        <v>337</v>
      </c>
      <c r="F120">
        <v>2.6702344368888801E-2</v>
      </c>
      <c r="G120">
        <v>2.7186989231623018E-2</v>
      </c>
      <c r="H120" s="54">
        <v>67387289</v>
      </c>
      <c r="I120" t="s">
        <v>337</v>
      </c>
      <c r="J120" t="s">
        <v>373</v>
      </c>
    </row>
    <row r="121" spans="1:10" x14ac:dyDescent="0.3">
      <c r="A121" s="39">
        <v>45820.78</v>
      </c>
      <c r="B121" t="s">
        <v>58</v>
      </c>
      <c r="C121">
        <v>92</v>
      </c>
      <c r="D121" t="s">
        <v>371</v>
      </c>
      <c r="E121" t="s">
        <v>338</v>
      </c>
      <c r="F121">
        <v>0.225860073172992</v>
      </c>
      <c r="G121">
        <v>0.24120405853839361</v>
      </c>
      <c r="H121" s="54">
        <v>67387289</v>
      </c>
      <c r="I121" t="s">
        <v>338</v>
      </c>
      <c r="J121" t="s">
        <v>373</v>
      </c>
    </row>
    <row r="122" spans="1:10" x14ac:dyDescent="0.3">
      <c r="A122" s="39">
        <v>45820.78</v>
      </c>
      <c r="B122" t="s">
        <v>217</v>
      </c>
      <c r="C122">
        <v>18</v>
      </c>
      <c r="D122" t="s">
        <v>371</v>
      </c>
      <c r="E122" t="s">
        <v>13</v>
      </c>
      <c r="F122">
        <v>1.6662565439589099E-4</v>
      </c>
      <c r="G122">
        <v>1.4996308895630191E-4</v>
      </c>
      <c r="H122" s="54">
        <v>67387289</v>
      </c>
      <c r="I122" t="s">
        <v>336</v>
      </c>
      <c r="J122" t="s">
        <v>372</v>
      </c>
    </row>
    <row r="123" spans="1:10" x14ac:dyDescent="0.3">
      <c r="A123" s="39">
        <v>45820.780011574076</v>
      </c>
      <c r="B123" t="s">
        <v>217</v>
      </c>
      <c r="C123">
        <v>110</v>
      </c>
      <c r="D123" t="s">
        <v>371</v>
      </c>
      <c r="E123" t="s">
        <v>60</v>
      </c>
      <c r="F123">
        <v>2.8167468474682698E-3</v>
      </c>
      <c r="G123">
        <v>2.2533974779746159E-3</v>
      </c>
      <c r="H123" s="54">
        <v>67387289</v>
      </c>
      <c r="I123" t="s">
        <v>337</v>
      </c>
      <c r="J123" t="s">
        <v>372</v>
      </c>
    </row>
    <row r="124" spans="1:10" x14ac:dyDescent="0.3">
      <c r="A124" s="39">
        <v>45820.780011574076</v>
      </c>
      <c r="B124" t="s">
        <v>217</v>
      </c>
      <c r="C124">
        <v>99</v>
      </c>
      <c r="D124" t="s">
        <v>371</v>
      </c>
      <c r="E124" t="s">
        <v>14</v>
      </c>
      <c r="F124">
        <v>9.5842859212800002E-2</v>
      </c>
      <c r="G124">
        <v>7.6674287370240013E-2</v>
      </c>
      <c r="H124" s="54">
        <v>67387289</v>
      </c>
      <c r="I124" t="s">
        <v>338</v>
      </c>
      <c r="J124" t="s">
        <v>372</v>
      </c>
    </row>
    <row r="125" spans="1:10" x14ac:dyDescent="0.3">
      <c r="A125" s="39">
        <v>45820.780011574076</v>
      </c>
      <c r="B125" t="s">
        <v>217</v>
      </c>
      <c r="C125">
        <v>34</v>
      </c>
      <c r="D125" t="s">
        <v>371</v>
      </c>
      <c r="E125" t="s">
        <v>336</v>
      </c>
      <c r="F125">
        <v>4.35043192353377E-2</v>
      </c>
      <c r="G125">
        <v>4.3520981800777292E-2</v>
      </c>
      <c r="H125" s="54">
        <v>67387289</v>
      </c>
      <c r="I125" t="s">
        <v>336</v>
      </c>
      <c r="J125" t="s">
        <v>373</v>
      </c>
    </row>
    <row r="126" spans="1:10" x14ac:dyDescent="0.3">
      <c r="A126" s="39">
        <v>45820.780011574076</v>
      </c>
      <c r="B126" t="s">
        <v>217</v>
      </c>
      <c r="C126">
        <v>105</v>
      </c>
      <c r="D126" t="s">
        <v>371</v>
      </c>
      <c r="E126" t="s">
        <v>337</v>
      </c>
      <c r="F126">
        <v>3.10387048762867E-2</v>
      </c>
      <c r="G126">
        <v>3.1602054245780352E-2</v>
      </c>
      <c r="H126" s="54">
        <v>67387289</v>
      </c>
      <c r="I126" t="s">
        <v>337</v>
      </c>
      <c r="J126" t="s">
        <v>373</v>
      </c>
    </row>
    <row r="127" spans="1:10" x14ac:dyDescent="0.3">
      <c r="A127" s="39">
        <v>45820.780011574076</v>
      </c>
      <c r="B127" t="s">
        <v>217</v>
      </c>
      <c r="C127">
        <v>93</v>
      </c>
      <c r="D127" t="s">
        <v>371</v>
      </c>
      <c r="E127" t="s">
        <v>338</v>
      </c>
      <c r="F127">
        <v>0.2821571407872</v>
      </c>
      <c r="G127">
        <v>0.30132571262975999</v>
      </c>
      <c r="H127" s="54">
        <v>67387289</v>
      </c>
      <c r="I127" t="s">
        <v>338</v>
      </c>
      <c r="J127" t="s">
        <v>373</v>
      </c>
    </row>
    <row r="128" spans="1:10" x14ac:dyDescent="0.3">
      <c r="A128" s="39">
        <v>45820.780011574076</v>
      </c>
      <c r="B128" t="s">
        <v>218</v>
      </c>
      <c r="C128">
        <v>18</v>
      </c>
      <c r="D128" t="s">
        <v>371</v>
      </c>
      <c r="E128" t="s">
        <v>13</v>
      </c>
      <c r="F128">
        <v>1.6662565439589099E-4</v>
      </c>
      <c r="G128">
        <v>1.4996308895630191E-4</v>
      </c>
      <c r="H128" s="54">
        <v>67387289</v>
      </c>
      <c r="I128" t="s">
        <v>336</v>
      </c>
      <c r="J128" t="s">
        <v>372</v>
      </c>
    </row>
    <row r="129" spans="1:10" x14ac:dyDescent="0.3">
      <c r="A129" s="39">
        <v>45820.780011574076</v>
      </c>
      <c r="B129" t="s">
        <v>218</v>
      </c>
      <c r="C129">
        <v>109</v>
      </c>
      <c r="D129" t="s">
        <v>371</v>
      </c>
      <c r="E129" t="s">
        <v>60</v>
      </c>
      <c r="F129">
        <v>3.4097211311202901E-3</v>
      </c>
      <c r="G129">
        <v>2.7277769048962321E-3</v>
      </c>
      <c r="H129" s="54">
        <v>67387289</v>
      </c>
      <c r="I129" t="s">
        <v>337</v>
      </c>
      <c r="J129" t="s">
        <v>372</v>
      </c>
    </row>
    <row r="130" spans="1:10" x14ac:dyDescent="0.3">
      <c r="A130" s="39">
        <v>45820.780011574076</v>
      </c>
      <c r="B130" t="s">
        <v>218</v>
      </c>
      <c r="C130">
        <v>98</v>
      </c>
      <c r="D130" t="s">
        <v>371</v>
      </c>
      <c r="E130" t="s">
        <v>14</v>
      </c>
      <c r="F130">
        <v>2.5361392926171799E-2</v>
      </c>
      <c r="G130">
        <v>2.0289114340937442E-2</v>
      </c>
      <c r="H130" s="54">
        <v>67387289</v>
      </c>
      <c r="I130" t="s">
        <v>338</v>
      </c>
      <c r="J130" t="s">
        <v>372</v>
      </c>
    </row>
    <row r="131" spans="1:10" x14ac:dyDescent="0.3">
      <c r="A131" s="39">
        <v>45820.780011574076</v>
      </c>
      <c r="B131" t="s">
        <v>218</v>
      </c>
      <c r="C131">
        <v>34</v>
      </c>
      <c r="D131" t="s">
        <v>371</v>
      </c>
      <c r="E131" t="s">
        <v>336</v>
      </c>
      <c r="F131">
        <v>4.35043192353377E-2</v>
      </c>
      <c r="G131">
        <v>4.3520981800777292E-2</v>
      </c>
      <c r="H131" s="54">
        <v>67387289</v>
      </c>
      <c r="I131" t="s">
        <v>336</v>
      </c>
      <c r="J131" t="s">
        <v>373</v>
      </c>
    </row>
    <row r="132" spans="1:10" x14ac:dyDescent="0.3">
      <c r="A132" s="39">
        <v>45820.780011574076</v>
      </c>
      <c r="B132" t="s">
        <v>218</v>
      </c>
      <c r="C132">
        <v>104</v>
      </c>
      <c r="D132" t="s">
        <v>371</v>
      </c>
      <c r="E132" t="s">
        <v>337</v>
      </c>
      <c r="F132">
        <v>3.7572892996900503E-2</v>
      </c>
      <c r="G132">
        <v>3.825483722312456E-2</v>
      </c>
      <c r="H132" s="54">
        <v>67387289</v>
      </c>
      <c r="I132" t="s">
        <v>337</v>
      </c>
      <c r="J132" t="s">
        <v>373</v>
      </c>
    </row>
    <row r="133" spans="1:10" x14ac:dyDescent="0.3">
      <c r="A133" s="39">
        <v>45820.780011574076</v>
      </c>
      <c r="B133" t="s">
        <v>218</v>
      </c>
      <c r="C133">
        <v>94</v>
      </c>
      <c r="D133" t="s">
        <v>371</v>
      </c>
      <c r="E133" t="s">
        <v>338</v>
      </c>
      <c r="F133">
        <v>7.4662819673828207E-2</v>
      </c>
      <c r="G133">
        <v>7.9735098259062567E-2</v>
      </c>
      <c r="H133" s="54">
        <v>67387289</v>
      </c>
      <c r="I133" t="s">
        <v>338</v>
      </c>
      <c r="J133" t="s">
        <v>373</v>
      </c>
    </row>
    <row r="134" spans="1:10" x14ac:dyDescent="0.3">
      <c r="A134" s="39">
        <v>45820.780011574076</v>
      </c>
      <c r="B134" t="s">
        <v>219</v>
      </c>
      <c r="C134">
        <v>18</v>
      </c>
      <c r="D134" t="s">
        <v>371</v>
      </c>
      <c r="E134" t="s">
        <v>13</v>
      </c>
      <c r="F134">
        <v>1.6662565439589099E-4</v>
      </c>
      <c r="G134">
        <v>1.4996308895630191E-4</v>
      </c>
      <c r="H134" s="54">
        <v>67387289</v>
      </c>
      <c r="I134" t="s">
        <v>336</v>
      </c>
      <c r="J134" t="s">
        <v>372</v>
      </c>
    </row>
    <row r="135" spans="1:10" x14ac:dyDescent="0.3">
      <c r="A135" s="39">
        <v>45820.780011574076</v>
      </c>
      <c r="B135" t="s">
        <v>219</v>
      </c>
      <c r="C135">
        <v>110</v>
      </c>
      <c r="D135" t="s">
        <v>371</v>
      </c>
      <c r="E135" t="s">
        <v>60</v>
      </c>
      <c r="F135">
        <v>2.50192882043053E-3</v>
      </c>
      <c r="G135">
        <v>2.0015430563444241E-3</v>
      </c>
      <c r="H135" s="54">
        <v>67387289</v>
      </c>
      <c r="I135" t="s">
        <v>337</v>
      </c>
      <c r="J135" t="s">
        <v>372</v>
      </c>
    </row>
    <row r="136" spans="1:10" x14ac:dyDescent="0.3">
      <c r="A136" s="39">
        <v>45820.780011574076</v>
      </c>
      <c r="B136" t="s">
        <v>219</v>
      </c>
      <c r="C136">
        <v>99</v>
      </c>
      <c r="D136" t="s">
        <v>371</v>
      </c>
      <c r="E136" t="s">
        <v>14</v>
      </c>
      <c r="F136">
        <v>0.212497310711808</v>
      </c>
      <c r="G136">
        <v>0.16999784856944641</v>
      </c>
      <c r="H136" s="54">
        <v>67387289</v>
      </c>
      <c r="I136" t="s">
        <v>338</v>
      </c>
      <c r="J136" t="s">
        <v>372</v>
      </c>
    </row>
    <row r="137" spans="1:10" x14ac:dyDescent="0.3">
      <c r="A137" s="39">
        <v>45820.780011574076</v>
      </c>
      <c r="B137" t="s">
        <v>219</v>
      </c>
      <c r="C137">
        <v>34</v>
      </c>
      <c r="D137" t="s">
        <v>371</v>
      </c>
      <c r="E137" t="s">
        <v>336</v>
      </c>
      <c r="F137">
        <v>4.35043192353377E-2</v>
      </c>
      <c r="G137">
        <v>4.3520981800777292E-2</v>
      </c>
      <c r="H137" s="54">
        <v>67387289</v>
      </c>
      <c r="I137" t="s">
        <v>336</v>
      </c>
      <c r="J137" t="s">
        <v>373</v>
      </c>
    </row>
    <row r="138" spans="1:10" x14ac:dyDescent="0.3">
      <c r="A138" s="39">
        <v>45820.780011574076</v>
      </c>
      <c r="B138" t="s">
        <v>219</v>
      </c>
      <c r="C138">
        <v>105</v>
      </c>
      <c r="D138" t="s">
        <v>371</v>
      </c>
      <c r="E138" t="s">
        <v>337</v>
      </c>
      <c r="F138">
        <v>2.7569616470368399E-2</v>
      </c>
      <c r="G138">
        <v>2.8070002234454505E-2</v>
      </c>
      <c r="H138" s="54">
        <v>67387289</v>
      </c>
      <c r="I138" t="s">
        <v>337</v>
      </c>
      <c r="J138" t="s">
        <v>373</v>
      </c>
    </row>
    <row r="139" spans="1:10" x14ac:dyDescent="0.3">
      <c r="A139" s="39">
        <v>45820.780011574076</v>
      </c>
      <c r="B139" t="s">
        <v>219</v>
      </c>
      <c r="C139">
        <v>92</v>
      </c>
      <c r="D139" t="s">
        <v>371</v>
      </c>
      <c r="E139" t="s">
        <v>338</v>
      </c>
      <c r="F139">
        <v>0.62558268928819205</v>
      </c>
      <c r="G139">
        <v>0.66808215143055361</v>
      </c>
      <c r="H139" s="54">
        <v>67387289</v>
      </c>
      <c r="I139" t="s">
        <v>338</v>
      </c>
      <c r="J139" t="s">
        <v>373</v>
      </c>
    </row>
    <row r="140" spans="1:10" x14ac:dyDescent="0.3">
      <c r="A140" s="39">
        <v>45820.780011574076</v>
      </c>
      <c r="B140" t="s">
        <v>220</v>
      </c>
      <c r="C140">
        <v>18</v>
      </c>
      <c r="D140" t="s">
        <v>371</v>
      </c>
      <c r="E140" t="s">
        <v>13</v>
      </c>
      <c r="F140">
        <v>1.6662565439589099E-4</v>
      </c>
      <c r="G140">
        <v>1.4996308895630191E-4</v>
      </c>
      <c r="H140" s="54">
        <v>67387289</v>
      </c>
      <c r="I140" t="s">
        <v>336</v>
      </c>
      <c r="J140" t="s">
        <v>372</v>
      </c>
    </row>
    <row r="141" spans="1:10" x14ac:dyDescent="0.3">
      <c r="A141" s="39">
        <v>45820.780011574076</v>
      </c>
      <c r="B141" t="s">
        <v>220</v>
      </c>
      <c r="C141">
        <v>110</v>
      </c>
      <c r="D141" t="s">
        <v>371</v>
      </c>
      <c r="E141" t="s">
        <v>60</v>
      </c>
      <c r="F141">
        <v>2.50192882043053E-3</v>
      </c>
      <c r="G141">
        <v>2.0015430563444241E-3</v>
      </c>
      <c r="H141" s="54">
        <v>67387289</v>
      </c>
      <c r="I141" t="s">
        <v>337</v>
      </c>
      <c r="J141" t="s">
        <v>372</v>
      </c>
    </row>
    <row r="142" spans="1:10" x14ac:dyDescent="0.3">
      <c r="A142" s="39">
        <v>45820.780011574076</v>
      </c>
      <c r="B142" t="s">
        <v>220</v>
      </c>
      <c r="C142">
        <v>99</v>
      </c>
      <c r="D142" t="s">
        <v>371</v>
      </c>
      <c r="E142" t="s">
        <v>14</v>
      </c>
      <c r="F142">
        <v>0.212497310711808</v>
      </c>
      <c r="G142">
        <v>0.16999784856944641</v>
      </c>
      <c r="H142" s="54">
        <v>67387289</v>
      </c>
      <c r="I142" t="s">
        <v>338</v>
      </c>
      <c r="J142" t="s">
        <v>372</v>
      </c>
    </row>
    <row r="143" spans="1:10" x14ac:dyDescent="0.3">
      <c r="A143" s="39">
        <v>45820.780011574076</v>
      </c>
      <c r="B143" t="s">
        <v>220</v>
      </c>
      <c r="C143">
        <v>34</v>
      </c>
      <c r="D143" t="s">
        <v>371</v>
      </c>
      <c r="E143" t="s">
        <v>336</v>
      </c>
      <c r="F143">
        <v>4.35043192353377E-2</v>
      </c>
      <c r="G143">
        <v>4.3520981800777292E-2</v>
      </c>
      <c r="H143" s="54">
        <v>67387289</v>
      </c>
      <c r="I143" t="s">
        <v>336</v>
      </c>
      <c r="J143" t="s">
        <v>373</v>
      </c>
    </row>
    <row r="144" spans="1:10" x14ac:dyDescent="0.3">
      <c r="A144" s="39">
        <v>45820.780011574076</v>
      </c>
      <c r="B144" t="s">
        <v>220</v>
      </c>
      <c r="C144">
        <v>105</v>
      </c>
      <c r="D144" t="s">
        <v>371</v>
      </c>
      <c r="E144" t="s">
        <v>337</v>
      </c>
      <c r="F144">
        <v>2.7569616470368399E-2</v>
      </c>
      <c r="G144">
        <v>2.8070002234454505E-2</v>
      </c>
      <c r="H144" s="54">
        <v>67387289</v>
      </c>
      <c r="I144" t="s">
        <v>337</v>
      </c>
      <c r="J144" t="s">
        <v>373</v>
      </c>
    </row>
    <row r="145" spans="1:10" x14ac:dyDescent="0.3">
      <c r="A145" s="39">
        <v>45820.780011574076</v>
      </c>
      <c r="B145" t="s">
        <v>220</v>
      </c>
      <c r="C145">
        <v>92</v>
      </c>
      <c r="D145" t="s">
        <v>371</v>
      </c>
      <c r="E145" t="s">
        <v>338</v>
      </c>
      <c r="F145">
        <v>0.62558268928819205</v>
      </c>
      <c r="G145">
        <v>0.66808215143055361</v>
      </c>
      <c r="H145" s="54">
        <v>67387289</v>
      </c>
      <c r="I145" t="s">
        <v>338</v>
      </c>
      <c r="J145" t="s">
        <v>373</v>
      </c>
    </row>
    <row r="146" spans="1:10" x14ac:dyDescent="0.3">
      <c r="A146" s="39">
        <v>45820.781145833331</v>
      </c>
      <c r="B146" t="s">
        <v>223</v>
      </c>
      <c r="C146">
        <v>18</v>
      </c>
      <c r="D146" t="s">
        <v>371</v>
      </c>
      <c r="E146" t="s">
        <v>13</v>
      </c>
      <c r="F146">
        <v>1.21470102054604E-4</v>
      </c>
      <c r="G146">
        <v>1.093230918491436E-4</v>
      </c>
      <c r="H146" s="54">
        <v>67486211</v>
      </c>
      <c r="I146" t="s">
        <v>336</v>
      </c>
      <c r="J146" t="s">
        <v>372</v>
      </c>
    </row>
    <row r="147" spans="1:10" x14ac:dyDescent="0.3">
      <c r="A147" s="39">
        <v>45820.781145833331</v>
      </c>
      <c r="B147" t="s">
        <v>223</v>
      </c>
      <c r="C147">
        <v>110</v>
      </c>
      <c r="D147" t="s">
        <v>371</v>
      </c>
      <c r="E147" t="s">
        <v>60</v>
      </c>
      <c r="F147">
        <v>3.3887647621186098E-3</v>
      </c>
      <c r="G147">
        <v>2.7110118096948881E-3</v>
      </c>
      <c r="H147" s="54">
        <v>67486211</v>
      </c>
      <c r="I147" t="s">
        <v>337</v>
      </c>
      <c r="J147" t="s">
        <v>372</v>
      </c>
    </row>
    <row r="148" spans="1:10" x14ac:dyDescent="0.3">
      <c r="A148" s="39">
        <v>45820.781145833331</v>
      </c>
      <c r="B148" t="s">
        <v>223</v>
      </c>
      <c r="C148">
        <v>98</v>
      </c>
      <c r="D148" t="s">
        <v>371</v>
      </c>
      <c r="E148" t="s">
        <v>14</v>
      </c>
      <c r="F148">
        <v>0.17917049915899499</v>
      </c>
      <c r="G148">
        <v>0.143336399327196</v>
      </c>
      <c r="H148" s="54">
        <v>67486211</v>
      </c>
      <c r="I148" t="s">
        <v>338</v>
      </c>
      <c r="J148" t="s">
        <v>372</v>
      </c>
    </row>
    <row r="149" spans="1:10" x14ac:dyDescent="0.3">
      <c r="A149" s="39">
        <v>45820.781145833331</v>
      </c>
      <c r="B149" t="s">
        <v>223</v>
      </c>
      <c r="C149">
        <v>34</v>
      </c>
      <c r="D149" t="s">
        <v>371</v>
      </c>
      <c r="E149" t="s">
        <v>336</v>
      </c>
      <c r="F149">
        <v>3.6686808332856501E-2</v>
      </c>
      <c r="G149">
        <v>3.6698955343061959E-2</v>
      </c>
      <c r="H149" s="54">
        <v>67486211</v>
      </c>
      <c r="I149" t="s">
        <v>336</v>
      </c>
      <c r="J149" t="s">
        <v>373</v>
      </c>
    </row>
    <row r="150" spans="1:10" x14ac:dyDescent="0.3">
      <c r="A150" s="39">
        <v>45820.781157407408</v>
      </c>
      <c r="B150" t="s">
        <v>223</v>
      </c>
      <c r="C150">
        <v>105</v>
      </c>
      <c r="D150" t="s">
        <v>371</v>
      </c>
      <c r="E150" t="s">
        <v>337</v>
      </c>
      <c r="F150">
        <v>4.7524650615530503E-2</v>
      </c>
      <c r="G150">
        <v>4.8202403567954223E-2</v>
      </c>
      <c r="H150" s="54">
        <v>67486211</v>
      </c>
      <c r="I150" t="s">
        <v>337</v>
      </c>
      <c r="J150" t="s">
        <v>373</v>
      </c>
    </row>
    <row r="151" spans="1:10" x14ac:dyDescent="0.3">
      <c r="A151" s="39">
        <v>45820.781157407408</v>
      </c>
      <c r="B151" t="s">
        <v>223</v>
      </c>
      <c r="C151">
        <v>93</v>
      </c>
      <c r="D151" t="s">
        <v>371</v>
      </c>
      <c r="E151" t="s">
        <v>338</v>
      </c>
      <c r="F151">
        <v>0.70413016140100504</v>
      </c>
      <c r="G151">
        <v>0.73996426123280401</v>
      </c>
      <c r="H151" s="54">
        <v>67486211</v>
      </c>
      <c r="I151" t="s">
        <v>338</v>
      </c>
      <c r="J151" t="s">
        <v>373</v>
      </c>
    </row>
    <row r="152" spans="1:10" x14ac:dyDescent="0.3">
      <c r="A152" s="39">
        <v>45820.781157407408</v>
      </c>
      <c r="B152" t="s">
        <v>58</v>
      </c>
      <c r="C152">
        <v>18</v>
      </c>
      <c r="D152" t="s">
        <v>371</v>
      </c>
      <c r="E152" t="s">
        <v>13</v>
      </c>
      <c r="F152">
        <v>1.4996308895630199E-4</v>
      </c>
      <c r="G152">
        <v>1.349667800606718E-4</v>
      </c>
      <c r="H152" s="54">
        <v>67486211</v>
      </c>
      <c r="I152" t="s">
        <v>336</v>
      </c>
      <c r="J152" t="s">
        <v>372</v>
      </c>
    </row>
    <row r="153" spans="1:10" x14ac:dyDescent="0.3">
      <c r="A153" s="39">
        <v>45820.781157407408</v>
      </c>
      <c r="B153" t="s">
        <v>58</v>
      </c>
      <c r="C153">
        <v>108</v>
      </c>
      <c r="D153" t="s">
        <v>371</v>
      </c>
      <c r="E153" t="s">
        <v>60</v>
      </c>
      <c r="F153">
        <v>1.93857945093687E-3</v>
      </c>
      <c r="G153">
        <v>1.5508635607494961E-3</v>
      </c>
      <c r="H153" s="54">
        <v>67486211</v>
      </c>
      <c r="I153" t="s">
        <v>337</v>
      </c>
      <c r="J153" t="s">
        <v>372</v>
      </c>
    </row>
    <row r="154" spans="1:10" x14ac:dyDescent="0.3">
      <c r="A154" s="39">
        <v>45820.781157407408</v>
      </c>
      <c r="B154" t="s">
        <v>58</v>
      </c>
      <c r="C154">
        <v>97</v>
      </c>
      <c r="D154" t="s">
        <v>371</v>
      </c>
      <c r="E154" t="s">
        <v>14</v>
      </c>
      <c r="F154">
        <v>6.1375941461606402E-2</v>
      </c>
      <c r="G154">
        <v>4.9100753169285125E-2</v>
      </c>
      <c r="H154" s="54">
        <v>67486211</v>
      </c>
      <c r="I154" t="s">
        <v>338</v>
      </c>
      <c r="J154" t="s">
        <v>372</v>
      </c>
    </row>
    <row r="155" spans="1:10" x14ac:dyDescent="0.3">
      <c r="A155" s="39">
        <v>45820.781157407408</v>
      </c>
      <c r="B155" t="s">
        <v>58</v>
      </c>
      <c r="C155">
        <v>34</v>
      </c>
      <c r="D155" t="s">
        <v>371</v>
      </c>
      <c r="E155" t="s">
        <v>336</v>
      </c>
      <c r="F155">
        <v>4.3520981800777299E-2</v>
      </c>
      <c r="G155">
        <v>4.3535978109672926E-2</v>
      </c>
      <c r="H155" s="54">
        <v>67486211</v>
      </c>
      <c r="I155" t="s">
        <v>336</v>
      </c>
      <c r="J155" t="s">
        <v>373</v>
      </c>
    </row>
    <row r="156" spans="1:10" x14ac:dyDescent="0.3">
      <c r="A156" s="39">
        <v>45820.781157407408</v>
      </c>
      <c r="B156" t="s">
        <v>58</v>
      </c>
      <c r="C156">
        <v>103</v>
      </c>
      <c r="D156" t="s">
        <v>371</v>
      </c>
      <c r="E156" t="s">
        <v>337</v>
      </c>
      <c r="F156">
        <v>2.7186989231623E-2</v>
      </c>
      <c r="G156">
        <v>2.7574705121810376E-2</v>
      </c>
      <c r="H156" s="54">
        <v>67486211</v>
      </c>
      <c r="I156" t="s">
        <v>337</v>
      </c>
      <c r="J156" t="s">
        <v>373</v>
      </c>
    </row>
    <row r="157" spans="1:10" x14ac:dyDescent="0.3">
      <c r="A157" s="39">
        <v>45820.781157407408</v>
      </c>
      <c r="B157" t="s">
        <v>58</v>
      </c>
      <c r="C157">
        <v>92</v>
      </c>
      <c r="D157" t="s">
        <v>371</v>
      </c>
      <c r="E157" t="s">
        <v>338</v>
      </c>
      <c r="F157">
        <v>0.241204058538394</v>
      </c>
      <c r="G157">
        <v>0.25347924683071527</v>
      </c>
      <c r="H157" s="54">
        <v>67486211</v>
      </c>
      <c r="I157" t="s">
        <v>338</v>
      </c>
      <c r="J157" t="s">
        <v>373</v>
      </c>
    </row>
    <row r="158" spans="1:10" x14ac:dyDescent="0.3">
      <c r="A158" s="39">
        <v>45820.781157407408</v>
      </c>
      <c r="B158" t="s">
        <v>217</v>
      </c>
      <c r="C158">
        <v>18</v>
      </c>
      <c r="D158" t="s">
        <v>371</v>
      </c>
      <c r="E158" t="s">
        <v>13</v>
      </c>
      <c r="F158">
        <v>1.4996308895630199E-4</v>
      </c>
      <c r="G158">
        <v>1.349667800606718E-4</v>
      </c>
      <c r="H158" s="54">
        <v>67486211</v>
      </c>
      <c r="I158" t="s">
        <v>336</v>
      </c>
      <c r="J158" t="s">
        <v>372</v>
      </c>
    </row>
    <row r="159" spans="1:10" x14ac:dyDescent="0.3">
      <c r="A159" s="39">
        <v>45820.781157407408</v>
      </c>
      <c r="B159" t="s">
        <v>217</v>
      </c>
      <c r="C159">
        <v>110</v>
      </c>
      <c r="D159" t="s">
        <v>371</v>
      </c>
      <c r="E159" t="s">
        <v>60</v>
      </c>
      <c r="F159">
        <v>2.2533974779746198E-3</v>
      </c>
      <c r="G159">
        <v>1.8027179823796959E-3</v>
      </c>
      <c r="H159" s="54">
        <v>67486211</v>
      </c>
      <c r="I159" t="s">
        <v>337</v>
      </c>
      <c r="J159" t="s">
        <v>372</v>
      </c>
    </row>
    <row r="160" spans="1:10" x14ac:dyDescent="0.3">
      <c r="A160" s="39">
        <v>45820.781157407408</v>
      </c>
      <c r="B160" t="s">
        <v>217</v>
      </c>
      <c r="C160">
        <v>99</v>
      </c>
      <c r="D160" t="s">
        <v>371</v>
      </c>
      <c r="E160" t="s">
        <v>14</v>
      </c>
      <c r="F160">
        <v>7.6674287370239999E-2</v>
      </c>
      <c r="G160">
        <v>6.1339429896192003E-2</v>
      </c>
      <c r="H160" s="54">
        <v>67486211</v>
      </c>
      <c r="I160" t="s">
        <v>338</v>
      </c>
      <c r="J160" t="s">
        <v>372</v>
      </c>
    </row>
    <row r="161" spans="1:10" x14ac:dyDescent="0.3">
      <c r="A161" s="39">
        <v>45820.781157407408</v>
      </c>
      <c r="B161" t="s">
        <v>217</v>
      </c>
      <c r="C161">
        <v>34</v>
      </c>
      <c r="D161" t="s">
        <v>371</v>
      </c>
      <c r="E161" t="s">
        <v>336</v>
      </c>
      <c r="F161">
        <v>4.3520981800777299E-2</v>
      </c>
      <c r="G161">
        <v>4.3535978109672926E-2</v>
      </c>
      <c r="H161" s="54">
        <v>67486211</v>
      </c>
      <c r="I161" t="s">
        <v>336</v>
      </c>
      <c r="J161" t="s">
        <v>373</v>
      </c>
    </row>
    <row r="162" spans="1:10" x14ac:dyDescent="0.3">
      <c r="A162" s="39">
        <v>45820.781157407408</v>
      </c>
      <c r="B162" t="s">
        <v>217</v>
      </c>
      <c r="C162">
        <v>105</v>
      </c>
      <c r="D162" t="s">
        <v>371</v>
      </c>
      <c r="E162" t="s">
        <v>337</v>
      </c>
      <c r="F162">
        <v>3.16020542457804E-2</v>
      </c>
      <c r="G162">
        <v>3.2052733741375322E-2</v>
      </c>
      <c r="H162" s="54">
        <v>67486211</v>
      </c>
      <c r="I162" t="s">
        <v>337</v>
      </c>
      <c r="J162" t="s">
        <v>373</v>
      </c>
    </row>
    <row r="163" spans="1:10" x14ac:dyDescent="0.3">
      <c r="A163" s="39">
        <v>45820.781157407408</v>
      </c>
      <c r="B163" t="s">
        <v>217</v>
      </c>
      <c r="C163">
        <v>93</v>
      </c>
      <c r="D163" t="s">
        <v>371</v>
      </c>
      <c r="E163" t="s">
        <v>338</v>
      </c>
      <c r="F163">
        <v>0.30132571262975999</v>
      </c>
      <c r="G163">
        <v>0.31666057010380799</v>
      </c>
      <c r="H163" s="54">
        <v>67486211</v>
      </c>
      <c r="I163" t="s">
        <v>338</v>
      </c>
      <c r="J163" t="s">
        <v>373</v>
      </c>
    </row>
    <row r="164" spans="1:10" x14ac:dyDescent="0.3">
      <c r="A164" s="39">
        <v>45820.781157407408</v>
      </c>
      <c r="B164" t="s">
        <v>218</v>
      </c>
      <c r="C164">
        <v>18</v>
      </c>
      <c r="D164" t="s">
        <v>371</v>
      </c>
      <c r="E164" t="s">
        <v>13</v>
      </c>
      <c r="F164">
        <v>1.4996308895630199E-4</v>
      </c>
      <c r="G164">
        <v>1.349667800606718E-4</v>
      </c>
      <c r="H164" s="54">
        <v>67486211</v>
      </c>
      <c r="I164" t="s">
        <v>336</v>
      </c>
      <c r="J164" t="s">
        <v>372</v>
      </c>
    </row>
    <row r="165" spans="1:10" x14ac:dyDescent="0.3">
      <c r="A165" s="39">
        <v>45820.781168981484</v>
      </c>
      <c r="B165" t="s">
        <v>218</v>
      </c>
      <c r="C165">
        <v>109</v>
      </c>
      <c r="D165" t="s">
        <v>371</v>
      </c>
      <c r="E165" t="s">
        <v>60</v>
      </c>
      <c r="F165">
        <v>2.7277769048962299E-3</v>
      </c>
      <c r="G165">
        <v>2.1822215239169838E-3</v>
      </c>
      <c r="H165" s="54">
        <v>67486211</v>
      </c>
      <c r="I165" t="s">
        <v>337</v>
      </c>
      <c r="J165" t="s">
        <v>372</v>
      </c>
    </row>
    <row r="166" spans="1:10" x14ac:dyDescent="0.3">
      <c r="A166" s="39">
        <v>45820.781168981484</v>
      </c>
      <c r="B166" t="s">
        <v>218</v>
      </c>
      <c r="C166">
        <v>98</v>
      </c>
      <c r="D166" t="s">
        <v>371</v>
      </c>
      <c r="E166" t="s">
        <v>14</v>
      </c>
      <c r="F166">
        <v>2.02891143409374E-2</v>
      </c>
      <c r="G166">
        <v>1.6231291472749921E-2</v>
      </c>
      <c r="H166" s="54">
        <v>67486211</v>
      </c>
      <c r="I166" t="s">
        <v>338</v>
      </c>
      <c r="J166" t="s">
        <v>372</v>
      </c>
    </row>
    <row r="167" spans="1:10" x14ac:dyDescent="0.3">
      <c r="A167" s="39">
        <v>45820.781168981484</v>
      </c>
      <c r="B167" t="s">
        <v>218</v>
      </c>
      <c r="C167">
        <v>34</v>
      </c>
      <c r="D167" t="s">
        <v>371</v>
      </c>
      <c r="E167" t="s">
        <v>336</v>
      </c>
      <c r="F167">
        <v>4.3520981800777299E-2</v>
      </c>
      <c r="G167">
        <v>4.3535978109672926E-2</v>
      </c>
      <c r="H167" s="54">
        <v>67486211</v>
      </c>
      <c r="I167" t="s">
        <v>336</v>
      </c>
      <c r="J167" t="s">
        <v>373</v>
      </c>
    </row>
    <row r="168" spans="1:10" x14ac:dyDescent="0.3">
      <c r="A168" s="39">
        <v>45820.781168981484</v>
      </c>
      <c r="B168" t="s">
        <v>218</v>
      </c>
      <c r="C168">
        <v>104</v>
      </c>
      <c r="D168" t="s">
        <v>371</v>
      </c>
      <c r="E168" t="s">
        <v>337</v>
      </c>
      <c r="F168">
        <v>3.8254837223124602E-2</v>
      </c>
      <c r="G168">
        <v>3.8800392604103846E-2</v>
      </c>
      <c r="H168" s="54">
        <v>67486211</v>
      </c>
      <c r="I168" t="s">
        <v>337</v>
      </c>
      <c r="J168" t="s">
        <v>373</v>
      </c>
    </row>
    <row r="169" spans="1:10" x14ac:dyDescent="0.3">
      <c r="A169" s="39">
        <v>45820.781168981484</v>
      </c>
      <c r="B169" t="s">
        <v>218</v>
      </c>
      <c r="C169">
        <v>94</v>
      </c>
      <c r="D169" t="s">
        <v>371</v>
      </c>
      <c r="E169" t="s">
        <v>338</v>
      </c>
      <c r="F169">
        <v>7.9735098259062595E-2</v>
      </c>
      <c r="G169">
        <v>8.3792921127250078E-2</v>
      </c>
      <c r="H169" s="54">
        <v>67486211</v>
      </c>
      <c r="I169" t="s">
        <v>338</v>
      </c>
      <c r="J169" t="s">
        <v>373</v>
      </c>
    </row>
    <row r="170" spans="1:10" x14ac:dyDescent="0.3">
      <c r="A170" s="39">
        <v>45820.781168981484</v>
      </c>
      <c r="B170" t="s">
        <v>219</v>
      </c>
      <c r="C170">
        <v>18</v>
      </c>
      <c r="D170" t="s">
        <v>371</v>
      </c>
      <c r="E170" t="s">
        <v>13</v>
      </c>
      <c r="F170">
        <v>1.4996308895630199E-4</v>
      </c>
      <c r="G170">
        <v>1.349667800606718E-4</v>
      </c>
      <c r="H170" s="54">
        <v>67486211</v>
      </c>
      <c r="I170" t="s">
        <v>336</v>
      </c>
      <c r="J170" t="s">
        <v>372</v>
      </c>
    </row>
    <row r="171" spans="1:10" x14ac:dyDescent="0.3">
      <c r="A171" s="39">
        <v>45820.781168981484</v>
      </c>
      <c r="B171" t="s">
        <v>219</v>
      </c>
      <c r="C171">
        <v>110</v>
      </c>
      <c r="D171" t="s">
        <v>371</v>
      </c>
      <c r="E171" t="s">
        <v>60</v>
      </c>
      <c r="F171">
        <v>2.0015430563444202E-3</v>
      </c>
      <c r="G171">
        <v>1.6012344450755363E-3</v>
      </c>
      <c r="H171" s="54">
        <v>67486211</v>
      </c>
      <c r="I171" t="s">
        <v>337</v>
      </c>
      <c r="J171" t="s">
        <v>372</v>
      </c>
    </row>
    <row r="172" spans="1:10" x14ac:dyDescent="0.3">
      <c r="A172" s="39">
        <v>45820.781168981484</v>
      </c>
      <c r="B172" t="s">
        <v>219</v>
      </c>
      <c r="C172">
        <v>99</v>
      </c>
      <c r="D172" t="s">
        <v>371</v>
      </c>
      <c r="E172" t="s">
        <v>14</v>
      </c>
      <c r="F172">
        <v>0.169997848569446</v>
      </c>
      <c r="G172">
        <v>0.13599827885555679</v>
      </c>
      <c r="H172" s="54">
        <v>67486211</v>
      </c>
      <c r="I172" t="s">
        <v>338</v>
      </c>
      <c r="J172" t="s">
        <v>372</v>
      </c>
    </row>
    <row r="173" spans="1:10" x14ac:dyDescent="0.3">
      <c r="A173" s="39">
        <v>45820.781168981484</v>
      </c>
      <c r="B173" t="s">
        <v>219</v>
      </c>
      <c r="C173">
        <v>34</v>
      </c>
      <c r="D173" t="s">
        <v>371</v>
      </c>
      <c r="E173" t="s">
        <v>336</v>
      </c>
      <c r="F173">
        <v>4.3520981800777299E-2</v>
      </c>
      <c r="G173">
        <v>4.3535978109672926E-2</v>
      </c>
      <c r="H173" s="54">
        <v>67486211</v>
      </c>
      <c r="I173" t="s">
        <v>336</v>
      </c>
      <c r="J173" t="s">
        <v>373</v>
      </c>
    </row>
    <row r="174" spans="1:10" x14ac:dyDescent="0.3">
      <c r="A174" s="39">
        <v>45820.781168981484</v>
      </c>
      <c r="B174" t="s">
        <v>219</v>
      </c>
      <c r="C174">
        <v>105</v>
      </c>
      <c r="D174" t="s">
        <v>371</v>
      </c>
      <c r="E174" t="s">
        <v>337</v>
      </c>
      <c r="F174">
        <v>2.8070002234454501E-2</v>
      </c>
      <c r="G174">
        <v>2.8470310845723386E-2</v>
      </c>
      <c r="H174" s="54">
        <v>67486211</v>
      </c>
      <c r="I174" t="s">
        <v>337</v>
      </c>
      <c r="J174" t="s">
        <v>373</v>
      </c>
    </row>
    <row r="175" spans="1:10" x14ac:dyDescent="0.3">
      <c r="A175" s="39">
        <v>45820.781168981484</v>
      </c>
      <c r="B175" t="s">
        <v>219</v>
      </c>
      <c r="C175">
        <v>92</v>
      </c>
      <c r="D175" t="s">
        <v>371</v>
      </c>
      <c r="E175" t="s">
        <v>338</v>
      </c>
      <c r="F175">
        <v>0.66808215143055405</v>
      </c>
      <c r="G175">
        <v>0.70208172114444323</v>
      </c>
      <c r="H175" s="54">
        <v>67486211</v>
      </c>
      <c r="I175" t="s">
        <v>338</v>
      </c>
      <c r="J175" t="s">
        <v>373</v>
      </c>
    </row>
    <row r="176" spans="1:10" x14ac:dyDescent="0.3">
      <c r="A176" s="39">
        <v>45820.781168981484</v>
      </c>
      <c r="B176" t="s">
        <v>220</v>
      </c>
      <c r="C176">
        <v>18</v>
      </c>
      <c r="D176" t="s">
        <v>371</v>
      </c>
      <c r="E176" t="s">
        <v>13</v>
      </c>
      <c r="F176">
        <v>1.4996308895630199E-4</v>
      </c>
      <c r="G176">
        <v>1.349667800606718E-4</v>
      </c>
      <c r="H176" s="54">
        <v>67486211</v>
      </c>
      <c r="I176" t="s">
        <v>336</v>
      </c>
      <c r="J176" t="s">
        <v>372</v>
      </c>
    </row>
    <row r="177" spans="1:10" x14ac:dyDescent="0.3">
      <c r="A177" s="39">
        <v>45820.781168981484</v>
      </c>
      <c r="B177" t="s">
        <v>220</v>
      </c>
      <c r="C177">
        <v>110</v>
      </c>
      <c r="D177" t="s">
        <v>371</v>
      </c>
      <c r="E177" t="s">
        <v>60</v>
      </c>
      <c r="F177">
        <v>2.0015430563444202E-3</v>
      </c>
      <c r="G177">
        <v>1.6012344450755363E-3</v>
      </c>
      <c r="H177" s="54">
        <v>67486211</v>
      </c>
      <c r="I177" t="s">
        <v>337</v>
      </c>
      <c r="J177" t="s">
        <v>372</v>
      </c>
    </row>
    <row r="178" spans="1:10" x14ac:dyDescent="0.3">
      <c r="A178" s="39">
        <v>45820.781168981484</v>
      </c>
      <c r="B178" t="s">
        <v>220</v>
      </c>
      <c r="C178">
        <v>99</v>
      </c>
      <c r="D178" t="s">
        <v>371</v>
      </c>
      <c r="E178" t="s">
        <v>14</v>
      </c>
      <c r="F178">
        <v>0.169997848569446</v>
      </c>
      <c r="G178">
        <v>0.13599827885555679</v>
      </c>
      <c r="H178" s="54">
        <v>67486211</v>
      </c>
      <c r="I178" t="s">
        <v>338</v>
      </c>
      <c r="J178" t="s">
        <v>372</v>
      </c>
    </row>
    <row r="179" spans="1:10" x14ac:dyDescent="0.3">
      <c r="A179" s="39">
        <v>45820.781168981484</v>
      </c>
      <c r="B179" t="s">
        <v>220</v>
      </c>
      <c r="C179">
        <v>34</v>
      </c>
      <c r="D179" t="s">
        <v>371</v>
      </c>
      <c r="E179" t="s">
        <v>336</v>
      </c>
      <c r="F179">
        <v>4.3520981800777299E-2</v>
      </c>
      <c r="G179">
        <v>4.3535978109672926E-2</v>
      </c>
      <c r="H179" s="54">
        <v>67486211</v>
      </c>
      <c r="I179" t="s">
        <v>336</v>
      </c>
      <c r="J179" t="s">
        <v>373</v>
      </c>
    </row>
    <row r="180" spans="1:10" x14ac:dyDescent="0.3">
      <c r="A180" s="39">
        <v>45820.781168981484</v>
      </c>
      <c r="B180" t="s">
        <v>220</v>
      </c>
      <c r="C180">
        <v>105</v>
      </c>
      <c r="D180" t="s">
        <v>371</v>
      </c>
      <c r="E180" t="s">
        <v>337</v>
      </c>
      <c r="F180">
        <v>2.8070002234454501E-2</v>
      </c>
      <c r="G180">
        <v>2.8470310845723386E-2</v>
      </c>
      <c r="H180" s="54">
        <v>67486211</v>
      </c>
      <c r="I180" t="s">
        <v>337</v>
      </c>
      <c r="J180" t="s">
        <v>373</v>
      </c>
    </row>
    <row r="181" spans="1:10" x14ac:dyDescent="0.3">
      <c r="A181" s="39">
        <v>45820.781180555554</v>
      </c>
      <c r="B181" t="s">
        <v>220</v>
      </c>
      <c r="C181">
        <v>92</v>
      </c>
      <c r="D181" t="s">
        <v>371</v>
      </c>
      <c r="E181" t="s">
        <v>338</v>
      </c>
      <c r="F181">
        <v>0.66808215143055405</v>
      </c>
      <c r="G181">
        <v>0.70208172114444323</v>
      </c>
      <c r="H181" s="54">
        <v>67486211</v>
      </c>
      <c r="I181" t="s">
        <v>338</v>
      </c>
      <c r="J181" t="s">
        <v>373</v>
      </c>
    </row>
    <row r="182" spans="1:10" x14ac:dyDescent="0.3">
      <c r="A182" s="39">
        <v>45820.781875000001</v>
      </c>
      <c r="B182" t="s">
        <v>223</v>
      </c>
      <c r="C182">
        <v>18</v>
      </c>
      <c r="D182" t="s">
        <v>371</v>
      </c>
      <c r="E182" t="s">
        <v>13</v>
      </c>
      <c r="F182">
        <v>1.09323091849144E-4</v>
      </c>
      <c r="G182">
        <v>9.8390782664229594E-5</v>
      </c>
      <c r="H182" s="54">
        <v>67549680</v>
      </c>
      <c r="I182" t="s">
        <v>336</v>
      </c>
      <c r="J182" t="s">
        <v>372</v>
      </c>
    </row>
    <row r="183" spans="1:10" x14ac:dyDescent="0.3">
      <c r="A183" s="39">
        <v>45820.781875000001</v>
      </c>
      <c r="B183" t="s">
        <v>223</v>
      </c>
      <c r="C183">
        <v>110</v>
      </c>
      <c r="D183" t="s">
        <v>371</v>
      </c>
      <c r="E183" t="s">
        <v>60</v>
      </c>
      <c r="F183">
        <v>2.7110118096948898E-3</v>
      </c>
      <c r="G183">
        <v>2.168809447755912E-3</v>
      </c>
      <c r="H183" s="54">
        <v>67549680</v>
      </c>
      <c r="I183" t="s">
        <v>337</v>
      </c>
      <c r="J183" t="s">
        <v>372</v>
      </c>
    </row>
    <row r="184" spans="1:10" x14ac:dyDescent="0.3">
      <c r="A184" s="39">
        <v>45820.781875000001</v>
      </c>
      <c r="B184" t="s">
        <v>223</v>
      </c>
      <c r="C184">
        <v>98</v>
      </c>
      <c r="D184" t="s">
        <v>371</v>
      </c>
      <c r="E184" t="s">
        <v>14</v>
      </c>
      <c r="F184">
        <v>0.143336399327196</v>
      </c>
      <c r="G184">
        <v>0.1146691194617568</v>
      </c>
      <c r="H184" s="54">
        <v>67549680</v>
      </c>
      <c r="I184" t="s">
        <v>338</v>
      </c>
      <c r="J184" t="s">
        <v>372</v>
      </c>
    </row>
    <row r="185" spans="1:10" x14ac:dyDescent="0.3">
      <c r="A185" s="39">
        <v>45820.781875000001</v>
      </c>
      <c r="B185" t="s">
        <v>223</v>
      </c>
      <c r="C185">
        <v>34</v>
      </c>
      <c r="D185" t="s">
        <v>371</v>
      </c>
      <c r="E185" t="s">
        <v>336</v>
      </c>
      <c r="F185">
        <v>3.6698955343062001E-2</v>
      </c>
      <c r="G185">
        <v>3.6709887652246913E-2</v>
      </c>
      <c r="H185" s="54">
        <v>67549680</v>
      </c>
      <c r="I185" t="s">
        <v>336</v>
      </c>
      <c r="J185" t="s">
        <v>373</v>
      </c>
    </row>
    <row r="186" spans="1:10" x14ac:dyDescent="0.3">
      <c r="A186" s="39">
        <v>45820.781886574077</v>
      </c>
      <c r="B186" t="s">
        <v>223</v>
      </c>
      <c r="C186">
        <v>105</v>
      </c>
      <c r="D186" t="s">
        <v>371</v>
      </c>
      <c r="E186" t="s">
        <v>337</v>
      </c>
      <c r="F186">
        <v>4.8202403567954202E-2</v>
      </c>
      <c r="G186">
        <v>4.874460592989318E-2</v>
      </c>
      <c r="H186" s="54">
        <v>67549680</v>
      </c>
      <c r="I186" t="s">
        <v>337</v>
      </c>
      <c r="J186" t="s">
        <v>373</v>
      </c>
    </row>
    <row r="187" spans="1:10" x14ac:dyDescent="0.3">
      <c r="A187" s="39">
        <v>45820.781886574077</v>
      </c>
      <c r="B187" t="s">
        <v>223</v>
      </c>
      <c r="C187">
        <v>93</v>
      </c>
      <c r="D187" t="s">
        <v>371</v>
      </c>
      <c r="E187" t="s">
        <v>338</v>
      </c>
      <c r="F187">
        <v>0.73996426123280401</v>
      </c>
      <c r="G187">
        <v>0.76863154109824317</v>
      </c>
      <c r="H187" s="54">
        <v>67549680</v>
      </c>
      <c r="I187" t="s">
        <v>338</v>
      </c>
      <c r="J187" t="s">
        <v>373</v>
      </c>
    </row>
    <row r="188" spans="1:10" x14ac:dyDescent="0.3">
      <c r="A188" s="39">
        <v>45820.781886574077</v>
      </c>
      <c r="B188" t="s">
        <v>58</v>
      </c>
      <c r="C188">
        <v>18</v>
      </c>
      <c r="D188" t="s">
        <v>371</v>
      </c>
      <c r="E188" t="s">
        <v>13</v>
      </c>
      <c r="F188">
        <v>1.3496678006067199E-4</v>
      </c>
      <c r="G188">
        <v>1.214701020546048E-4</v>
      </c>
      <c r="H188" s="54">
        <v>67549680</v>
      </c>
      <c r="I188" t="s">
        <v>336</v>
      </c>
      <c r="J188" t="s">
        <v>372</v>
      </c>
    </row>
    <row r="189" spans="1:10" x14ac:dyDescent="0.3">
      <c r="A189" s="39">
        <v>45820.781886574077</v>
      </c>
      <c r="B189" t="s">
        <v>58</v>
      </c>
      <c r="C189">
        <v>108</v>
      </c>
      <c r="D189" t="s">
        <v>371</v>
      </c>
      <c r="E189" t="s">
        <v>60</v>
      </c>
      <c r="F189">
        <v>1.5508635607495E-3</v>
      </c>
      <c r="G189">
        <v>1.2406908485996001E-3</v>
      </c>
      <c r="H189" s="54">
        <v>67549680</v>
      </c>
      <c r="I189" t="s">
        <v>337</v>
      </c>
      <c r="J189" t="s">
        <v>372</v>
      </c>
    </row>
    <row r="190" spans="1:10" x14ac:dyDescent="0.3">
      <c r="A190" s="39">
        <v>45820.781886574077</v>
      </c>
      <c r="B190" t="s">
        <v>58</v>
      </c>
      <c r="C190">
        <v>97</v>
      </c>
      <c r="D190" t="s">
        <v>371</v>
      </c>
      <c r="E190" t="s">
        <v>14</v>
      </c>
      <c r="F190">
        <v>4.9100753169285097E-2</v>
      </c>
      <c r="G190">
        <v>3.9280602535428082E-2</v>
      </c>
      <c r="H190" s="54">
        <v>67549680</v>
      </c>
      <c r="I190" t="s">
        <v>338</v>
      </c>
      <c r="J190" t="s">
        <v>372</v>
      </c>
    </row>
    <row r="191" spans="1:10" x14ac:dyDescent="0.3">
      <c r="A191" s="39">
        <v>45820.781886574077</v>
      </c>
      <c r="B191" t="s">
        <v>58</v>
      </c>
      <c r="C191">
        <v>34</v>
      </c>
      <c r="D191" t="s">
        <v>371</v>
      </c>
      <c r="E191" t="s">
        <v>336</v>
      </c>
      <c r="F191">
        <v>4.3535978109672899E-2</v>
      </c>
      <c r="G191">
        <v>4.3549474787678968E-2</v>
      </c>
      <c r="H191" s="54">
        <v>67549680</v>
      </c>
      <c r="I191" t="s">
        <v>336</v>
      </c>
      <c r="J191" t="s">
        <v>373</v>
      </c>
    </row>
    <row r="192" spans="1:10" x14ac:dyDescent="0.3">
      <c r="A192" s="39">
        <v>45820.781886574077</v>
      </c>
      <c r="B192" t="s">
        <v>58</v>
      </c>
      <c r="C192">
        <v>103</v>
      </c>
      <c r="D192" t="s">
        <v>371</v>
      </c>
      <c r="E192" t="s">
        <v>337</v>
      </c>
      <c r="F192">
        <v>2.75747051218104E-2</v>
      </c>
      <c r="G192">
        <v>2.7884877833960299E-2</v>
      </c>
      <c r="H192" s="54">
        <v>67549680</v>
      </c>
      <c r="I192" t="s">
        <v>337</v>
      </c>
      <c r="J192" t="s">
        <v>373</v>
      </c>
    </row>
    <row r="193" spans="1:10" x14ac:dyDescent="0.3">
      <c r="A193" s="39">
        <v>45820.781886574077</v>
      </c>
      <c r="B193" t="s">
        <v>58</v>
      </c>
      <c r="C193">
        <v>92</v>
      </c>
      <c r="D193" t="s">
        <v>371</v>
      </c>
      <c r="E193" t="s">
        <v>338</v>
      </c>
      <c r="F193">
        <v>0.25347924683071499</v>
      </c>
      <c r="G193">
        <v>0.26329939746457198</v>
      </c>
      <c r="H193" s="54">
        <v>67549680</v>
      </c>
      <c r="I193" t="s">
        <v>338</v>
      </c>
      <c r="J193" t="s">
        <v>373</v>
      </c>
    </row>
    <row r="194" spans="1:10" x14ac:dyDescent="0.3">
      <c r="A194" s="39">
        <v>45820.781886574077</v>
      </c>
      <c r="B194" t="s">
        <v>217</v>
      </c>
      <c r="C194">
        <v>18</v>
      </c>
      <c r="D194" t="s">
        <v>371</v>
      </c>
      <c r="E194" t="s">
        <v>13</v>
      </c>
      <c r="F194">
        <v>1.3496678006067199E-4</v>
      </c>
      <c r="G194">
        <v>1.214701020546048E-4</v>
      </c>
      <c r="H194" s="54">
        <v>67549680</v>
      </c>
      <c r="I194" t="s">
        <v>336</v>
      </c>
      <c r="J194" t="s">
        <v>372</v>
      </c>
    </row>
    <row r="195" spans="1:10" x14ac:dyDescent="0.3">
      <c r="A195" s="39">
        <v>45820.781886574077</v>
      </c>
      <c r="B195" t="s">
        <v>217</v>
      </c>
      <c r="C195">
        <v>110</v>
      </c>
      <c r="D195" t="s">
        <v>371</v>
      </c>
      <c r="E195" t="s">
        <v>60</v>
      </c>
      <c r="F195">
        <v>1.8027179823797001E-3</v>
      </c>
      <c r="G195">
        <v>1.4421743859037602E-3</v>
      </c>
      <c r="H195" s="54">
        <v>67549680</v>
      </c>
      <c r="I195" t="s">
        <v>337</v>
      </c>
      <c r="J195" t="s">
        <v>372</v>
      </c>
    </row>
    <row r="196" spans="1:10" x14ac:dyDescent="0.3">
      <c r="A196" s="39">
        <v>45820.781886574077</v>
      </c>
      <c r="B196" t="s">
        <v>217</v>
      </c>
      <c r="C196">
        <v>99</v>
      </c>
      <c r="D196" t="s">
        <v>371</v>
      </c>
      <c r="E196" t="s">
        <v>14</v>
      </c>
      <c r="F196">
        <v>6.1339429896192003E-2</v>
      </c>
      <c r="G196">
        <v>4.9071543916953606E-2</v>
      </c>
      <c r="H196" s="54">
        <v>67549680</v>
      </c>
      <c r="I196" t="s">
        <v>338</v>
      </c>
      <c r="J196" t="s">
        <v>372</v>
      </c>
    </row>
    <row r="197" spans="1:10" x14ac:dyDescent="0.3">
      <c r="A197" s="39">
        <v>45820.781886574077</v>
      </c>
      <c r="B197" t="s">
        <v>217</v>
      </c>
      <c r="C197">
        <v>34</v>
      </c>
      <c r="D197" t="s">
        <v>371</v>
      </c>
      <c r="E197" t="s">
        <v>336</v>
      </c>
      <c r="F197">
        <v>4.3535978109672899E-2</v>
      </c>
      <c r="G197">
        <v>4.3549474787678968E-2</v>
      </c>
      <c r="H197" s="54">
        <v>67549680</v>
      </c>
      <c r="I197" t="s">
        <v>336</v>
      </c>
      <c r="J197" t="s">
        <v>373</v>
      </c>
    </row>
    <row r="198" spans="1:10" x14ac:dyDescent="0.3">
      <c r="A198" s="39">
        <v>45820.781886574077</v>
      </c>
      <c r="B198" t="s">
        <v>217</v>
      </c>
      <c r="C198">
        <v>105</v>
      </c>
      <c r="D198" t="s">
        <v>371</v>
      </c>
      <c r="E198" t="s">
        <v>337</v>
      </c>
      <c r="F198">
        <v>3.2052733741375301E-2</v>
      </c>
      <c r="G198">
        <v>3.2413277337851244E-2</v>
      </c>
      <c r="H198" s="54">
        <v>67549680</v>
      </c>
      <c r="I198" t="s">
        <v>337</v>
      </c>
      <c r="J198" t="s">
        <v>373</v>
      </c>
    </row>
    <row r="199" spans="1:10" x14ac:dyDescent="0.3">
      <c r="A199" s="39">
        <v>45820.781886574077</v>
      </c>
      <c r="B199" t="s">
        <v>217</v>
      </c>
      <c r="C199">
        <v>93</v>
      </c>
      <c r="D199" t="s">
        <v>371</v>
      </c>
      <c r="E199" t="s">
        <v>338</v>
      </c>
      <c r="F199">
        <v>0.31666057010380799</v>
      </c>
      <c r="G199">
        <v>0.32892845608304638</v>
      </c>
      <c r="H199" s="54">
        <v>67549680</v>
      </c>
      <c r="I199" t="s">
        <v>338</v>
      </c>
      <c r="J199" t="s">
        <v>373</v>
      </c>
    </row>
    <row r="200" spans="1:10" x14ac:dyDescent="0.3">
      <c r="A200" s="39">
        <v>45820.781886574077</v>
      </c>
      <c r="B200" t="s">
        <v>218</v>
      </c>
      <c r="C200">
        <v>18</v>
      </c>
      <c r="D200" t="s">
        <v>371</v>
      </c>
      <c r="E200" t="s">
        <v>13</v>
      </c>
      <c r="F200">
        <v>1.3496678006067199E-4</v>
      </c>
      <c r="G200">
        <v>1.214701020546048E-4</v>
      </c>
      <c r="H200" s="54">
        <v>67549680</v>
      </c>
      <c r="I200" t="s">
        <v>336</v>
      </c>
      <c r="J200" t="s">
        <v>372</v>
      </c>
    </row>
    <row r="201" spans="1:10" x14ac:dyDescent="0.3">
      <c r="A201" s="39">
        <v>45820.781886574077</v>
      </c>
      <c r="B201" t="s">
        <v>218</v>
      </c>
      <c r="C201">
        <v>109</v>
      </c>
      <c r="D201" t="s">
        <v>371</v>
      </c>
      <c r="E201" t="s">
        <v>60</v>
      </c>
      <c r="F201">
        <v>2.1822215239169799E-3</v>
      </c>
      <c r="G201">
        <v>1.7457772191335841E-3</v>
      </c>
      <c r="H201" s="54">
        <v>67549680</v>
      </c>
      <c r="I201" t="s">
        <v>337</v>
      </c>
      <c r="J201" t="s">
        <v>372</v>
      </c>
    </row>
    <row r="202" spans="1:10" x14ac:dyDescent="0.3">
      <c r="A202" s="39">
        <v>45820.781886574077</v>
      </c>
      <c r="B202" t="s">
        <v>218</v>
      </c>
      <c r="C202">
        <v>98</v>
      </c>
      <c r="D202" t="s">
        <v>371</v>
      </c>
      <c r="E202" t="s">
        <v>14</v>
      </c>
      <c r="F202">
        <v>1.62312914727499E-2</v>
      </c>
      <c r="G202">
        <v>1.298503317819992E-2</v>
      </c>
      <c r="H202" s="54">
        <v>67549680</v>
      </c>
      <c r="I202" t="s">
        <v>338</v>
      </c>
      <c r="J202" t="s">
        <v>372</v>
      </c>
    </row>
    <row r="203" spans="1:10" x14ac:dyDescent="0.3">
      <c r="A203" s="39">
        <v>45820.781886574077</v>
      </c>
      <c r="B203" t="s">
        <v>218</v>
      </c>
      <c r="C203">
        <v>34</v>
      </c>
      <c r="D203" t="s">
        <v>371</v>
      </c>
      <c r="E203" t="s">
        <v>336</v>
      </c>
      <c r="F203">
        <v>4.3535978109672899E-2</v>
      </c>
      <c r="G203">
        <v>4.3549474787678968E-2</v>
      </c>
      <c r="H203" s="54">
        <v>67549680</v>
      </c>
      <c r="I203" t="s">
        <v>336</v>
      </c>
      <c r="J203" t="s">
        <v>373</v>
      </c>
    </row>
    <row r="204" spans="1:10" x14ac:dyDescent="0.3">
      <c r="A204" s="39">
        <v>45820.781886574077</v>
      </c>
      <c r="B204" t="s">
        <v>218</v>
      </c>
      <c r="C204">
        <v>104</v>
      </c>
      <c r="D204" t="s">
        <v>371</v>
      </c>
      <c r="E204" t="s">
        <v>337</v>
      </c>
      <c r="F204">
        <v>3.8800392604103798E-2</v>
      </c>
      <c r="G204">
        <v>3.9236836908887192E-2</v>
      </c>
      <c r="H204" s="54">
        <v>67549680</v>
      </c>
      <c r="I204" t="s">
        <v>337</v>
      </c>
      <c r="J204" t="s">
        <v>373</v>
      </c>
    </row>
    <row r="205" spans="1:10" x14ac:dyDescent="0.3">
      <c r="A205" s="39">
        <v>45820.781886574077</v>
      </c>
      <c r="B205" t="s">
        <v>218</v>
      </c>
      <c r="C205">
        <v>94</v>
      </c>
      <c r="D205" t="s">
        <v>371</v>
      </c>
      <c r="E205" t="s">
        <v>338</v>
      </c>
      <c r="F205">
        <v>8.3792921127250106E-2</v>
      </c>
      <c r="G205">
        <v>8.7039179421800089E-2</v>
      </c>
      <c r="H205" s="54">
        <v>67549680</v>
      </c>
      <c r="I205" t="s">
        <v>338</v>
      </c>
      <c r="J205" t="s">
        <v>373</v>
      </c>
    </row>
    <row r="206" spans="1:10" x14ac:dyDescent="0.3">
      <c r="A206" s="39">
        <v>45820.781886574077</v>
      </c>
      <c r="B206" t="s">
        <v>219</v>
      </c>
      <c r="C206">
        <v>18</v>
      </c>
      <c r="D206" t="s">
        <v>371</v>
      </c>
      <c r="E206" t="s">
        <v>13</v>
      </c>
      <c r="F206">
        <v>1.3496678006067199E-4</v>
      </c>
      <c r="G206">
        <v>1.214701020546048E-4</v>
      </c>
      <c r="H206" s="54">
        <v>67549680</v>
      </c>
      <c r="I206" t="s">
        <v>336</v>
      </c>
      <c r="J206" t="s">
        <v>372</v>
      </c>
    </row>
    <row r="207" spans="1:10" x14ac:dyDescent="0.3">
      <c r="A207" s="39">
        <v>45820.781886574077</v>
      </c>
      <c r="B207" t="s">
        <v>219</v>
      </c>
      <c r="C207">
        <v>110</v>
      </c>
      <c r="D207" t="s">
        <v>371</v>
      </c>
      <c r="E207" t="s">
        <v>60</v>
      </c>
      <c r="F207">
        <v>1.60123444507554E-3</v>
      </c>
      <c r="G207">
        <v>1.280987556060432E-3</v>
      </c>
      <c r="H207" s="54">
        <v>67549680</v>
      </c>
      <c r="I207" t="s">
        <v>337</v>
      </c>
      <c r="J207" t="s">
        <v>372</v>
      </c>
    </row>
    <row r="208" spans="1:10" x14ac:dyDescent="0.3">
      <c r="A208" s="39">
        <v>45820.781886574077</v>
      </c>
      <c r="B208" t="s">
        <v>219</v>
      </c>
      <c r="C208">
        <v>99</v>
      </c>
      <c r="D208" t="s">
        <v>371</v>
      </c>
      <c r="E208" t="s">
        <v>14</v>
      </c>
      <c r="F208">
        <v>0.13599827885555699</v>
      </c>
      <c r="G208">
        <v>0.1087986230844456</v>
      </c>
      <c r="H208" s="54">
        <v>67549680</v>
      </c>
      <c r="I208" t="s">
        <v>338</v>
      </c>
      <c r="J208" t="s">
        <v>372</v>
      </c>
    </row>
    <row r="209" spans="1:10" x14ac:dyDescent="0.3">
      <c r="A209" s="39">
        <v>45820.781886574077</v>
      </c>
      <c r="B209" t="s">
        <v>219</v>
      </c>
      <c r="C209">
        <v>34</v>
      </c>
      <c r="D209" t="s">
        <v>371</v>
      </c>
      <c r="E209" t="s">
        <v>336</v>
      </c>
      <c r="F209">
        <v>4.3535978109672899E-2</v>
      </c>
      <c r="G209">
        <v>4.3549474787678968E-2</v>
      </c>
      <c r="H209" s="54">
        <v>67549680</v>
      </c>
      <c r="I209" t="s">
        <v>336</v>
      </c>
      <c r="J209" t="s">
        <v>373</v>
      </c>
    </row>
    <row r="210" spans="1:10" x14ac:dyDescent="0.3">
      <c r="A210" s="39">
        <v>45820.781886574077</v>
      </c>
      <c r="B210" t="s">
        <v>219</v>
      </c>
      <c r="C210">
        <v>105</v>
      </c>
      <c r="D210" t="s">
        <v>371</v>
      </c>
      <c r="E210" t="s">
        <v>337</v>
      </c>
      <c r="F210">
        <v>2.84703108457234E-2</v>
      </c>
      <c r="G210">
        <v>2.8790557734738507E-2</v>
      </c>
      <c r="H210" s="54">
        <v>67549680</v>
      </c>
      <c r="I210" t="s">
        <v>337</v>
      </c>
      <c r="J210" t="s">
        <v>373</v>
      </c>
    </row>
    <row r="211" spans="1:10" x14ac:dyDescent="0.3">
      <c r="A211" s="39">
        <v>45820.781886574077</v>
      </c>
      <c r="B211" t="s">
        <v>219</v>
      </c>
      <c r="C211">
        <v>92</v>
      </c>
      <c r="D211" t="s">
        <v>371</v>
      </c>
      <c r="E211" t="s">
        <v>338</v>
      </c>
      <c r="F211">
        <v>0.70208172114444301</v>
      </c>
      <c r="G211">
        <v>0.72928137691555439</v>
      </c>
      <c r="H211" s="54">
        <v>67549680</v>
      </c>
      <c r="I211" t="s">
        <v>338</v>
      </c>
      <c r="J211" t="s">
        <v>373</v>
      </c>
    </row>
    <row r="212" spans="1:10" x14ac:dyDescent="0.3">
      <c r="A212" s="39">
        <v>45820.781886574077</v>
      </c>
      <c r="B212" t="s">
        <v>220</v>
      </c>
      <c r="C212">
        <v>18</v>
      </c>
      <c r="D212" t="s">
        <v>371</v>
      </c>
      <c r="E212" t="s">
        <v>13</v>
      </c>
      <c r="F212">
        <v>1.3496678006067199E-4</v>
      </c>
      <c r="G212">
        <v>1.214701020546048E-4</v>
      </c>
      <c r="H212" s="54">
        <v>67549680</v>
      </c>
      <c r="I212" t="s">
        <v>336</v>
      </c>
      <c r="J212" t="s">
        <v>372</v>
      </c>
    </row>
    <row r="213" spans="1:10" x14ac:dyDescent="0.3">
      <c r="A213" s="39">
        <v>45820.781886574077</v>
      </c>
      <c r="B213" t="s">
        <v>220</v>
      </c>
      <c r="C213">
        <v>110</v>
      </c>
      <c r="D213" t="s">
        <v>371</v>
      </c>
      <c r="E213" t="s">
        <v>60</v>
      </c>
      <c r="F213">
        <v>1.60123444507554E-3</v>
      </c>
      <c r="G213">
        <v>1.280987556060432E-3</v>
      </c>
      <c r="H213" s="54">
        <v>67549680</v>
      </c>
      <c r="I213" t="s">
        <v>337</v>
      </c>
      <c r="J213" t="s">
        <v>372</v>
      </c>
    </row>
    <row r="214" spans="1:10" x14ac:dyDescent="0.3">
      <c r="A214" s="39">
        <v>45820.781886574077</v>
      </c>
      <c r="B214" t="s">
        <v>220</v>
      </c>
      <c r="C214">
        <v>99</v>
      </c>
      <c r="D214" t="s">
        <v>371</v>
      </c>
      <c r="E214" t="s">
        <v>14</v>
      </c>
      <c r="F214">
        <v>0.13599827885555699</v>
      </c>
      <c r="G214">
        <v>0.1087986230844456</v>
      </c>
      <c r="H214" s="54">
        <v>67549680</v>
      </c>
      <c r="I214" t="s">
        <v>338</v>
      </c>
      <c r="J214" t="s">
        <v>372</v>
      </c>
    </row>
    <row r="215" spans="1:10" x14ac:dyDescent="0.3">
      <c r="A215" s="39">
        <v>45820.781886574077</v>
      </c>
      <c r="B215" t="s">
        <v>220</v>
      </c>
      <c r="C215">
        <v>34</v>
      </c>
      <c r="D215" t="s">
        <v>371</v>
      </c>
      <c r="E215" t="s">
        <v>336</v>
      </c>
      <c r="F215">
        <v>4.3535978109672899E-2</v>
      </c>
      <c r="G215">
        <v>4.3549474787678968E-2</v>
      </c>
      <c r="H215" s="54">
        <v>67549680</v>
      </c>
      <c r="I215" t="s">
        <v>336</v>
      </c>
      <c r="J215" t="s">
        <v>373</v>
      </c>
    </row>
    <row r="216" spans="1:10" x14ac:dyDescent="0.3">
      <c r="A216" s="39">
        <v>45820.781886574077</v>
      </c>
      <c r="B216" t="s">
        <v>220</v>
      </c>
      <c r="C216">
        <v>105</v>
      </c>
      <c r="D216" t="s">
        <v>371</v>
      </c>
      <c r="E216" t="s">
        <v>337</v>
      </c>
      <c r="F216">
        <v>2.84703108457234E-2</v>
      </c>
      <c r="G216">
        <v>2.8790557734738507E-2</v>
      </c>
      <c r="H216" s="54">
        <v>67549680</v>
      </c>
      <c r="I216" t="s">
        <v>337</v>
      </c>
      <c r="J216" t="s">
        <v>373</v>
      </c>
    </row>
    <row r="217" spans="1:10" x14ac:dyDescent="0.3">
      <c r="A217" s="39">
        <v>45820.781886574077</v>
      </c>
      <c r="B217" t="s">
        <v>220</v>
      </c>
      <c r="C217">
        <v>92</v>
      </c>
      <c r="D217" t="s">
        <v>371</v>
      </c>
      <c r="E217" t="s">
        <v>338</v>
      </c>
      <c r="F217">
        <v>0.70208172114444301</v>
      </c>
      <c r="G217">
        <v>0.72928137691555439</v>
      </c>
      <c r="H217" s="54">
        <v>67549680</v>
      </c>
      <c r="I217" t="s">
        <v>338</v>
      </c>
      <c r="J217" t="s">
        <v>373</v>
      </c>
    </row>
    <row r="218" spans="1:10" x14ac:dyDescent="0.3">
      <c r="A218" s="39">
        <v>45820.832708333335</v>
      </c>
      <c r="B218" t="s">
        <v>223</v>
      </c>
      <c r="C218">
        <v>18</v>
      </c>
      <c r="D218" t="s">
        <v>371</v>
      </c>
      <c r="E218" t="s">
        <v>13</v>
      </c>
      <c r="F218">
        <v>9.8390782664229594E-5</v>
      </c>
      <c r="G218">
        <v>8.855170439780663E-5</v>
      </c>
      <c r="H218" s="54">
        <v>71940633</v>
      </c>
      <c r="I218" t="s">
        <v>336</v>
      </c>
      <c r="J218" t="s">
        <v>372</v>
      </c>
    </row>
    <row r="219" spans="1:10" x14ac:dyDescent="0.3">
      <c r="A219" s="39">
        <v>45820.832708333335</v>
      </c>
      <c r="B219" t="s">
        <v>223</v>
      </c>
      <c r="C219">
        <v>110</v>
      </c>
      <c r="D219" t="s">
        <v>371</v>
      </c>
      <c r="E219" t="s">
        <v>60</v>
      </c>
      <c r="F219">
        <v>2.1688094477559099E-3</v>
      </c>
      <c r="G219">
        <v>1.7350475582047281E-3</v>
      </c>
      <c r="H219" s="54">
        <v>71940633</v>
      </c>
      <c r="I219" t="s">
        <v>337</v>
      </c>
      <c r="J219" t="s">
        <v>372</v>
      </c>
    </row>
    <row r="220" spans="1:10" x14ac:dyDescent="0.3">
      <c r="A220" s="39">
        <v>45820.832708333335</v>
      </c>
      <c r="B220" t="s">
        <v>223</v>
      </c>
      <c r="C220">
        <v>98</v>
      </c>
      <c r="D220" t="s">
        <v>371</v>
      </c>
      <c r="E220" t="s">
        <v>14</v>
      </c>
      <c r="F220">
        <v>0.11466911946175699</v>
      </c>
      <c r="G220">
        <v>9.17352955694056E-2</v>
      </c>
      <c r="H220" s="54">
        <v>71940633</v>
      </c>
      <c r="I220" t="s">
        <v>338</v>
      </c>
      <c r="J220" t="s">
        <v>372</v>
      </c>
    </row>
    <row r="221" spans="1:10" x14ac:dyDescent="0.3">
      <c r="A221" s="39">
        <v>45820.832708333335</v>
      </c>
      <c r="B221" t="s">
        <v>223</v>
      </c>
      <c r="C221">
        <v>34</v>
      </c>
      <c r="D221" t="s">
        <v>371</v>
      </c>
      <c r="E221" t="s">
        <v>336</v>
      </c>
      <c r="F221">
        <v>3.6709887652246899E-2</v>
      </c>
      <c r="G221">
        <v>3.6719726730513325E-2</v>
      </c>
      <c r="H221" s="54">
        <v>71940633</v>
      </c>
      <c r="I221" t="s">
        <v>336</v>
      </c>
      <c r="J221" t="s">
        <v>373</v>
      </c>
    </row>
    <row r="222" spans="1:10" x14ac:dyDescent="0.3">
      <c r="A222" s="39">
        <v>45820.832708333335</v>
      </c>
      <c r="B222" t="s">
        <v>223</v>
      </c>
      <c r="C222">
        <v>105</v>
      </c>
      <c r="D222" t="s">
        <v>371</v>
      </c>
      <c r="E222" t="s">
        <v>337</v>
      </c>
      <c r="F222">
        <v>4.8744605929893201E-2</v>
      </c>
      <c r="G222">
        <v>4.9178367819444381E-2</v>
      </c>
      <c r="H222" s="54">
        <v>71940633</v>
      </c>
      <c r="I222" t="s">
        <v>337</v>
      </c>
      <c r="J222" t="s">
        <v>373</v>
      </c>
    </row>
    <row r="223" spans="1:10" x14ac:dyDescent="0.3">
      <c r="A223" s="39">
        <v>45820.832708333335</v>
      </c>
      <c r="B223" t="s">
        <v>223</v>
      </c>
      <c r="C223">
        <v>93</v>
      </c>
      <c r="D223" t="s">
        <v>371</v>
      </c>
      <c r="E223" t="s">
        <v>338</v>
      </c>
      <c r="F223">
        <v>0.76863154109824305</v>
      </c>
      <c r="G223">
        <v>0.79156536499059449</v>
      </c>
      <c r="H223" s="54">
        <v>71940633</v>
      </c>
      <c r="I223" t="s">
        <v>338</v>
      </c>
      <c r="J223" t="s">
        <v>373</v>
      </c>
    </row>
    <row r="224" spans="1:10" x14ac:dyDescent="0.3">
      <c r="A224" s="39">
        <v>45820.832708333335</v>
      </c>
      <c r="B224" t="s">
        <v>58</v>
      </c>
      <c r="C224">
        <v>18</v>
      </c>
      <c r="D224" t="s">
        <v>371</v>
      </c>
      <c r="E224" t="s">
        <v>13</v>
      </c>
      <c r="F224">
        <v>1.21470102054605E-4</v>
      </c>
      <c r="G224">
        <v>1.093230918491445E-4</v>
      </c>
      <c r="H224" s="54">
        <v>71940633</v>
      </c>
      <c r="I224" t="s">
        <v>336</v>
      </c>
      <c r="J224" t="s">
        <v>372</v>
      </c>
    </row>
    <row r="225" spans="1:10" x14ac:dyDescent="0.3">
      <c r="A225" s="39">
        <v>45820.832708333335</v>
      </c>
      <c r="B225" t="s">
        <v>58</v>
      </c>
      <c r="C225">
        <v>108</v>
      </c>
      <c r="D225" t="s">
        <v>371</v>
      </c>
      <c r="E225" t="s">
        <v>60</v>
      </c>
      <c r="F225">
        <v>1.2406908485995999E-3</v>
      </c>
      <c r="G225">
        <v>9.9255267887967996E-4</v>
      </c>
      <c r="H225" s="54">
        <v>71940633</v>
      </c>
      <c r="I225" t="s">
        <v>337</v>
      </c>
      <c r="J225" t="s">
        <v>372</v>
      </c>
    </row>
    <row r="226" spans="1:10" x14ac:dyDescent="0.3">
      <c r="A226" s="39">
        <v>45820.832708333335</v>
      </c>
      <c r="B226" t="s">
        <v>58</v>
      </c>
      <c r="C226">
        <v>97</v>
      </c>
      <c r="D226" t="s">
        <v>371</v>
      </c>
      <c r="E226" t="s">
        <v>14</v>
      </c>
      <c r="F226">
        <v>3.9280602535428102E-2</v>
      </c>
      <c r="G226">
        <v>3.1424482028342485E-2</v>
      </c>
      <c r="H226" s="54">
        <v>71940633</v>
      </c>
      <c r="I226" t="s">
        <v>338</v>
      </c>
      <c r="J226" t="s">
        <v>372</v>
      </c>
    </row>
    <row r="227" spans="1:10" x14ac:dyDescent="0.3">
      <c r="A227" s="39">
        <v>45820.832708333335</v>
      </c>
      <c r="B227" t="s">
        <v>58</v>
      </c>
      <c r="C227">
        <v>34</v>
      </c>
      <c r="D227" t="s">
        <v>371</v>
      </c>
      <c r="E227" t="s">
        <v>336</v>
      </c>
      <c r="F227">
        <v>4.3549474787679003E-2</v>
      </c>
      <c r="G227">
        <v>4.3561621797884462E-2</v>
      </c>
      <c r="H227" s="54">
        <v>71940633</v>
      </c>
      <c r="I227" t="s">
        <v>336</v>
      </c>
      <c r="J227" t="s">
        <v>373</v>
      </c>
    </row>
    <row r="228" spans="1:10" x14ac:dyDescent="0.3">
      <c r="A228" s="39">
        <v>45820.832708333335</v>
      </c>
      <c r="B228" t="s">
        <v>58</v>
      </c>
      <c r="C228">
        <v>103</v>
      </c>
      <c r="D228" t="s">
        <v>371</v>
      </c>
      <c r="E228" t="s">
        <v>337</v>
      </c>
      <c r="F228">
        <v>2.7884877833960299E-2</v>
      </c>
      <c r="G228">
        <v>2.813301600368022E-2</v>
      </c>
      <c r="H228" s="54">
        <v>71940633</v>
      </c>
      <c r="I228" t="s">
        <v>337</v>
      </c>
      <c r="J228" t="s">
        <v>373</v>
      </c>
    </row>
    <row r="229" spans="1:10" x14ac:dyDescent="0.3">
      <c r="A229" s="39">
        <v>45820.832708333335</v>
      </c>
      <c r="B229" t="s">
        <v>58</v>
      </c>
      <c r="C229">
        <v>92</v>
      </c>
      <c r="D229" t="s">
        <v>371</v>
      </c>
      <c r="E229" t="s">
        <v>338</v>
      </c>
      <c r="F229">
        <v>0.26329939746457198</v>
      </c>
      <c r="G229">
        <v>0.2711555179716576</v>
      </c>
      <c r="H229" s="54">
        <v>71940633</v>
      </c>
      <c r="I229" t="s">
        <v>338</v>
      </c>
      <c r="J229" t="s">
        <v>373</v>
      </c>
    </row>
    <row r="230" spans="1:10" x14ac:dyDescent="0.3">
      <c r="A230" s="39">
        <v>45820.832708333335</v>
      </c>
      <c r="B230" t="s">
        <v>217</v>
      </c>
      <c r="C230">
        <v>18</v>
      </c>
      <c r="D230" t="s">
        <v>371</v>
      </c>
      <c r="E230" t="s">
        <v>13</v>
      </c>
      <c r="F230">
        <v>1.21470102054605E-4</v>
      </c>
      <c r="G230">
        <v>1.093230918491445E-4</v>
      </c>
      <c r="H230" s="54">
        <v>71940633</v>
      </c>
      <c r="I230" t="s">
        <v>336</v>
      </c>
      <c r="J230" t="s">
        <v>372</v>
      </c>
    </row>
    <row r="231" spans="1:10" x14ac:dyDescent="0.3">
      <c r="A231" s="39">
        <v>45820.832708333335</v>
      </c>
      <c r="B231" t="s">
        <v>217</v>
      </c>
      <c r="C231">
        <v>110</v>
      </c>
      <c r="D231" t="s">
        <v>371</v>
      </c>
      <c r="E231" t="s">
        <v>60</v>
      </c>
      <c r="F231">
        <v>1.44217438590376E-3</v>
      </c>
      <c r="G231">
        <v>1.1537395087230079E-3</v>
      </c>
      <c r="H231" s="54">
        <v>71940633</v>
      </c>
      <c r="I231" t="s">
        <v>337</v>
      </c>
      <c r="J231" t="s">
        <v>372</v>
      </c>
    </row>
    <row r="232" spans="1:10" x14ac:dyDescent="0.3">
      <c r="A232" s="39">
        <v>45820.832708333335</v>
      </c>
      <c r="B232" t="s">
        <v>217</v>
      </c>
      <c r="C232">
        <v>99</v>
      </c>
      <c r="D232" t="s">
        <v>371</v>
      </c>
      <c r="E232" t="s">
        <v>14</v>
      </c>
      <c r="F232">
        <v>4.9071543916953599E-2</v>
      </c>
      <c r="G232">
        <v>3.9257235133562884E-2</v>
      </c>
      <c r="H232" s="54">
        <v>71940633</v>
      </c>
      <c r="I232" t="s">
        <v>338</v>
      </c>
      <c r="J232" t="s">
        <v>372</v>
      </c>
    </row>
    <row r="233" spans="1:10" x14ac:dyDescent="0.3">
      <c r="A233" s="39">
        <v>45820.832719907405</v>
      </c>
      <c r="B233" t="s">
        <v>217</v>
      </c>
      <c r="C233">
        <v>34</v>
      </c>
      <c r="D233" t="s">
        <v>371</v>
      </c>
      <c r="E233" t="s">
        <v>336</v>
      </c>
      <c r="F233">
        <v>4.3549474787679003E-2</v>
      </c>
      <c r="G233">
        <v>4.3561621797884462E-2</v>
      </c>
      <c r="H233" s="54">
        <v>71940633</v>
      </c>
      <c r="I233" t="s">
        <v>336</v>
      </c>
      <c r="J233" t="s">
        <v>373</v>
      </c>
    </row>
    <row r="234" spans="1:10" x14ac:dyDescent="0.3">
      <c r="A234" s="39">
        <v>45820.832719907405</v>
      </c>
      <c r="B234" t="s">
        <v>217</v>
      </c>
      <c r="C234">
        <v>105</v>
      </c>
      <c r="D234" t="s">
        <v>371</v>
      </c>
      <c r="E234" t="s">
        <v>337</v>
      </c>
      <c r="F234">
        <v>3.2413277337851203E-2</v>
      </c>
      <c r="G234">
        <v>3.2701712215031951E-2</v>
      </c>
      <c r="H234" s="54">
        <v>71940633</v>
      </c>
      <c r="I234" t="s">
        <v>337</v>
      </c>
      <c r="J234" t="s">
        <v>373</v>
      </c>
    </row>
    <row r="235" spans="1:10" x14ac:dyDescent="0.3">
      <c r="A235" s="39">
        <v>45820.832719907405</v>
      </c>
      <c r="B235" t="s">
        <v>217</v>
      </c>
      <c r="C235">
        <v>93</v>
      </c>
      <c r="D235" t="s">
        <v>371</v>
      </c>
      <c r="E235" t="s">
        <v>338</v>
      </c>
      <c r="F235">
        <v>0.32892845608304599</v>
      </c>
      <c r="G235">
        <v>0.33874276486643673</v>
      </c>
      <c r="H235" s="54">
        <v>71940633</v>
      </c>
      <c r="I235" t="s">
        <v>338</v>
      </c>
      <c r="J235" t="s">
        <v>373</v>
      </c>
    </row>
    <row r="236" spans="1:10" x14ac:dyDescent="0.3">
      <c r="A236" s="39">
        <v>45820.832719907405</v>
      </c>
      <c r="B236" t="s">
        <v>218</v>
      </c>
      <c r="C236">
        <v>18</v>
      </c>
      <c r="D236" t="s">
        <v>371</v>
      </c>
      <c r="E236" t="s">
        <v>13</v>
      </c>
      <c r="F236">
        <v>1.21470102054605E-4</v>
      </c>
      <c r="G236">
        <v>1.093230918491445E-4</v>
      </c>
      <c r="H236" s="54">
        <v>71940633</v>
      </c>
      <c r="I236" t="s">
        <v>336</v>
      </c>
      <c r="J236" t="s">
        <v>372</v>
      </c>
    </row>
    <row r="237" spans="1:10" x14ac:dyDescent="0.3">
      <c r="A237" s="39">
        <v>45820.832719907405</v>
      </c>
      <c r="B237" t="s">
        <v>218</v>
      </c>
      <c r="C237">
        <v>109</v>
      </c>
      <c r="D237" t="s">
        <v>371</v>
      </c>
      <c r="E237" t="s">
        <v>60</v>
      </c>
      <c r="F237">
        <v>1.74577721913358E-3</v>
      </c>
      <c r="G237">
        <v>1.3966217753068641E-3</v>
      </c>
      <c r="H237" s="54">
        <v>71940633</v>
      </c>
      <c r="I237" t="s">
        <v>337</v>
      </c>
      <c r="J237" t="s">
        <v>372</v>
      </c>
    </row>
    <row r="238" spans="1:10" x14ac:dyDescent="0.3">
      <c r="A238" s="39">
        <v>45820.832719907405</v>
      </c>
      <c r="B238" t="s">
        <v>218</v>
      </c>
      <c r="C238">
        <v>98</v>
      </c>
      <c r="D238" t="s">
        <v>371</v>
      </c>
      <c r="E238" t="s">
        <v>14</v>
      </c>
      <c r="F238">
        <v>1.2985033178199899E-2</v>
      </c>
      <c r="G238">
        <v>1.038802654255992E-2</v>
      </c>
      <c r="H238" s="54">
        <v>71940633</v>
      </c>
      <c r="I238" t="s">
        <v>338</v>
      </c>
      <c r="J238" t="s">
        <v>372</v>
      </c>
    </row>
    <row r="239" spans="1:10" x14ac:dyDescent="0.3">
      <c r="A239" s="39">
        <v>45820.832719907405</v>
      </c>
      <c r="B239" t="s">
        <v>218</v>
      </c>
      <c r="C239">
        <v>34</v>
      </c>
      <c r="D239" t="s">
        <v>371</v>
      </c>
      <c r="E239" t="s">
        <v>336</v>
      </c>
      <c r="F239">
        <v>4.3549474787679003E-2</v>
      </c>
      <c r="G239">
        <v>4.3561621797884462E-2</v>
      </c>
      <c r="H239" s="54">
        <v>71940633</v>
      </c>
      <c r="I239" t="s">
        <v>336</v>
      </c>
      <c r="J239" t="s">
        <v>373</v>
      </c>
    </row>
    <row r="240" spans="1:10" x14ac:dyDescent="0.3">
      <c r="A240" s="39">
        <v>45820.832719907405</v>
      </c>
      <c r="B240" t="s">
        <v>218</v>
      </c>
      <c r="C240">
        <v>104</v>
      </c>
      <c r="D240" t="s">
        <v>371</v>
      </c>
      <c r="E240" t="s">
        <v>337</v>
      </c>
      <c r="F240">
        <v>3.9236836908887199E-2</v>
      </c>
      <c r="G240">
        <v>3.9585992352713914E-2</v>
      </c>
      <c r="H240" s="54">
        <v>71940633</v>
      </c>
      <c r="I240" t="s">
        <v>337</v>
      </c>
      <c r="J240" t="s">
        <v>373</v>
      </c>
    </row>
    <row r="241" spans="1:10" x14ac:dyDescent="0.3">
      <c r="A241" s="39">
        <v>45820.832719907405</v>
      </c>
      <c r="B241" t="s">
        <v>218</v>
      </c>
      <c r="C241">
        <v>94</v>
      </c>
      <c r="D241" t="s">
        <v>371</v>
      </c>
      <c r="E241" t="s">
        <v>338</v>
      </c>
      <c r="F241">
        <v>8.7039179421800103E-2</v>
      </c>
      <c r="G241">
        <v>8.9636186057440087E-2</v>
      </c>
      <c r="H241" s="54">
        <v>71940633</v>
      </c>
      <c r="I241" t="s">
        <v>338</v>
      </c>
      <c r="J241" t="s">
        <v>373</v>
      </c>
    </row>
    <row r="242" spans="1:10" x14ac:dyDescent="0.3">
      <c r="A242" s="39">
        <v>45820.832719907405</v>
      </c>
      <c r="B242" t="s">
        <v>219</v>
      </c>
      <c r="C242">
        <v>18</v>
      </c>
      <c r="D242" t="s">
        <v>371</v>
      </c>
      <c r="E242" t="s">
        <v>13</v>
      </c>
      <c r="F242">
        <v>1.21470102054605E-4</v>
      </c>
      <c r="G242">
        <v>1.093230918491445E-4</v>
      </c>
      <c r="H242" s="54">
        <v>71940633</v>
      </c>
      <c r="I242" t="s">
        <v>336</v>
      </c>
      <c r="J242" t="s">
        <v>372</v>
      </c>
    </row>
    <row r="243" spans="1:10" x14ac:dyDescent="0.3">
      <c r="A243" s="39">
        <v>45820.832719907405</v>
      </c>
      <c r="B243" t="s">
        <v>219</v>
      </c>
      <c r="C243">
        <v>110</v>
      </c>
      <c r="D243" t="s">
        <v>371</v>
      </c>
      <c r="E243" t="s">
        <v>60</v>
      </c>
      <c r="F243">
        <v>1.28098755606043E-3</v>
      </c>
      <c r="G243">
        <v>1.024790044848344E-3</v>
      </c>
      <c r="H243" s="54">
        <v>71940633</v>
      </c>
      <c r="I243" t="s">
        <v>337</v>
      </c>
      <c r="J243" t="s">
        <v>372</v>
      </c>
    </row>
    <row r="244" spans="1:10" x14ac:dyDescent="0.3">
      <c r="A244" s="39">
        <v>45820.832719907405</v>
      </c>
      <c r="B244" t="s">
        <v>219</v>
      </c>
      <c r="C244">
        <v>99</v>
      </c>
      <c r="D244" t="s">
        <v>371</v>
      </c>
      <c r="E244" t="s">
        <v>14</v>
      </c>
      <c r="F244">
        <v>0.108798623084446</v>
      </c>
      <c r="G244">
        <v>8.7038898467556802E-2</v>
      </c>
      <c r="H244" s="54">
        <v>71940633</v>
      </c>
      <c r="I244" t="s">
        <v>338</v>
      </c>
      <c r="J244" t="s">
        <v>372</v>
      </c>
    </row>
    <row r="245" spans="1:10" x14ac:dyDescent="0.3">
      <c r="A245" s="39">
        <v>45820.832719907405</v>
      </c>
      <c r="B245" t="s">
        <v>219</v>
      </c>
      <c r="C245">
        <v>34</v>
      </c>
      <c r="D245" t="s">
        <v>371</v>
      </c>
      <c r="E245" t="s">
        <v>336</v>
      </c>
      <c r="F245">
        <v>4.3549474787679003E-2</v>
      </c>
      <c r="G245">
        <v>4.3561621797884462E-2</v>
      </c>
      <c r="H245" s="54">
        <v>71940633</v>
      </c>
      <c r="I245" t="s">
        <v>336</v>
      </c>
      <c r="J245" t="s">
        <v>373</v>
      </c>
    </row>
    <row r="246" spans="1:10" x14ac:dyDescent="0.3">
      <c r="A246" s="39">
        <v>45820.832719907405</v>
      </c>
      <c r="B246" t="s">
        <v>219</v>
      </c>
      <c r="C246">
        <v>105</v>
      </c>
      <c r="D246" t="s">
        <v>371</v>
      </c>
      <c r="E246" t="s">
        <v>337</v>
      </c>
      <c r="F246">
        <v>2.8790557734738501E-2</v>
      </c>
      <c r="G246">
        <v>2.9046755245950587E-2</v>
      </c>
      <c r="H246" s="54">
        <v>71940633</v>
      </c>
      <c r="I246" t="s">
        <v>337</v>
      </c>
      <c r="J246" t="s">
        <v>373</v>
      </c>
    </row>
    <row r="247" spans="1:10" x14ac:dyDescent="0.3">
      <c r="A247" s="39">
        <v>45820.832719907405</v>
      </c>
      <c r="B247" t="s">
        <v>219</v>
      </c>
      <c r="C247">
        <v>92</v>
      </c>
      <c r="D247" t="s">
        <v>371</v>
      </c>
      <c r="E247" t="s">
        <v>338</v>
      </c>
      <c r="F247">
        <v>0.72928137691555395</v>
      </c>
      <c r="G247">
        <v>0.75104110153244319</v>
      </c>
      <c r="H247" s="54">
        <v>71940633</v>
      </c>
      <c r="I247" t="s">
        <v>338</v>
      </c>
      <c r="J247" t="s">
        <v>373</v>
      </c>
    </row>
    <row r="248" spans="1:10" x14ac:dyDescent="0.3">
      <c r="A248" s="39">
        <v>45820.832719907405</v>
      </c>
      <c r="B248" t="s">
        <v>220</v>
      </c>
      <c r="C248">
        <v>18</v>
      </c>
      <c r="D248" t="s">
        <v>371</v>
      </c>
      <c r="E248" t="s">
        <v>13</v>
      </c>
      <c r="F248">
        <v>1.21470102054605E-4</v>
      </c>
      <c r="G248">
        <v>1.093230918491445E-4</v>
      </c>
      <c r="H248" s="54">
        <v>71940633</v>
      </c>
      <c r="I248" t="s">
        <v>336</v>
      </c>
      <c r="J248" t="s">
        <v>372</v>
      </c>
    </row>
    <row r="249" spans="1:10" x14ac:dyDescent="0.3">
      <c r="A249" s="39">
        <v>45820.832719907405</v>
      </c>
      <c r="B249" t="s">
        <v>220</v>
      </c>
      <c r="C249">
        <v>110</v>
      </c>
      <c r="D249" t="s">
        <v>371</v>
      </c>
      <c r="E249" t="s">
        <v>60</v>
      </c>
      <c r="F249">
        <v>1.28098755606043E-3</v>
      </c>
      <c r="G249">
        <v>1.024790044848344E-3</v>
      </c>
      <c r="H249" s="54">
        <v>71940633</v>
      </c>
      <c r="I249" t="s">
        <v>337</v>
      </c>
      <c r="J249" t="s">
        <v>372</v>
      </c>
    </row>
    <row r="250" spans="1:10" x14ac:dyDescent="0.3">
      <c r="A250" s="39">
        <v>45820.832719907405</v>
      </c>
      <c r="B250" t="s">
        <v>220</v>
      </c>
      <c r="C250">
        <v>99</v>
      </c>
      <c r="D250" t="s">
        <v>371</v>
      </c>
      <c r="E250" t="s">
        <v>14</v>
      </c>
      <c r="F250">
        <v>0.108798623084446</v>
      </c>
      <c r="G250">
        <v>8.7038898467556802E-2</v>
      </c>
      <c r="H250" s="54">
        <v>71940633</v>
      </c>
      <c r="I250" t="s">
        <v>338</v>
      </c>
      <c r="J250" t="s">
        <v>372</v>
      </c>
    </row>
    <row r="251" spans="1:10" x14ac:dyDescent="0.3">
      <c r="A251" s="39">
        <v>45820.832719907405</v>
      </c>
      <c r="B251" t="s">
        <v>220</v>
      </c>
      <c r="C251">
        <v>34</v>
      </c>
      <c r="D251" t="s">
        <v>371</v>
      </c>
      <c r="E251" t="s">
        <v>336</v>
      </c>
      <c r="F251">
        <v>4.3549474787679003E-2</v>
      </c>
      <c r="G251">
        <v>4.3561621797884462E-2</v>
      </c>
      <c r="H251" s="54">
        <v>71940633</v>
      </c>
      <c r="I251" t="s">
        <v>336</v>
      </c>
      <c r="J251" t="s">
        <v>373</v>
      </c>
    </row>
    <row r="252" spans="1:10" x14ac:dyDescent="0.3">
      <c r="A252" s="39">
        <v>45820.832719907405</v>
      </c>
      <c r="B252" t="s">
        <v>220</v>
      </c>
      <c r="C252">
        <v>105</v>
      </c>
      <c r="D252" t="s">
        <v>371</v>
      </c>
      <c r="E252" t="s">
        <v>337</v>
      </c>
      <c r="F252">
        <v>2.8790557734738501E-2</v>
      </c>
      <c r="G252">
        <v>2.9046755245950587E-2</v>
      </c>
      <c r="H252" s="54">
        <v>71940633</v>
      </c>
      <c r="I252" t="s">
        <v>337</v>
      </c>
      <c r="J252" t="s">
        <v>373</v>
      </c>
    </row>
    <row r="253" spans="1:10" x14ac:dyDescent="0.3">
      <c r="A253" s="39">
        <v>45820.832719907405</v>
      </c>
      <c r="B253" t="s">
        <v>220</v>
      </c>
      <c r="C253">
        <v>92</v>
      </c>
      <c r="D253" t="s">
        <v>371</v>
      </c>
      <c r="E253" t="s">
        <v>338</v>
      </c>
      <c r="F253">
        <v>0.72928137691555395</v>
      </c>
      <c r="G253">
        <v>0.75104110153244319</v>
      </c>
      <c r="H253" s="54">
        <v>71940633</v>
      </c>
      <c r="I253" t="s">
        <v>338</v>
      </c>
      <c r="J253" t="s">
        <v>373</v>
      </c>
    </row>
    <row r="254" spans="1:10" x14ac:dyDescent="0.3">
      <c r="A254" s="39">
        <v>45820.839317129627</v>
      </c>
      <c r="B254" t="s">
        <v>223</v>
      </c>
      <c r="C254">
        <v>19</v>
      </c>
      <c r="D254" t="s">
        <v>371</v>
      </c>
      <c r="E254" t="s">
        <v>31</v>
      </c>
      <c r="F254">
        <v>0.2145</v>
      </c>
      <c r="G254">
        <v>0.19305</v>
      </c>
      <c r="H254" s="54">
        <v>72512742</v>
      </c>
      <c r="I254" t="s">
        <v>391</v>
      </c>
      <c r="J254" t="s">
        <v>372</v>
      </c>
    </row>
    <row r="255" spans="1:10" x14ac:dyDescent="0.3">
      <c r="A255" s="39">
        <v>45820.839317129627</v>
      </c>
      <c r="B255" t="s">
        <v>223</v>
      </c>
      <c r="C255">
        <v>110</v>
      </c>
      <c r="D255" t="s">
        <v>371</v>
      </c>
      <c r="E255" t="s">
        <v>60</v>
      </c>
      <c r="F255">
        <v>8.8834434980082199E-4</v>
      </c>
      <c r="G255">
        <v>7.1067547984065768E-4</v>
      </c>
      <c r="H255" s="54">
        <v>72512742</v>
      </c>
      <c r="I255" t="s">
        <v>337</v>
      </c>
      <c r="J255" t="s">
        <v>372</v>
      </c>
    </row>
    <row r="256" spans="1:10" x14ac:dyDescent="0.3">
      <c r="A256" s="39">
        <v>45820.839317129627</v>
      </c>
      <c r="B256" t="s">
        <v>223</v>
      </c>
      <c r="C256">
        <v>98</v>
      </c>
      <c r="D256" t="s">
        <v>371</v>
      </c>
      <c r="E256" t="s">
        <v>14</v>
      </c>
      <c r="F256">
        <v>5.8710589164419597E-2</v>
      </c>
      <c r="G256">
        <v>4.6968471331535679E-2</v>
      </c>
      <c r="H256" s="54">
        <v>72512742</v>
      </c>
      <c r="I256" t="s">
        <v>338</v>
      </c>
      <c r="J256" t="s">
        <v>372</v>
      </c>
    </row>
    <row r="257" spans="1:10" x14ac:dyDescent="0.3">
      <c r="A257" s="39">
        <v>45820.839317129627</v>
      </c>
      <c r="B257" t="s">
        <v>223</v>
      </c>
      <c r="C257">
        <v>34</v>
      </c>
      <c r="D257" t="s">
        <v>392</v>
      </c>
      <c r="E257" t="s">
        <v>391</v>
      </c>
      <c r="G257" t="s">
        <v>391</v>
      </c>
      <c r="H257" s="54">
        <v>72512742</v>
      </c>
      <c r="I257" t="s">
        <v>391</v>
      </c>
      <c r="J257" t="s">
        <v>393</v>
      </c>
    </row>
    <row r="258" spans="1:10" x14ac:dyDescent="0.3">
      <c r="A258" s="39">
        <v>45820.839317129627</v>
      </c>
      <c r="B258" t="s">
        <v>223</v>
      </c>
      <c r="C258">
        <v>34</v>
      </c>
      <c r="D258" t="s">
        <v>371</v>
      </c>
      <c r="E258" t="s">
        <v>391</v>
      </c>
      <c r="F258">
        <v>0</v>
      </c>
      <c r="G258">
        <v>2.145E-2</v>
      </c>
      <c r="H258" s="54">
        <v>72512742</v>
      </c>
      <c r="I258" t="s">
        <v>391</v>
      </c>
      <c r="J258" t="s">
        <v>394</v>
      </c>
    </row>
    <row r="259" spans="1:10" x14ac:dyDescent="0.3">
      <c r="A259" s="39">
        <v>45820.839317129627</v>
      </c>
      <c r="B259" t="s">
        <v>223</v>
      </c>
      <c r="C259">
        <v>106</v>
      </c>
      <c r="D259" t="s">
        <v>371</v>
      </c>
      <c r="E259" t="s">
        <v>337</v>
      </c>
      <c r="F259">
        <v>5.0025071027848311E-2</v>
      </c>
      <c r="G259">
        <v>5.0202739897808477E-2</v>
      </c>
      <c r="H259" s="54">
        <v>72512742</v>
      </c>
      <c r="I259" t="s">
        <v>337</v>
      </c>
      <c r="J259" t="s">
        <v>373</v>
      </c>
    </row>
    <row r="260" spans="1:10" x14ac:dyDescent="0.3">
      <c r="A260" s="39">
        <v>45820.839317129627</v>
      </c>
      <c r="B260" t="s">
        <v>223</v>
      </c>
      <c r="C260">
        <v>94</v>
      </c>
      <c r="D260" t="s">
        <v>371</v>
      </c>
      <c r="E260" t="s">
        <v>338</v>
      </c>
      <c r="F260">
        <v>0.82459007139558005</v>
      </c>
      <c r="G260">
        <v>0.83633218922846397</v>
      </c>
      <c r="H260" s="54">
        <v>72512742</v>
      </c>
      <c r="I260" t="s">
        <v>338</v>
      </c>
      <c r="J260" t="s">
        <v>373</v>
      </c>
    </row>
    <row r="261" spans="1:10" x14ac:dyDescent="0.3">
      <c r="A261" s="39">
        <v>45820.839317129627</v>
      </c>
      <c r="B261" t="s">
        <v>58</v>
      </c>
      <c r="C261">
        <v>19</v>
      </c>
      <c r="D261" t="s">
        <v>371</v>
      </c>
      <c r="E261" t="s">
        <v>31</v>
      </c>
      <c r="F261">
        <v>6.10574690664E-2</v>
      </c>
      <c r="G261">
        <v>5.4951722159759998E-2</v>
      </c>
      <c r="H261" s="54">
        <v>72512742</v>
      </c>
      <c r="I261" t="s">
        <v>391</v>
      </c>
      <c r="J261" t="s">
        <v>372</v>
      </c>
    </row>
    <row r="262" spans="1:10" x14ac:dyDescent="0.3">
      <c r="A262" s="39">
        <v>45820.839317129627</v>
      </c>
      <c r="B262" t="s">
        <v>58</v>
      </c>
      <c r="C262">
        <v>108</v>
      </c>
      <c r="D262" t="s">
        <v>371</v>
      </c>
      <c r="E262" t="s">
        <v>60</v>
      </c>
      <c r="F262">
        <v>5.0818697158639618E-4</v>
      </c>
      <c r="G262">
        <v>4.0654957726911698E-4</v>
      </c>
      <c r="H262" s="54">
        <v>72512742</v>
      </c>
      <c r="I262" t="s">
        <v>337</v>
      </c>
      <c r="J262" t="s">
        <v>372</v>
      </c>
    </row>
    <row r="263" spans="1:10" x14ac:dyDescent="0.3">
      <c r="A263" s="39">
        <v>45820.839328703703</v>
      </c>
      <c r="B263" t="s">
        <v>58</v>
      </c>
      <c r="C263">
        <v>97</v>
      </c>
      <c r="D263" t="s">
        <v>371</v>
      </c>
      <c r="E263" t="s">
        <v>14</v>
      </c>
      <c r="F263">
        <v>2.0111668498139203E-2</v>
      </c>
      <c r="G263">
        <v>1.6089334798511361E-2</v>
      </c>
      <c r="H263" s="54">
        <v>72512742</v>
      </c>
      <c r="I263" t="s">
        <v>338</v>
      </c>
      <c r="J263" t="s">
        <v>372</v>
      </c>
    </row>
    <row r="264" spans="1:10" x14ac:dyDescent="0.3">
      <c r="A264" s="39">
        <v>45820.839328703703</v>
      </c>
      <c r="B264" t="s">
        <v>58</v>
      </c>
      <c r="C264">
        <v>34</v>
      </c>
      <c r="D264" t="s">
        <v>392</v>
      </c>
      <c r="E264" t="s">
        <v>391</v>
      </c>
      <c r="G264" t="s">
        <v>391</v>
      </c>
      <c r="H264" s="54">
        <v>72512742</v>
      </c>
      <c r="I264" t="s">
        <v>391</v>
      </c>
      <c r="J264" t="s">
        <v>393</v>
      </c>
    </row>
    <row r="265" spans="1:10" x14ac:dyDescent="0.3">
      <c r="A265" s="39">
        <v>45820.839328703703</v>
      </c>
      <c r="B265" t="s">
        <v>58</v>
      </c>
      <c r="C265">
        <v>34</v>
      </c>
      <c r="D265" t="s">
        <v>371</v>
      </c>
      <c r="E265" t="s">
        <v>391</v>
      </c>
      <c r="F265">
        <v>0</v>
      </c>
      <c r="G265">
        <v>6.1057469066400005E-3</v>
      </c>
      <c r="H265" s="54">
        <v>72512742</v>
      </c>
      <c r="I265" t="s">
        <v>391</v>
      </c>
      <c r="J265" t="s">
        <v>394</v>
      </c>
    </row>
    <row r="266" spans="1:10" x14ac:dyDescent="0.3">
      <c r="A266" s="39">
        <v>45820.839328703703</v>
      </c>
      <c r="B266" t="s">
        <v>58</v>
      </c>
      <c r="C266">
        <v>104</v>
      </c>
      <c r="D266" t="s">
        <v>371</v>
      </c>
      <c r="E266" t="s">
        <v>337</v>
      </c>
      <c r="F266">
        <v>2.8617381710973486E-2</v>
      </c>
      <c r="G266">
        <v>2.8719019105290764E-2</v>
      </c>
      <c r="H266" s="54">
        <v>72512742</v>
      </c>
      <c r="I266" t="s">
        <v>337</v>
      </c>
      <c r="J266" t="s">
        <v>373</v>
      </c>
    </row>
    <row r="267" spans="1:10" x14ac:dyDescent="0.3">
      <c r="A267" s="39">
        <v>45820.839328703703</v>
      </c>
      <c r="B267" t="s">
        <v>58</v>
      </c>
      <c r="C267">
        <v>93</v>
      </c>
      <c r="D267" t="s">
        <v>371</v>
      </c>
      <c r="E267" t="s">
        <v>338</v>
      </c>
      <c r="F267">
        <v>0.28246833150186129</v>
      </c>
      <c r="G267">
        <v>0.28649066520148914</v>
      </c>
      <c r="H267" s="54">
        <v>72512742</v>
      </c>
      <c r="I267" t="s">
        <v>338</v>
      </c>
      <c r="J267" t="s">
        <v>373</v>
      </c>
    </row>
    <row r="268" spans="1:10" x14ac:dyDescent="0.3">
      <c r="A268" s="39">
        <v>45820.839328703703</v>
      </c>
      <c r="B268" t="s">
        <v>217</v>
      </c>
      <c r="C268">
        <v>19</v>
      </c>
      <c r="D268" t="s">
        <v>371</v>
      </c>
      <c r="E268" t="s">
        <v>31</v>
      </c>
      <c r="F268">
        <v>0.3172586384421</v>
      </c>
      <c r="G268">
        <v>0.28553277459789</v>
      </c>
      <c r="H268" s="54">
        <v>72512742</v>
      </c>
      <c r="I268" t="s">
        <v>391</v>
      </c>
      <c r="J268" t="s">
        <v>372</v>
      </c>
    </row>
    <row r="269" spans="1:10" x14ac:dyDescent="0.3">
      <c r="A269" s="39">
        <v>45820.839328703703</v>
      </c>
      <c r="B269" t="s">
        <v>217</v>
      </c>
      <c r="C269">
        <v>110</v>
      </c>
      <c r="D269" t="s">
        <v>371</v>
      </c>
      <c r="E269" t="s">
        <v>60</v>
      </c>
      <c r="F269">
        <v>5.9071462846618133E-4</v>
      </c>
      <c r="G269">
        <v>4.7257170277294506E-4</v>
      </c>
      <c r="H269" s="54">
        <v>72512742</v>
      </c>
      <c r="I269" t="s">
        <v>337</v>
      </c>
      <c r="J269" t="s">
        <v>372</v>
      </c>
    </row>
    <row r="270" spans="1:10" x14ac:dyDescent="0.3">
      <c r="A270" s="39">
        <v>45820.839328703703</v>
      </c>
      <c r="B270" t="s">
        <v>217</v>
      </c>
      <c r="C270">
        <v>99</v>
      </c>
      <c r="D270" t="s">
        <v>371</v>
      </c>
      <c r="E270" t="s">
        <v>14</v>
      </c>
      <c r="F270">
        <v>2.5124630485480255E-2</v>
      </c>
      <c r="G270">
        <v>2.0099704388384206E-2</v>
      </c>
      <c r="H270" s="54">
        <v>72512742</v>
      </c>
      <c r="I270" t="s">
        <v>338</v>
      </c>
      <c r="J270" t="s">
        <v>372</v>
      </c>
    </row>
    <row r="271" spans="1:10" x14ac:dyDescent="0.3">
      <c r="A271" s="39">
        <v>45820.839328703703</v>
      </c>
      <c r="B271" t="s">
        <v>217</v>
      </c>
      <c r="C271">
        <v>34</v>
      </c>
      <c r="D271" t="s">
        <v>392</v>
      </c>
      <c r="E271" t="s">
        <v>391</v>
      </c>
      <c r="G271" t="s">
        <v>391</v>
      </c>
      <c r="H271" s="54">
        <v>72512742</v>
      </c>
      <c r="I271" t="s">
        <v>391</v>
      </c>
      <c r="J271" t="s">
        <v>393</v>
      </c>
    </row>
    <row r="272" spans="1:10" x14ac:dyDescent="0.3">
      <c r="A272" s="39">
        <v>45820.839328703703</v>
      </c>
      <c r="B272" t="s">
        <v>217</v>
      </c>
      <c r="C272">
        <v>34</v>
      </c>
      <c r="D272" t="s">
        <v>371</v>
      </c>
      <c r="E272" t="s">
        <v>391</v>
      </c>
      <c r="F272">
        <v>0</v>
      </c>
      <c r="G272">
        <v>3.172586384421E-2</v>
      </c>
      <c r="H272" s="54">
        <v>72512742</v>
      </c>
      <c r="I272" t="s">
        <v>391</v>
      </c>
      <c r="J272" t="s">
        <v>394</v>
      </c>
    </row>
    <row r="273" spans="1:10" x14ac:dyDescent="0.3">
      <c r="A273" s="39">
        <v>45820.839328703703</v>
      </c>
      <c r="B273" t="s">
        <v>217</v>
      </c>
      <c r="C273">
        <v>106</v>
      </c>
      <c r="D273" t="s">
        <v>371</v>
      </c>
      <c r="E273" t="s">
        <v>337</v>
      </c>
      <c r="F273">
        <v>3.3264737095288828E-2</v>
      </c>
      <c r="G273">
        <v>3.3382880020982067E-2</v>
      </c>
      <c r="H273" s="54">
        <v>72512742</v>
      </c>
      <c r="I273" t="s">
        <v>337</v>
      </c>
      <c r="J273" t="s">
        <v>373</v>
      </c>
    </row>
    <row r="274" spans="1:10" x14ac:dyDescent="0.3">
      <c r="A274" s="39">
        <v>45820.839328703703</v>
      </c>
      <c r="B274" t="s">
        <v>217</v>
      </c>
      <c r="C274">
        <v>94</v>
      </c>
      <c r="D274" t="s">
        <v>371</v>
      </c>
      <c r="E274" t="s">
        <v>338</v>
      </c>
      <c r="F274">
        <v>0.35287536951451964</v>
      </c>
      <c r="G274">
        <v>0.35790029561161568</v>
      </c>
      <c r="H274" s="54">
        <v>72512742</v>
      </c>
      <c r="I274" t="s">
        <v>338</v>
      </c>
      <c r="J274" t="s">
        <v>373</v>
      </c>
    </row>
    <row r="275" spans="1:10" x14ac:dyDescent="0.3">
      <c r="A275" s="39">
        <v>45820.839328703703</v>
      </c>
      <c r="B275" t="s">
        <v>218</v>
      </c>
      <c r="C275">
        <v>19</v>
      </c>
      <c r="D275" t="s">
        <v>371</v>
      </c>
      <c r="E275" t="s">
        <v>31</v>
      </c>
      <c r="F275">
        <v>0.27700564963500002</v>
      </c>
      <c r="G275">
        <v>0.24930508467150003</v>
      </c>
      <c r="H275" s="54">
        <v>72512742</v>
      </c>
      <c r="I275" t="s">
        <v>391</v>
      </c>
      <c r="J275" t="s">
        <v>372</v>
      </c>
    </row>
    <row r="276" spans="1:10" x14ac:dyDescent="0.3">
      <c r="A276" s="39">
        <v>45820.839328703703</v>
      </c>
      <c r="B276" t="s">
        <v>218</v>
      </c>
      <c r="C276">
        <v>109</v>
      </c>
      <c r="D276" t="s">
        <v>371</v>
      </c>
      <c r="E276" t="s">
        <v>60</v>
      </c>
      <c r="F276">
        <v>7.150703489571125E-4</v>
      </c>
      <c r="G276">
        <v>5.7205627916569006E-4</v>
      </c>
      <c r="H276" s="54">
        <v>72512742</v>
      </c>
      <c r="I276" t="s">
        <v>337</v>
      </c>
      <c r="J276" t="s">
        <v>372</v>
      </c>
    </row>
    <row r="277" spans="1:10" x14ac:dyDescent="0.3">
      <c r="A277" s="39">
        <v>45820.839328703703</v>
      </c>
      <c r="B277" t="s">
        <v>218</v>
      </c>
      <c r="C277">
        <v>98</v>
      </c>
      <c r="D277" t="s">
        <v>371</v>
      </c>
      <c r="E277" t="s">
        <v>14</v>
      </c>
      <c r="F277">
        <v>6.6483369872383366E-3</v>
      </c>
      <c r="G277">
        <v>5.3186695897906693E-3</v>
      </c>
      <c r="H277" s="54">
        <v>72512742</v>
      </c>
      <c r="I277" t="s">
        <v>338</v>
      </c>
      <c r="J277" t="s">
        <v>372</v>
      </c>
    </row>
    <row r="278" spans="1:10" x14ac:dyDescent="0.3">
      <c r="A278" s="39">
        <v>45820.839328703703</v>
      </c>
      <c r="B278" t="s">
        <v>218</v>
      </c>
      <c r="C278">
        <v>34</v>
      </c>
      <c r="D278" t="s">
        <v>392</v>
      </c>
      <c r="E278" t="s">
        <v>391</v>
      </c>
      <c r="G278" t="s">
        <v>391</v>
      </c>
      <c r="H278" s="54">
        <v>72512742</v>
      </c>
      <c r="I278" t="s">
        <v>391</v>
      </c>
      <c r="J278" t="s">
        <v>393</v>
      </c>
    </row>
    <row r="279" spans="1:10" x14ac:dyDescent="0.3">
      <c r="A279" s="39">
        <v>45820.839328703703</v>
      </c>
      <c r="B279" t="s">
        <v>218</v>
      </c>
      <c r="C279">
        <v>34</v>
      </c>
      <c r="D279" t="s">
        <v>371</v>
      </c>
      <c r="E279" t="s">
        <v>391</v>
      </c>
      <c r="F279">
        <v>0</v>
      </c>
      <c r="G279">
        <v>2.7700564963500002E-2</v>
      </c>
      <c r="H279" s="54">
        <v>72512742</v>
      </c>
      <c r="I279" t="s">
        <v>391</v>
      </c>
      <c r="J279" t="s">
        <v>394</v>
      </c>
    </row>
    <row r="280" spans="1:10" x14ac:dyDescent="0.3">
      <c r="A280" s="39">
        <v>45820.839328703703</v>
      </c>
      <c r="B280" t="s">
        <v>218</v>
      </c>
      <c r="C280">
        <v>105</v>
      </c>
      <c r="D280" t="s">
        <v>371</v>
      </c>
      <c r="E280" t="s">
        <v>337</v>
      </c>
      <c r="F280">
        <v>4.026754377906365E-2</v>
      </c>
      <c r="G280">
        <v>4.0410557848855069E-2</v>
      </c>
      <c r="H280" s="54">
        <v>72512742</v>
      </c>
      <c r="I280" t="s">
        <v>337</v>
      </c>
      <c r="J280" t="s">
        <v>373</v>
      </c>
    </row>
    <row r="281" spans="1:10" x14ac:dyDescent="0.3">
      <c r="A281" s="39">
        <v>45820.839328703703</v>
      </c>
      <c r="B281" t="s">
        <v>218</v>
      </c>
      <c r="C281">
        <v>95</v>
      </c>
      <c r="D281" t="s">
        <v>371</v>
      </c>
      <c r="E281" t="s">
        <v>338</v>
      </c>
      <c r="F281">
        <v>9.3375875612761658E-2</v>
      </c>
      <c r="G281">
        <v>9.4705543010209323E-2</v>
      </c>
      <c r="H281" s="54">
        <v>72512742</v>
      </c>
      <c r="I281" t="s">
        <v>338</v>
      </c>
      <c r="J281" t="s">
        <v>373</v>
      </c>
    </row>
    <row r="282" spans="1:10" x14ac:dyDescent="0.3">
      <c r="A282" s="39">
        <v>45820.839328703703</v>
      </c>
      <c r="B282" t="s">
        <v>219</v>
      </c>
      <c r="C282">
        <v>19</v>
      </c>
      <c r="D282" t="s">
        <v>371</v>
      </c>
      <c r="E282" t="s">
        <v>31</v>
      </c>
      <c r="F282">
        <v>5.7338232372000003E-2</v>
      </c>
      <c r="G282">
        <v>5.1604409134800001E-2</v>
      </c>
      <c r="H282" s="54">
        <v>72512742</v>
      </c>
      <c r="I282" t="s">
        <v>391</v>
      </c>
      <c r="J282" t="s">
        <v>372</v>
      </c>
    </row>
    <row r="283" spans="1:10" x14ac:dyDescent="0.3">
      <c r="A283" s="39">
        <v>45820.839328703703</v>
      </c>
      <c r="B283" t="s">
        <v>219</v>
      </c>
      <c r="C283">
        <v>110</v>
      </c>
      <c r="D283" t="s">
        <v>371</v>
      </c>
      <c r="E283" t="s">
        <v>60</v>
      </c>
      <c r="F283">
        <v>5.2469250296235015E-4</v>
      </c>
      <c r="G283">
        <v>4.1975400236988016E-4</v>
      </c>
      <c r="H283" s="54">
        <v>72512742</v>
      </c>
      <c r="I283" t="s">
        <v>337</v>
      </c>
      <c r="J283" t="s">
        <v>372</v>
      </c>
    </row>
    <row r="284" spans="1:10" x14ac:dyDescent="0.3">
      <c r="A284" s="39">
        <v>45820.839328703703</v>
      </c>
      <c r="B284" t="s">
        <v>219</v>
      </c>
      <c r="C284">
        <v>99</v>
      </c>
      <c r="D284" t="s">
        <v>371</v>
      </c>
      <c r="E284" t="s">
        <v>14</v>
      </c>
      <c r="F284">
        <v>5.570489501923636E-2</v>
      </c>
      <c r="G284">
        <v>4.4563916015389088E-2</v>
      </c>
      <c r="H284" s="54">
        <v>72512742</v>
      </c>
      <c r="I284" t="s">
        <v>338</v>
      </c>
      <c r="J284" t="s">
        <v>372</v>
      </c>
    </row>
    <row r="285" spans="1:10" x14ac:dyDescent="0.3">
      <c r="A285" s="39">
        <v>45820.839328703703</v>
      </c>
      <c r="B285" t="s">
        <v>219</v>
      </c>
      <c r="C285">
        <v>34</v>
      </c>
      <c r="D285" t="s">
        <v>392</v>
      </c>
      <c r="E285" t="s">
        <v>391</v>
      </c>
      <c r="G285" t="s">
        <v>391</v>
      </c>
      <c r="H285" s="54">
        <v>72512742</v>
      </c>
      <c r="I285" t="s">
        <v>391</v>
      </c>
      <c r="J285" t="s">
        <v>393</v>
      </c>
    </row>
    <row r="286" spans="1:10" x14ac:dyDescent="0.3">
      <c r="A286" s="39">
        <v>45820.839328703703</v>
      </c>
      <c r="B286" t="s">
        <v>219</v>
      </c>
      <c r="C286">
        <v>34</v>
      </c>
      <c r="D286" t="s">
        <v>371</v>
      </c>
      <c r="E286" t="s">
        <v>391</v>
      </c>
      <c r="F286">
        <v>0</v>
      </c>
      <c r="G286">
        <v>5.7338232372000008E-3</v>
      </c>
      <c r="H286" s="54">
        <v>72512742</v>
      </c>
      <c r="I286" t="s">
        <v>391</v>
      </c>
      <c r="J286" t="s">
        <v>394</v>
      </c>
    </row>
    <row r="287" spans="1:10" x14ac:dyDescent="0.3">
      <c r="A287" s="39">
        <v>45820.839328703703</v>
      </c>
      <c r="B287" t="s">
        <v>219</v>
      </c>
      <c r="C287">
        <v>106</v>
      </c>
      <c r="D287" t="s">
        <v>371</v>
      </c>
      <c r="E287" t="s">
        <v>337</v>
      </c>
      <c r="F287">
        <v>2.954685278783659E-2</v>
      </c>
      <c r="G287">
        <v>2.9651791288429059E-2</v>
      </c>
      <c r="H287" s="54">
        <v>72512742</v>
      </c>
      <c r="I287" t="s">
        <v>337</v>
      </c>
      <c r="J287" t="s">
        <v>373</v>
      </c>
    </row>
    <row r="288" spans="1:10" x14ac:dyDescent="0.3">
      <c r="A288" s="39">
        <v>45820.839328703703</v>
      </c>
      <c r="B288" t="s">
        <v>219</v>
      </c>
      <c r="C288">
        <v>93</v>
      </c>
      <c r="D288" t="s">
        <v>371</v>
      </c>
      <c r="E288" t="s">
        <v>338</v>
      </c>
      <c r="F288">
        <v>0.78237510498076346</v>
      </c>
      <c r="G288">
        <v>0.79351608398461071</v>
      </c>
      <c r="H288" s="54">
        <v>72512742</v>
      </c>
      <c r="I288" t="s">
        <v>338</v>
      </c>
      <c r="J288" t="s">
        <v>373</v>
      </c>
    </row>
    <row r="289" spans="1:10" x14ac:dyDescent="0.3">
      <c r="A289" s="39">
        <v>45820.839328703703</v>
      </c>
      <c r="B289" t="s">
        <v>220</v>
      </c>
      <c r="C289">
        <v>19</v>
      </c>
      <c r="D289" t="s">
        <v>371</v>
      </c>
      <c r="E289" t="s">
        <v>31</v>
      </c>
      <c r="F289">
        <v>5.7338232372000003E-2</v>
      </c>
      <c r="G289">
        <v>5.1604409134800001E-2</v>
      </c>
      <c r="H289" s="54">
        <v>72512742</v>
      </c>
      <c r="I289" t="s">
        <v>391</v>
      </c>
      <c r="J289" t="s">
        <v>372</v>
      </c>
    </row>
    <row r="290" spans="1:10" x14ac:dyDescent="0.3">
      <c r="A290" s="39">
        <v>45820.839328703703</v>
      </c>
      <c r="B290" t="s">
        <v>220</v>
      </c>
      <c r="C290">
        <v>110</v>
      </c>
      <c r="D290" t="s">
        <v>371</v>
      </c>
      <c r="E290" t="s">
        <v>60</v>
      </c>
      <c r="F290">
        <v>5.2469250296235015E-4</v>
      </c>
      <c r="G290">
        <v>4.1975400236988016E-4</v>
      </c>
      <c r="H290" s="54">
        <v>72512742</v>
      </c>
      <c r="I290" t="s">
        <v>337</v>
      </c>
      <c r="J290" t="s">
        <v>372</v>
      </c>
    </row>
    <row r="291" spans="1:10" x14ac:dyDescent="0.3">
      <c r="A291" s="39">
        <v>45820.839328703703</v>
      </c>
      <c r="B291" t="s">
        <v>220</v>
      </c>
      <c r="C291">
        <v>99</v>
      </c>
      <c r="D291" t="s">
        <v>371</v>
      </c>
      <c r="E291" t="s">
        <v>14</v>
      </c>
      <c r="F291">
        <v>5.570489501923636E-2</v>
      </c>
      <c r="G291">
        <v>4.4563916015389088E-2</v>
      </c>
      <c r="H291" s="54">
        <v>72512742</v>
      </c>
      <c r="I291" t="s">
        <v>338</v>
      </c>
      <c r="J291" t="s">
        <v>372</v>
      </c>
    </row>
    <row r="292" spans="1:10" x14ac:dyDescent="0.3">
      <c r="A292" s="39">
        <v>45820.839328703703</v>
      </c>
      <c r="B292" t="s">
        <v>220</v>
      </c>
      <c r="C292">
        <v>34</v>
      </c>
      <c r="D292" t="s">
        <v>392</v>
      </c>
      <c r="E292" t="s">
        <v>391</v>
      </c>
      <c r="G292" t="s">
        <v>391</v>
      </c>
      <c r="H292" s="54">
        <v>72512742</v>
      </c>
      <c r="I292" t="s">
        <v>391</v>
      </c>
      <c r="J292" t="s">
        <v>393</v>
      </c>
    </row>
    <row r="293" spans="1:10" x14ac:dyDescent="0.3">
      <c r="A293" s="39">
        <v>45820.839328703703</v>
      </c>
      <c r="B293" t="s">
        <v>220</v>
      </c>
      <c r="C293">
        <v>34</v>
      </c>
      <c r="D293" t="s">
        <v>371</v>
      </c>
      <c r="E293" t="s">
        <v>391</v>
      </c>
      <c r="F293">
        <v>0</v>
      </c>
      <c r="G293">
        <v>5.7338232372000008E-3</v>
      </c>
      <c r="H293" s="54">
        <v>72512742</v>
      </c>
      <c r="I293" t="s">
        <v>391</v>
      </c>
      <c r="J293" t="s">
        <v>394</v>
      </c>
    </row>
    <row r="294" spans="1:10" x14ac:dyDescent="0.3">
      <c r="A294" s="39">
        <v>45820.839328703703</v>
      </c>
      <c r="B294" t="s">
        <v>220</v>
      </c>
      <c r="C294">
        <v>106</v>
      </c>
      <c r="D294" t="s">
        <v>371</v>
      </c>
      <c r="E294" t="s">
        <v>337</v>
      </c>
      <c r="F294">
        <v>2.954685278783659E-2</v>
      </c>
      <c r="G294">
        <v>2.9651791288429059E-2</v>
      </c>
      <c r="H294" s="54">
        <v>72512742</v>
      </c>
      <c r="I294" t="s">
        <v>337</v>
      </c>
      <c r="J294" t="s">
        <v>373</v>
      </c>
    </row>
    <row r="295" spans="1:10" x14ac:dyDescent="0.3">
      <c r="A295" s="39">
        <v>45820.839328703703</v>
      </c>
      <c r="B295" t="s">
        <v>220</v>
      </c>
      <c r="C295">
        <v>93</v>
      </c>
      <c r="D295" t="s">
        <v>371</v>
      </c>
      <c r="E295" t="s">
        <v>338</v>
      </c>
      <c r="F295">
        <v>0.78237510498076346</v>
      </c>
      <c r="G295">
        <v>0.79351608398461071</v>
      </c>
      <c r="H295" s="54">
        <v>72512742</v>
      </c>
      <c r="I295" t="s">
        <v>338</v>
      </c>
      <c r="J295" t="s">
        <v>373</v>
      </c>
    </row>
    <row r="296" spans="1:10" x14ac:dyDescent="0.3">
      <c r="A296" s="39">
        <v>45820.943425925929</v>
      </c>
      <c r="B296" t="s">
        <v>223</v>
      </c>
      <c r="C296">
        <v>19</v>
      </c>
      <c r="D296" t="s">
        <v>371</v>
      </c>
      <c r="E296" t="s">
        <v>31</v>
      </c>
      <c r="F296">
        <v>0.19305</v>
      </c>
      <c r="G296">
        <v>0.17374500000000001</v>
      </c>
      <c r="H296" s="54">
        <v>81507438</v>
      </c>
      <c r="I296" t="s">
        <v>391</v>
      </c>
      <c r="J296" t="s">
        <v>372</v>
      </c>
    </row>
    <row r="297" spans="1:10" x14ac:dyDescent="0.3">
      <c r="A297" s="39">
        <v>45820.943425925929</v>
      </c>
      <c r="B297" t="s">
        <v>223</v>
      </c>
      <c r="C297">
        <v>111</v>
      </c>
      <c r="D297" t="s">
        <v>371</v>
      </c>
      <c r="E297" t="s">
        <v>60</v>
      </c>
      <c r="F297">
        <v>7.1067547984065801E-4</v>
      </c>
      <c r="G297">
        <v>5.6854038387252641E-4</v>
      </c>
      <c r="H297" s="54">
        <v>81507438</v>
      </c>
      <c r="I297" t="s">
        <v>337</v>
      </c>
      <c r="J297" t="s">
        <v>372</v>
      </c>
    </row>
    <row r="298" spans="1:10" x14ac:dyDescent="0.3">
      <c r="A298" s="39">
        <v>45820.943425925929</v>
      </c>
      <c r="B298" t="s">
        <v>223</v>
      </c>
      <c r="C298">
        <v>99</v>
      </c>
      <c r="D298" t="s">
        <v>371</v>
      </c>
      <c r="E298" t="s">
        <v>14</v>
      </c>
      <c r="F298">
        <v>4.6968471331535699E-2</v>
      </c>
      <c r="G298">
        <v>3.7574777065228562E-2</v>
      </c>
      <c r="H298" s="54">
        <v>81507438</v>
      </c>
      <c r="I298" t="s">
        <v>338</v>
      </c>
      <c r="J298" t="s">
        <v>372</v>
      </c>
    </row>
    <row r="299" spans="1:10" x14ac:dyDescent="0.3">
      <c r="A299" s="39">
        <v>45820.943425925929</v>
      </c>
      <c r="B299" t="s">
        <v>223</v>
      </c>
      <c r="C299">
        <v>34</v>
      </c>
      <c r="D299" t="s">
        <v>371</v>
      </c>
      <c r="E299" t="s">
        <v>391</v>
      </c>
      <c r="F299">
        <v>2.145E-2</v>
      </c>
      <c r="G299">
        <v>4.0755E-2</v>
      </c>
      <c r="H299" s="54">
        <v>81507438</v>
      </c>
      <c r="I299" t="s">
        <v>391</v>
      </c>
      <c r="J299" t="s">
        <v>373</v>
      </c>
    </row>
    <row r="300" spans="1:10" x14ac:dyDescent="0.3">
      <c r="A300" s="39">
        <v>45820.943425925929</v>
      </c>
      <c r="B300" t="s">
        <v>223</v>
      </c>
      <c r="C300">
        <v>106</v>
      </c>
      <c r="D300" t="s">
        <v>371</v>
      </c>
      <c r="E300" t="s">
        <v>337</v>
      </c>
      <c r="F300">
        <v>5.0202739897808497E-2</v>
      </c>
      <c r="G300">
        <v>5.0344874993776628E-2</v>
      </c>
      <c r="H300" s="54">
        <v>81507438</v>
      </c>
      <c r="I300" t="s">
        <v>337</v>
      </c>
      <c r="J300" t="s">
        <v>373</v>
      </c>
    </row>
    <row r="301" spans="1:10" x14ac:dyDescent="0.3">
      <c r="A301" s="39">
        <v>45820.943425925929</v>
      </c>
      <c r="B301" t="s">
        <v>223</v>
      </c>
      <c r="C301">
        <v>94</v>
      </c>
      <c r="D301" t="s">
        <v>371</v>
      </c>
      <c r="E301" t="s">
        <v>338</v>
      </c>
      <c r="F301">
        <v>0.83633218922846397</v>
      </c>
      <c r="G301">
        <v>0.84572588349477107</v>
      </c>
      <c r="H301" s="54">
        <v>81507438</v>
      </c>
      <c r="I301" t="s">
        <v>338</v>
      </c>
      <c r="J301" t="s">
        <v>373</v>
      </c>
    </row>
    <row r="302" spans="1:10" x14ac:dyDescent="0.3">
      <c r="A302" s="39">
        <v>45820.943425925929</v>
      </c>
      <c r="B302" t="s">
        <v>58</v>
      </c>
      <c r="C302">
        <v>19</v>
      </c>
      <c r="D302" t="s">
        <v>371</v>
      </c>
      <c r="E302" t="s">
        <v>31</v>
      </c>
      <c r="F302">
        <v>5.4951722159759998E-2</v>
      </c>
      <c r="G302">
        <v>4.9456549943783998E-2</v>
      </c>
      <c r="H302" s="54">
        <v>81507438</v>
      </c>
      <c r="I302" t="s">
        <v>391</v>
      </c>
      <c r="J302" t="s">
        <v>372</v>
      </c>
    </row>
    <row r="303" spans="1:10" x14ac:dyDescent="0.3">
      <c r="A303" s="39">
        <v>45820.943425925929</v>
      </c>
      <c r="B303" t="s">
        <v>58</v>
      </c>
      <c r="C303">
        <v>109</v>
      </c>
      <c r="D303" t="s">
        <v>371</v>
      </c>
      <c r="E303" t="s">
        <v>60</v>
      </c>
      <c r="F303">
        <v>4.0654957726911698E-4</v>
      </c>
      <c r="G303">
        <v>3.252396618152936E-4</v>
      </c>
      <c r="H303" s="54">
        <v>81507438</v>
      </c>
      <c r="I303" t="s">
        <v>337</v>
      </c>
      <c r="J303" t="s">
        <v>372</v>
      </c>
    </row>
    <row r="304" spans="1:10" x14ac:dyDescent="0.3">
      <c r="A304" s="39">
        <v>45820.943425925929</v>
      </c>
      <c r="B304" t="s">
        <v>58</v>
      </c>
      <c r="C304">
        <v>98</v>
      </c>
      <c r="D304" t="s">
        <v>371</v>
      </c>
      <c r="E304" t="s">
        <v>14</v>
      </c>
      <c r="F304">
        <v>1.60893347985114E-2</v>
      </c>
      <c r="G304">
        <v>1.287146783880912E-2</v>
      </c>
      <c r="H304" s="54">
        <v>81507438</v>
      </c>
      <c r="I304" t="s">
        <v>338</v>
      </c>
      <c r="J304" t="s">
        <v>372</v>
      </c>
    </row>
    <row r="305" spans="1:10" x14ac:dyDescent="0.3">
      <c r="A305" s="39">
        <v>45820.943425925929</v>
      </c>
      <c r="B305" t="s">
        <v>58</v>
      </c>
      <c r="C305">
        <v>34</v>
      </c>
      <c r="D305" t="s">
        <v>371</v>
      </c>
      <c r="E305" t="s">
        <v>391</v>
      </c>
      <c r="F305">
        <v>6.1057469066399996E-3</v>
      </c>
      <c r="G305">
        <v>1.1600919122616E-2</v>
      </c>
      <c r="H305" s="54">
        <v>81507438</v>
      </c>
      <c r="I305" t="s">
        <v>391</v>
      </c>
      <c r="J305" t="s">
        <v>373</v>
      </c>
    </row>
    <row r="306" spans="1:10" x14ac:dyDescent="0.3">
      <c r="A306" s="39">
        <v>45820.943437499998</v>
      </c>
      <c r="B306" t="s">
        <v>58</v>
      </c>
      <c r="C306">
        <v>104</v>
      </c>
      <c r="D306" t="s">
        <v>371</v>
      </c>
      <c r="E306" t="s">
        <v>337</v>
      </c>
      <c r="F306">
        <v>2.8719019105290799E-2</v>
      </c>
      <c r="G306">
        <v>2.8800329020744621E-2</v>
      </c>
      <c r="H306" s="54">
        <v>81507438</v>
      </c>
      <c r="I306" t="s">
        <v>337</v>
      </c>
      <c r="J306" t="s">
        <v>373</v>
      </c>
    </row>
    <row r="307" spans="1:10" x14ac:dyDescent="0.3">
      <c r="A307" s="39">
        <v>45820.943437499998</v>
      </c>
      <c r="B307" t="s">
        <v>58</v>
      </c>
      <c r="C307">
        <v>93</v>
      </c>
      <c r="D307" t="s">
        <v>371</v>
      </c>
      <c r="E307" t="s">
        <v>338</v>
      </c>
      <c r="F307">
        <v>0.28649066520148903</v>
      </c>
      <c r="G307">
        <v>0.2897085321611913</v>
      </c>
      <c r="H307" s="54">
        <v>81507438</v>
      </c>
      <c r="I307" t="s">
        <v>338</v>
      </c>
      <c r="J307" t="s">
        <v>373</v>
      </c>
    </row>
    <row r="308" spans="1:10" x14ac:dyDescent="0.3">
      <c r="A308" s="39">
        <v>45820.943437499998</v>
      </c>
      <c r="B308" t="s">
        <v>217</v>
      </c>
      <c r="C308">
        <v>19</v>
      </c>
      <c r="D308" t="s">
        <v>371</v>
      </c>
      <c r="E308" t="s">
        <v>31</v>
      </c>
      <c r="F308">
        <v>0.28553277459789</v>
      </c>
      <c r="G308">
        <v>0.25697949713810103</v>
      </c>
      <c r="H308" s="54">
        <v>81507438</v>
      </c>
      <c r="I308" t="s">
        <v>391</v>
      </c>
      <c r="J308" t="s">
        <v>372</v>
      </c>
    </row>
    <row r="309" spans="1:10" x14ac:dyDescent="0.3">
      <c r="A309" s="39">
        <v>45820.943437499998</v>
      </c>
      <c r="B309" t="s">
        <v>217</v>
      </c>
      <c r="C309">
        <v>111</v>
      </c>
      <c r="D309" t="s">
        <v>371</v>
      </c>
      <c r="E309" t="s">
        <v>60</v>
      </c>
      <c r="F309">
        <v>4.7257170277294501E-4</v>
      </c>
      <c r="G309">
        <v>3.7805736221835601E-4</v>
      </c>
      <c r="H309" s="54">
        <v>81507438</v>
      </c>
      <c r="I309" t="s">
        <v>337</v>
      </c>
      <c r="J309" t="s">
        <v>372</v>
      </c>
    </row>
    <row r="310" spans="1:10" x14ac:dyDescent="0.3">
      <c r="A310" s="39">
        <v>45820.943437499998</v>
      </c>
      <c r="B310" t="s">
        <v>217</v>
      </c>
      <c r="C310">
        <v>100</v>
      </c>
      <c r="D310" t="s">
        <v>371</v>
      </c>
      <c r="E310" t="s">
        <v>14</v>
      </c>
      <c r="F310">
        <v>2.0099704388384199E-2</v>
      </c>
      <c r="G310">
        <v>1.6079763510707359E-2</v>
      </c>
      <c r="H310" s="54">
        <v>81507438</v>
      </c>
      <c r="I310" t="s">
        <v>338</v>
      </c>
      <c r="J310" t="s">
        <v>372</v>
      </c>
    </row>
    <row r="311" spans="1:10" x14ac:dyDescent="0.3">
      <c r="A311" s="39">
        <v>45820.943437499998</v>
      </c>
      <c r="B311" t="s">
        <v>217</v>
      </c>
      <c r="C311">
        <v>34</v>
      </c>
      <c r="D311" t="s">
        <v>371</v>
      </c>
      <c r="E311" t="s">
        <v>391</v>
      </c>
      <c r="F311">
        <v>3.172586384421E-2</v>
      </c>
      <c r="G311">
        <v>6.0279141303999001E-2</v>
      </c>
      <c r="H311" s="54">
        <v>81507438</v>
      </c>
      <c r="I311" t="s">
        <v>391</v>
      </c>
      <c r="J311" t="s">
        <v>373</v>
      </c>
    </row>
    <row r="312" spans="1:10" x14ac:dyDescent="0.3">
      <c r="A312" s="39">
        <v>45820.943437499998</v>
      </c>
      <c r="B312" t="s">
        <v>217</v>
      </c>
      <c r="C312">
        <v>106</v>
      </c>
      <c r="D312" t="s">
        <v>371</v>
      </c>
      <c r="E312" t="s">
        <v>337</v>
      </c>
      <c r="F312">
        <v>3.3382880020982102E-2</v>
      </c>
      <c r="G312">
        <v>3.347739436153669E-2</v>
      </c>
      <c r="H312" s="54">
        <v>81507438</v>
      </c>
      <c r="I312" t="s">
        <v>337</v>
      </c>
      <c r="J312" t="s">
        <v>373</v>
      </c>
    </row>
    <row r="313" spans="1:10" x14ac:dyDescent="0.3">
      <c r="A313" s="39">
        <v>45820.943437499998</v>
      </c>
      <c r="B313" t="s">
        <v>217</v>
      </c>
      <c r="C313">
        <v>94</v>
      </c>
      <c r="D313" t="s">
        <v>371</v>
      </c>
      <c r="E313" t="s">
        <v>338</v>
      </c>
      <c r="F313">
        <v>0.35790029561161602</v>
      </c>
      <c r="G313">
        <v>0.36192023648929283</v>
      </c>
      <c r="H313" s="54">
        <v>81507438</v>
      </c>
      <c r="I313" t="s">
        <v>338</v>
      </c>
      <c r="J313" t="s">
        <v>373</v>
      </c>
    </row>
    <row r="314" spans="1:10" x14ac:dyDescent="0.3">
      <c r="A314" s="39">
        <v>45820.943437499998</v>
      </c>
      <c r="B314" t="s">
        <v>218</v>
      </c>
      <c r="C314">
        <v>19</v>
      </c>
      <c r="D314" t="s">
        <v>371</v>
      </c>
      <c r="E314" t="s">
        <v>31</v>
      </c>
      <c r="F314">
        <v>0.2493050846715</v>
      </c>
      <c r="G314">
        <v>0.22437457620435</v>
      </c>
      <c r="H314" s="54">
        <v>81507438</v>
      </c>
      <c r="I314" t="s">
        <v>391</v>
      </c>
      <c r="J314" t="s">
        <v>372</v>
      </c>
    </row>
    <row r="315" spans="1:10" x14ac:dyDescent="0.3">
      <c r="A315" s="39">
        <v>45820.943437499998</v>
      </c>
      <c r="B315" t="s">
        <v>218</v>
      </c>
      <c r="C315">
        <v>110</v>
      </c>
      <c r="D315" t="s">
        <v>371</v>
      </c>
      <c r="E315" t="s">
        <v>60</v>
      </c>
      <c r="F315">
        <v>5.7205627916568995E-4</v>
      </c>
      <c r="G315">
        <v>4.57645023332552E-4</v>
      </c>
      <c r="H315" s="54">
        <v>81507438</v>
      </c>
      <c r="I315" t="s">
        <v>337</v>
      </c>
      <c r="J315" t="s">
        <v>372</v>
      </c>
    </row>
    <row r="316" spans="1:10" x14ac:dyDescent="0.3">
      <c r="A316" s="39">
        <v>45820.943437499998</v>
      </c>
      <c r="B316" t="s">
        <v>218</v>
      </c>
      <c r="C316">
        <v>99</v>
      </c>
      <c r="D316" t="s">
        <v>371</v>
      </c>
      <c r="E316" t="s">
        <v>14</v>
      </c>
      <c r="F316">
        <v>5.3186695897906701E-3</v>
      </c>
      <c r="G316">
        <v>4.2549356718325363E-3</v>
      </c>
      <c r="H316" s="54">
        <v>81507438</v>
      </c>
      <c r="I316" t="s">
        <v>338</v>
      </c>
      <c r="J316" t="s">
        <v>372</v>
      </c>
    </row>
    <row r="317" spans="1:10" x14ac:dyDescent="0.3">
      <c r="A317" s="39">
        <v>45820.943437499998</v>
      </c>
      <c r="B317" t="s">
        <v>218</v>
      </c>
      <c r="C317">
        <v>34</v>
      </c>
      <c r="D317" t="s">
        <v>371</v>
      </c>
      <c r="E317" t="s">
        <v>391</v>
      </c>
      <c r="F317">
        <v>2.7700564963499999E-2</v>
      </c>
      <c r="G317">
        <v>5.2631073430650002E-2</v>
      </c>
      <c r="H317" s="54">
        <v>81507438</v>
      </c>
      <c r="I317" t="s">
        <v>391</v>
      </c>
      <c r="J317" t="s">
        <v>373</v>
      </c>
    </row>
    <row r="318" spans="1:10" x14ac:dyDescent="0.3">
      <c r="A318" s="39">
        <v>45820.943437499998</v>
      </c>
      <c r="B318" t="s">
        <v>218</v>
      </c>
      <c r="C318">
        <v>105</v>
      </c>
      <c r="D318" t="s">
        <v>371</v>
      </c>
      <c r="E318" t="s">
        <v>337</v>
      </c>
      <c r="F318">
        <v>4.0410557848855097E-2</v>
      </c>
      <c r="G318">
        <v>4.0524969104688238E-2</v>
      </c>
      <c r="H318" s="54">
        <v>81507438</v>
      </c>
      <c r="I318" t="s">
        <v>337</v>
      </c>
      <c r="J318" t="s">
        <v>373</v>
      </c>
    </row>
    <row r="319" spans="1:10" x14ac:dyDescent="0.3">
      <c r="A319" s="39">
        <v>45820.943437499998</v>
      </c>
      <c r="B319" t="s">
        <v>218</v>
      </c>
      <c r="C319">
        <v>95</v>
      </c>
      <c r="D319" t="s">
        <v>371</v>
      </c>
      <c r="E319" t="s">
        <v>338</v>
      </c>
      <c r="F319">
        <v>9.4705543010209295E-2</v>
      </c>
      <c r="G319">
        <v>9.5769276928167432E-2</v>
      </c>
      <c r="H319" s="54">
        <v>81507438</v>
      </c>
      <c r="I319" t="s">
        <v>338</v>
      </c>
      <c r="J319" t="s">
        <v>373</v>
      </c>
    </row>
    <row r="320" spans="1:10" x14ac:dyDescent="0.3">
      <c r="A320" s="39">
        <v>45820.943437499998</v>
      </c>
      <c r="B320" t="s">
        <v>219</v>
      </c>
      <c r="C320">
        <v>19</v>
      </c>
      <c r="D320" t="s">
        <v>371</v>
      </c>
      <c r="E320" t="s">
        <v>31</v>
      </c>
      <c r="F320">
        <v>5.1604409134800001E-2</v>
      </c>
      <c r="G320">
        <v>4.6443968221319999E-2</v>
      </c>
      <c r="H320" s="54">
        <v>81507438</v>
      </c>
      <c r="I320" t="s">
        <v>391</v>
      </c>
      <c r="J320" t="s">
        <v>372</v>
      </c>
    </row>
    <row r="321" spans="1:10" x14ac:dyDescent="0.3">
      <c r="A321" s="39">
        <v>45820.943437499998</v>
      </c>
      <c r="B321" t="s">
        <v>219</v>
      </c>
      <c r="C321">
        <v>111</v>
      </c>
      <c r="D321" t="s">
        <v>371</v>
      </c>
      <c r="E321" t="s">
        <v>60</v>
      </c>
      <c r="F321">
        <v>4.1975400236988E-4</v>
      </c>
      <c r="G321">
        <v>3.3580320189590404E-4</v>
      </c>
      <c r="H321" s="54">
        <v>81507438</v>
      </c>
      <c r="I321" t="s">
        <v>337</v>
      </c>
      <c r="J321" t="s">
        <v>372</v>
      </c>
    </row>
    <row r="322" spans="1:10" x14ac:dyDescent="0.3">
      <c r="A322" s="39">
        <v>45820.943437499998</v>
      </c>
      <c r="B322" t="s">
        <v>219</v>
      </c>
      <c r="C322">
        <v>100</v>
      </c>
      <c r="D322" t="s">
        <v>371</v>
      </c>
      <c r="E322" t="s">
        <v>14</v>
      </c>
      <c r="F322">
        <v>4.4563916015389102E-2</v>
      </c>
      <c r="G322">
        <v>3.5651132812311283E-2</v>
      </c>
      <c r="H322" s="54">
        <v>81507438</v>
      </c>
      <c r="I322" t="s">
        <v>338</v>
      </c>
      <c r="J322" t="s">
        <v>372</v>
      </c>
    </row>
    <row r="323" spans="1:10" x14ac:dyDescent="0.3">
      <c r="A323" s="39">
        <v>45820.943437499998</v>
      </c>
      <c r="B323" t="s">
        <v>219</v>
      </c>
      <c r="C323">
        <v>34</v>
      </c>
      <c r="D323" t="s">
        <v>371</v>
      </c>
      <c r="E323" t="s">
        <v>391</v>
      </c>
      <c r="F323">
        <v>5.7338232372E-3</v>
      </c>
      <c r="G323">
        <v>1.089426415068E-2</v>
      </c>
      <c r="H323" s="54">
        <v>81507438</v>
      </c>
      <c r="I323" t="s">
        <v>391</v>
      </c>
      <c r="J323" t="s">
        <v>373</v>
      </c>
    </row>
    <row r="324" spans="1:10" x14ac:dyDescent="0.3">
      <c r="A324" s="39">
        <v>45820.943437499998</v>
      </c>
      <c r="B324" t="s">
        <v>219</v>
      </c>
      <c r="C324">
        <v>106</v>
      </c>
      <c r="D324" t="s">
        <v>371</v>
      </c>
      <c r="E324" t="s">
        <v>337</v>
      </c>
      <c r="F324">
        <v>2.96517912884291E-2</v>
      </c>
      <c r="G324">
        <v>2.9735742088903075E-2</v>
      </c>
      <c r="H324" s="54">
        <v>81507438</v>
      </c>
      <c r="I324" t="s">
        <v>337</v>
      </c>
      <c r="J324" t="s">
        <v>373</v>
      </c>
    </row>
    <row r="325" spans="1:10" x14ac:dyDescent="0.3">
      <c r="A325" s="39">
        <v>45820.943437499998</v>
      </c>
      <c r="B325" t="s">
        <v>219</v>
      </c>
      <c r="C325">
        <v>93</v>
      </c>
      <c r="D325" t="s">
        <v>371</v>
      </c>
      <c r="E325" t="s">
        <v>338</v>
      </c>
      <c r="F325">
        <v>0.79351608398461104</v>
      </c>
      <c r="G325">
        <v>0.80242886718768891</v>
      </c>
      <c r="H325" s="54">
        <v>81507438</v>
      </c>
      <c r="I325" t="s">
        <v>338</v>
      </c>
      <c r="J325" t="s">
        <v>373</v>
      </c>
    </row>
    <row r="326" spans="1:10" x14ac:dyDescent="0.3">
      <c r="A326" s="39">
        <v>45820.943437499998</v>
      </c>
      <c r="B326" t="s">
        <v>220</v>
      </c>
      <c r="C326">
        <v>19</v>
      </c>
      <c r="D326" t="s">
        <v>371</v>
      </c>
      <c r="E326" t="s">
        <v>31</v>
      </c>
      <c r="F326">
        <v>5.1604409134800001E-2</v>
      </c>
      <c r="G326">
        <v>4.6443968221319999E-2</v>
      </c>
      <c r="H326" s="54">
        <v>81507438</v>
      </c>
      <c r="I326" t="s">
        <v>391</v>
      </c>
      <c r="J326" t="s">
        <v>372</v>
      </c>
    </row>
    <row r="327" spans="1:10" x14ac:dyDescent="0.3">
      <c r="A327" s="39">
        <v>45820.943437499998</v>
      </c>
      <c r="B327" t="s">
        <v>220</v>
      </c>
      <c r="C327">
        <v>111</v>
      </c>
      <c r="D327" t="s">
        <v>371</v>
      </c>
      <c r="E327" t="s">
        <v>60</v>
      </c>
      <c r="F327">
        <v>4.1975400236988E-4</v>
      </c>
      <c r="G327">
        <v>3.3580320189590404E-4</v>
      </c>
      <c r="H327" s="54">
        <v>81507438</v>
      </c>
      <c r="I327" t="s">
        <v>337</v>
      </c>
      <c r="J327" t="s">
        <v>372</v>
      </c>
    </row>
    <row r="328" spans="1:10" x14ac:dyDescent="0.3">
      <c r="A328" s="39">
        <v>45820.943437499998</v>
      </c>
      <c r="B328" t="s">
        <v>220</v>
      </c>
      <c r="C328">
        <v>100</v>
      </c>
      <c r="D328" t="s">
        <v>371</v>
      </c>
      <c r="E328" t="s">
        <v>14</v>
      </c>
      <c r="F328">
        <v>4.4563916015389102E-2</v>
      </c>
      <c r="G328">
        <v>3.5651132812311283E-2</v>
      </c>
      <c r="H328" s="54">
        <v>81507438</v>
      </c>
      <c r="I328" t="s">
        <v>338</v>
      </c>
      <c r="J328" t="s">
        <v>372</v>
      </c>
    </row>
    <row r="329" spans="1:10" x14ac:dyDescent="0.3">
      <c r="A329" s="39">
        <v>45820.943449074075</v>
      </c>
      <c r="B329" t="s">
        <v>220</v>
      </c>
      <c r="C329">
        <v>34</v>
      </c>
      <c r="D329" t="s">
        <v>371</v>
      </c>
      <c r="E329" t="s">
        <v>391</v>
      </c>
      <c r="F329">
        <v>5.7338232372E-3</v>
      </c>
      <c r="G329">
        <v>1.089426415068E-2</v>
      </c>
      <c r="H329" s="54">
        <v>81507438</v>
      </c>
      <c r="I329" t="s">
        <v>391</v>
      </c>
      <c r="J329" t="s">
        <v>373</v>
      </c>
    </row>
    <row r="330" spans="1:10" x14ac:dyDescent="0.3">
      <c r="A330" s="39">
        <v>45820.943449074075</v>
      </c>
      <c r="B330" t="s">
        <v>220</v>
      </c>
      <c r="C330">
        <v>106</v>
      </c>
      <c r="D330" t="s">
        <v>371</v>
      </c>
      <c r="E330" t="s">
        <v>337</v>
      </c>
      <c r="F330">
        <v>2.96517912884291E-2</v>
      </c>
      <c r="G330">
        <v>2.9735742088903075E-2</v>
      </c>
      <c r="H330" s="54">
        <v>81507438</v>
      </c>
      <c r="I330" t="s">
        <v>337</v>
      </c>
      <c r="J330" t="s">
        <v>373</v>
      </c>
    </row>
    <row r="331" spans="1:10" x14ac:dyDescent="0.3">
      <c r="A331" s="39">
        <v>45820.943449074075</v>
      </c>
      <c r="B331" t="s">
        <v>220</v>
      </c>
      <c r="C331">
        <v>93</v>
      </c>
      <c r="D331" t="s">
        <v>371</v>
      </c>
      <c r="E331" t="s">
        <v>338</v>
      </c>
      <c r="F331">
        <v>0.79351608398461104</v>
      </c>
      <c r="G331">
        <v>0.80242886718768891</v>
      </c>
      <c r="H331" s="54">
        <v>81507438</v>
      </c>
      <c r="I331" t="s">
        <v>338</v>
      </c>
      <c r="J331" t="s">
        <v>373</v>
      </c>
    </row>
    <row r="332" spans="1:10" x14ac:dyDescent="0.3">
      <c r="A332" s="39">
        <v>45821.045104166667</v>
      </c>
      <c r="B332" t="s">
        <v>223</v>
      </c>
      <c r="C332">
        <v>19</v>
      </c>
      <c r="D332" t="s">
        <v>371</v>
      </c>
      <c r="E332" t="s">
        <v>31</v>
      </c>
      <c r="F332">
        <v>0.17374500000000001</v>
      </c>
      <c r="G332">
        <v>0.15637050000000002</v>
      </c>
      <c r="H332" s="54">
        <v>3892069</v>
      </c>
      <c r="I332" t="s">
        <v>391</v>
      </c>
      <c r="J332" t="s">
        <v>372</v>
      </c>
    </row>
    <row r="333" spans="1:10" x14ac:dyDescent="0.3">
      <c r="A333" s="39">
        <v>45821.045104166667</v>
      </c>
      <c r="B333" t="s">
        <v>223</v>
      </c>
      <c r="C333">
        <v>111</v>
      </c>
      <c r="D333" t="s">
        <v>371</v>
      </c>
      <c r="E333" t="s">
        <v>60</v>
      </c>
      <c r="F333">
        <v>5.6854038387252597E-4</v>
      </c>
      <c r="G333">
        <v>4.548323070980208E-4</v>
      </c>
      <c r="H333" s="54">
        <v>3892069</v>
      </c>
      <c r="I333" t="s">
        <v>337</v>
      </c>
      <c r="J333" t="s">
        <v>372</v>
      </c>
    </row>
    <row r="334" spans="1:10" x14ac:dyDescent="0.3">
      <c r="A334" s="39">
        <v>45821.045104166667</v>
      </c>
      <c r="B334" t="s">
        <v>223</v>
      </c>
      <c r="C334">
        <v>99</v>
      </c>
      <c r="D334" t="s">
        <v>371</v>
      </c>
      <c r="E334" t="s">
        <v>14</v>
      </c>
      <c r="F334">
        <v>3.7574777065228597E-2</v>
      </c>
      <c r="G334">
        <v>3.0059821652182878E-2</v>
      </c>
      <c r="H334" s="54">
        <v>3892069</v>
      </c>
      <c r="I334" t="s">
        <v>338</v>
      </c>
      <c r="J334" t="s">
        <v>372</v>
      </c>
    </row>
    <row r="335" spans="1:10" x14ac:dyDescent="0.3">
      <c r="A335" s="39">
        <v>45821.045104166667</v>
      </c>
      <c r="B335" t="s">
        <v>223</v>
      </c>
      <c r="C335">
        <v>34</v>
      </c>
      <c r="D335" t="s">
        <v>371</v>
      </c>
      <c r="E335" t="s">
        <v>391</v>
      </c>
      <c r="F335">
        <v>4.0755E-2</v>
      </c>
      <c r="G335">
        <v>5.8129500000000001E-2</v>
      </c>
      <c r="H335" s="54">
        <v>3892069</v>
      </c>
      <c r="I335" t="s">
        <v>391</v>
      </c>
      <c r="J335" t="s">
        <v>373</v>
      </c>
    </row>
    <row r="336" spans="1:10" x14ac:dyDescent="0.3">
      <c r="A336" s="39">
        <v>45821.045115740744</v>
      </c>
      <c r="B336" t="s">
        <v>223</v>
      </c>
      <c r="C336">
        <v>106</v>
      </c>
      <c r="D336" t="s">
        <v>371</v>
      </c>
      <c r="E336" t="s">
        <v>337</v>
      </c>
      <c r="F336">
        <v>5.03448749937766E-2</v>
      </c>
      <c r="G336">
        <v>5.0458583070551108E-2</v>
      </c>
      <c r="H336" s="54">
        <v>3892069</v>
      </c>
      <c r="I336" t="s">
        <v>337</v>
      </c>
      <c r="J336" t="s">
        <v>373</v>
      </c>
    </row>
    <row r="337" spans="1:10" x14ac:dyDescent="0.3">
      <c r="A337" s="39">
        <v>45821.045115740744</v>
      </c>
      <c r="B337" t="s">
        <v>223</v>
      </c>
      <c r="C337">
        <v>94</v>
      </c>
      <c r="D337" t="s">
        <v>371</v>
      </c>
      <c r="E337" t="s">
        <v>338</v>
      </c>
      <c r="F337">
        <v>0.84572588349477096</v>
      </c>
      <c r="G337">
        <v>0.85324083890781666</v>
      </c>
      <c r="H337" s="54">
        <v>3892069</v>
      </c>
      <c r="I337" t="s">
        <v>338</v>
      </c>
      <c r="J337" t="s">
        <v>373</v>
      </c>
    </row>
    <row r="338" spans="1:10" x14ac:dyDescent="0.3">
      <c r="A338" s="39">
        <v>45821.045115740744</v>
      </c>
      <c r="B338" t="s">
        <v>58</v>
      </c>
      <c r="C338">
        <v>19</v>
      </c>
      <c r="D338" t="s">
        <v>371</v>
      </c>
      <c r="E338" t="s">
        <v>31</v>
      </c>
      <c r="F338">
        <v>4.9456549943783998E-2</v>
      </c>
      <c r="G338">
        <v>4.4510894949405598E-2</v>
      </c>
      <c r="H338" s="54">
        <v>3892069</v>
      </c>
      <c r="I338" t="s">
        <v>391</v>
      </c>
      <c r="J338" t="s">
        <v>372</v>
      </c>
    </row>
    <row r="339" spans="1:10" x14ac:dyDescent="0.3">
      <c r="A339" s="39">
        <v>45821.045115740744</v>
      </c>
      <c r="B339" t="s">
        <v>58</v>
      </c>
      <c r="C339">
        <v>109</v>
      </c>
      <c r="D339" t="s">
        <v>371</v>
      </c>
      <c r="E339" t="s">
        <v>60</v>
      </c>
      <c r="F339">
        <v>3.2523966181529398E-4</v>
      </c>
      <c r="G339">
        <v>2.6019172945223522E-4</v>
      </c>
      <c r="H339" s="54">
        <v>3892069</v>
      </c>
      <c r="I339" t="s">
        <v>337</v>
      </c>
      <c r="J339" t="s">
        <v>372</v>
      </c>
    </row>
    <row r="340" spans="1:10" x14ac:dyDescent="0.3">
      <c r="A340" s="39">
        <v>45821.045115740744</v>
      </c>
      <c r="B340" t="s">
        <v>58</v>
      </c>
      <c r="C340">
        <v>98</v>
      </c>
      <c r="D340" t="s">
        <v>371</v>
      </c>
      <c r="E340" t="s">
        <v>14</v>
      </c>
      <c r="F340">
        <v>1.28714678388091E-2</v>
      </c>
      <c r="G340">
        <v>1.0297174271047281E-2</v>
      </c>
      <c r="H340" s="54">
        <v>3892069</v>
      </c>
      <c r="I340" t="s">
        <v>338</v>
      </c>
      <c r="J340" t="s">
        <v>372</v>
      </c>
    </row>
    <row r="341" spans="1:10" x14ac:dyDescent="0.3">
      <c r="A341" s="39">
        <v>45821.045115740744</v>
      </c>
      <c r="B341" t="s">
        <v>58</v>
      </c>
      <c r="C341">
        <v>34</v>
      </c>
      <c r="D341" t="s">
        <v>371</v>
      </c>
      <c r="E341" t="s">
        <v>391</v>
      </c>
      <c r="F341">
        <v>1.1600919122616E-2</v>
      </c>
      <c r="G341">
        <v>1.6546574116994402E-2</v>
      </c>
      <c r="H341" s="54">
        <v>3892069</v>
      </c>
      <c r="I341" t="s">
        <v>391</v>
      </c>
      <c r="J341" t="s">
        <v>373</v>
      </c>
    </row>
    <row r="342" spans="1:10" x14ac:dyDescent="0.3">
      <c r="A342" s="39">
        <v>45821.045115740744</v>
      </c>
      <c r="B342" t="s">
        <v>58</v>
      </c>
      <c r="C342">
        <v>104</v>
      </c>
      <c r="D342" t="s">
        <v>371</v>
      </c>
      <c r="E342" t="s">
        <v>337</v>
      </c>
      <c r="F342">
        <v>2.88003290207446E-2</v>
      </c>
      <c r="G342">
        <v>2.886537695310766E-2</v>
      </c>
      <c r="H342" s="54">
        <v>3892069</v>
      </c>
      <c r="I342" t="s">
        <v>337</v>
      </c>
      <c r="J342" t="s">
        <v>373</v>
      </c>
    </row>
    <row r="343" spans="1:10" x14ac:dyDescent="0.3">
      <c r="A343" s="39">
        <v>45821.045115740744</v>
      </c>
      <c r="B343" t="s">
        <v>58</v>
      </c>
      <c r="C343">
        <v>93</v>
      </c>
      <c r="D343" t="s">
        <v>371</v>
      </c>
      <c r="E343" t="s">
        <v>338</v>
      </c>
      <c r="F343">
        <v>0.28970853216119102</v>
      </c>
      <c r="G343">
        <v>0.29228282572895287</v>
      </c>
      <c r="H343" s="54">
        <v>3892069</v>
      </c>
      <c r="I343" t="s">
        <v>338</v>
      </c>
      <c r="J343" t="s">
        <v>373</v>
      </c>
    </row>
    <row r="344" spans="1:10" x14ac:dyDescent="0.3">
      <c r="A344" s="39">
        <v>45821.045115740744</v>
      </c>
      <c r="B344" t="s">
        <v>217</v>
      </c>
      <c r="C344">
        <v>19</v>
      </c>
      <c r="D344" t="s">
        <v>371</v>
      </c>
      <c r="E344" t="s">
        <v>31</v>
      </c>
      <c r="F344">
        <v>0.25697949713810098</v>
      </c>
      <c r="G344">
        <v>0.23128154742429088</v>
      </c>
      <c r="H344" s="54">
        <v>3892069</v>
      </c>
      <c r="I344" t="s">
        <v>391</v>
      </c>
      <c r="J344" t="s">
        <v>372</v>
      </c>
    </row>
    <row r="345" spans="1:10" x14ac:dyDescent="0.3">
      <c r="A345" s="39">
        <v>45821.045115740744</v>
      </c>
      <c r="B345" t="s">
        <v>217</v>
      </c>
      <c r="C345">
        <v>111</v>
      </c>
      <c r="D345" t="s">
        <v>371</v>
      </c>
      <c r="E345" t="s">
        <v>60</v>
      </c>
      <c r="F345">
        <v>3.7805736221835601E-4</v>
      </c>
      <c r="G345">
        <v>3.0244588977468485E-4</v>
      </c>
      <c r="H345" s="54">
        <v>3892069</v>
      </c>
      <c r="I345" t="s">
        <v>337</v>
      </c>
      <c r="J345" t="s">
        <v>372</v>
      </c>
    </row>
    <row r="346" spans="1:10" x14ac:dyDescent="0.3">
      <c r="A346" s="39">
        <v>45821.045115740744</v>
      </c>
      <c r="B346" t="s">
        <v>217</v>
      </c>
      <c r="C346">
        <v>100</v>
      </c>
      <c r="D346" t="s">
        <v>371</v>
      </c>
      <c r="E346" t="s">
        <v>14</v>
      </c>
      <c r="F346">
        <v>1.60797635107074E-2</v>
      </c>
      <c r="G346">
        <v>1.2863810808565921E-2</v>
      </c>
      <c r="H346" s="54">
        <v>3892069</v>
      </c>
      <c r="I346" t="s">
        <v>338</v>
      </c>
      <c r="J346" t="s">
        <v>372</v>
      </c>
    </row>
    <row r="347" spans="1:10" x14ac:dyDescent="0.3">
      <c r="A347" s="39">
        <v>45821.045115740744</v>
      </c>
      <c r="B347" t="s">
        <v>217</v>
      </c>
      <c r="C347">
        <v>34</v>
      </c>
      <c r="D347" t="s">
        <v>371</v>
      </c>
      <c r="E347" t="s">
        <v>391</v>
      </c>
      <c r="F347">
        <v>6.0279141303999001E-2</v>
      </c>
      <c r="G347">
        <v>8.5977091017809093E-2</v>
      </c>
      <c r="H347" s="54">
        <v>3892069</v>
      </c>
      <c r="I347" t="s">
        <v>391</v>
      </c>
      <c r="J347" t="s">
        <v>373</v>
      </c>
    </row>
    <row r="348" spans="1:10" x14ac:dyDescent="0.3">
      <c r="A348" s="39">
        <v>45821.045115740744</v>
      </c>
      <c r="B348" t="s">
        <v>217</v>
      </c>
      <c r="C348">
        <v>106</v>
      </c>
      <c r="D348" t="s">
        <v>371</v>
      </c>
      <c r="E348" t="s">
        <v>337</v>
      </c>
      <c r="F348">
        <v>3.3477394361536697E-2</v>
      </c>
      <c r="G348">
        <v>3.3553005833980368E-2</v>
      </c>
      <c r="H348" s="54">
        <v>3892069</v>
      </c>
      <c r="I348" t="s">
        <v>337</v>
      </c>
      <c r="J348" t="s">
        <v>373</v>
      </c>
    </row>
    <row r="349" spans="1:10" x14ac:dyDescent="0.3">
      <c r="A349" s="39">
        <v>45821.045115740744</v>
      </c>
      <c r="B349" t="s">
        <v>217</v>
      </c>
      <c r="C349">
        <v>94</v>
      </c>
      <c r="D349" t="s">
        <v>371</v>
      </c>
      <c r="E349" t="s">
        <v>338</v>
      </c>
      <c r="F349">
        <v>0.361920236489293</v>
      </c>
      <c r="G349">
        <v>0.36513618919143448</v>
      </c>
      <c r="H349" s="54">
        <v>3892069</v>
      </c>
      <c r="I349" t="s">
        <v>338</v>
      </c>
      <c r="J349" t="s">
        <v>373</v>
      </c>
    </row>
    <row r="350" spans="1:10" x14ac:dyDescent="0.3">
      <c r="A350" s="39">
        <v>45821.045115740744</v>
      </c>
      <c r="B350" t="s">
        <v>218</v>
      </c>
      <c r="C350">
        <v>19</v>
      </c>
      <c r="D350" t="s">
        <v>371</v>
      </c>
      <c r="E350" t="s">
        <v>31</v>
      </c>
      <c r="F350">
        <v>0.22437457620435</v>
      </c>
      <c r="G350">
        <v>0.201937118583915</v>
      </c>
      <c r="H350" s="54">
        <v>3892069</v>
      </c>
      <c r="I350" t="s">
        <v>391</v>
      </c>
      <c r="J350" t="s">
        <v>372</v>
      </c>
    </row>
    <row r="351" spans="1:10" x14ac:dyDescent="0.3">
      <c r="A351" s="39">
        <v>45821.045115740744</v>
      </c>
      <c r="B351" t="s">
        <v>218</v>
      </c>
      <c r="C351">
        <v>110</v>
      </c>
      <c r="D351" t="s">
        <v>371</v>
      </c>
      <c r="E351" t="s">
        <v>60</v>
      </c>
      <c r="F351">
        <v>4.57645023332552E-4</v>
      </c>
      <c r="G351">
        <v>3.6611601866604163E-4</v>
      </c>
      <c r="H351" s="54">
        <v>3892069</v>
      </c>
      <c r="I351" t="s">
        <v>337</v>
      </c>
      <c r="J351" t="s">
        <v>372</v>
      </c>
    </row>
    <row r="352" spans="1:10" x14ac:dyDescent="0.3">
      <c r="A352" s="39">
        <v>45821.045115740744</v>
      </c>
      <c r="B352" t="s">
        <v>218</v>
      </c>
      <c r="C352">
        <v>99</v>
      </c>
      <c r="D352" t="s">
        <v>371</v>
      </c>
      <c r="E352" t="s">
        <v>14</v>
      </c>
      <c r="F352">
        <v>4.2549356718325397E-3</v>
      </c>
      <c r="G352">
        <v>3.4039485374660321E-3</v>
      </c>
      <c r="H352" s="54">
        <v>3892069</v>
      </c>
      <c r="I352" t="s">
        <v>338</v>
      </c>
      <c r="J352" t="s">
        <v>372</v>
      </c>
    </row>
    <row r="353" spans="1:10" x14ac:dyDescent="0.3">
      <c r="A353" s="39">
        <v>45821.045115740744</v>
      </c>
      <c r="B353" t="s">
        <v>218</v>
      </c>
      <c r="C353">
        <v>34</v>
      </c>
      <c r="D353" t="s">
        <v>371</v>
      </c>
      <c r="E353" t="s">
        <v>391</v>
      </c>
      <c r="F353">
        <v>5.2631073430650002E-2</v>
      </c>
      <c r="G353">
        <v>7.5068531051085005E-2</v>
      </c>
      <c r="H353" s="54">
        <v>3892069</v>
      </c>
      <c r="I353" t="s">
        <v>391</v>
      </c>
      <c r="J353" t="s">
        <v>373</v>
      </c>
    </row>
    <row r="354" spans="1:10" x14ac:dyDescent="0.3">
      <c r="A354" s="39">
        <v>45821.045115740744</v>
      </c>
      <c r="B354" t="s">
        <v>218</v>
      </c>
      <c r="C354">
        <v>105</v>
      </c>
      <c r="D354" t="s">
        <v>371</v>
      </c>
      <c r="E354" t="s">
        <v>337</v>
      </c>
      <c r="F354">
        <v>4.0524969104688197E-2</v>
      </c>
      <c r="G354">
        <v>4.0616498109354707E-2</v>
      </c>
      <c r="H354" s="54">
        <v>3892069</v>
      </c>
      <c r="I354" t="s">
        <v>337</v>
      </c>
      <c r="J354" t="s">
        <v>373</v>
      </c>
    </row>
    <row r="355" spans="1:10" x14ac:dyDescent="0.3">
      <c r="A355" s="39">
        <v>45821.045115740744</v>
      </c>
      <c r="B355" t="s">
        <v>218</v>
      </c>
      <c r="C355">
        <v>95</v>
      </c>
      <c r="D355" t="s">
        <v>371</v>
      </c>
      <c r="E355" t="s">
        <v>338</v>
      </c>
      <c r="F355">
        <v>9.5769276928167404E-2</v>
      </c>
      <c r="G355">
        <v>9.6620264062533906E-2</v>
      </c>
      <c r="H355" s="54">
        <v>3892069</v>
      </c>
      <c r="I355" t="s">
        <v>338</v>
      </c>
      <c r="J355" t="s">
        <v>373</v>
      </c>
    </row>
    <row r="356" spans="1:10" x14ac:dyDescent="0.3">
      <c r="A356" s="39">
        <v>45821.045127314814</v>
      </c>
      <c r="B356" t="s">
        <v>219</v>
      </c>
      <c r="C356">
        <v>19</v>
      </c>
      <c r="D356" t="s">
        <v>371</v>
      </c>
      <c r="E356" t="s">
        <v>31</v>
      </c>
      <c r="F356">
        <v>4.6443968221319999E-2</v>
      </c>
      <c r="G356">
        <v>4.1799571399188003E-2</v>
      </c>
      <c r="H356" s="54">
        <v>3892069</v>
      </c>
      <c r="I356" t="s">
        <v>391</v>
      </c>
      <c r="J356" t="s">
        <v>372</v>
      </c>
    </row>
    <row r="357" spans="1:10" x14ac:dyDescent="0.3">
      <c r="A357" s="39">
        <v>45821.045127314814</v>
      </c>
      <c r="B357" t="s">
        <v>219</v>
      </c>
      <c r="C357">
        <v>111</v>
      </c>
      <c r="D357" t="s">
        <v>371</v>
      </c>
      <c r="E357" t="s">
        <v>60</v>
      </c>
      <c r="F357">
        <v>3.3580320189590399E-4</v>
      </c>
      <c r="G357">
        <v>2.6864256151672318E-4</v>
      </c>
      <c r="H357" s="54">
        <v>3892069</v>
      </c>
      <c r="I357" t="s">
        <v>337</v>
      </c>
      <c r="J357" t="s">
        <v>372</v>
      </c>
    </row>
    <row r="358" spans="1:10" x14ac:dyDescent="0.3">
      <c r="A358" s="39">
        <v>45821.045127314814</v>
      </c>
      <c r="B358" t="s">
        <v>219</v>
      </c>
      <c r="C358">
        <v>100</v>
      </c>
      <c r="D358" t="s">
        <v>371</v>
      </c>
      <c r="E358" t="s">
        <v>14</v>
      </c>
      <c r="F358">
        <v>3.5651132812311297E-2</v>
      </c>
      <c r="G358">
        <v>2.8520906249849039E-2</v>
      </c>
      <c r="H358" s="54">
        <v>3892069</v>
      </c>
      <c r="I358" t="s">
        <v>338</v>
      </c>
      <c r="J358" t="s">
        <v>372</v>
      </c>
    </row>
    <row r="359" spans="1:10" x14ac:dyDescent="0.3">
      <c r="A359" s="39">
        <v>45821.045127314814</v>
      </c>
      <c r="B359" t="s">
        <v>219</v>
      </c>
      <c r="C359">
        <v>34</v>
      </c>
      <c r="D359" t="s">
        <v>371</v>
      </c>
      <c r="E359" t="s">
        <v>391</v>
      </c>
      <c r="F359">
        <v>1.089426415068E-2</v>
      </c>
      <c r="G359">
        <v>1.5538660972812E-2</v>
      </c>
      <c r="H359" s="54">
        <v>3892069</v>
      </c>
      <c r="I359" t="s">
        <v>391</v>
      </c>
      <c r="J359" t="s">
        <v>373</v>
      </c>
    </row>
    <row r="360" spans="1:10" x14ac:dyDescent="0.3">
      <c r="A360" s="39">
        <v>45821.045127314814</v>
      </c>
      <c r="B360" t="s">
        <v>219</v>
      </c>
      <c r="C360">
        <v>106</v>
      </c>
      <c r="D360" t="s">
        <v>371</v>
      </c>
      <c r="E360" t="s">
        <v>337</v>
      </c>
      <c r="F360">
        <v>2.9735742088903099E-2</v>
      </c>
      <c r="G360">
        <v>2.980290272928228E-2</v>
      </c>
      <c r="H360" s="54">
        <v>3892069</v>
      </c>
      <c r="I360" t="s">
        <v>337</v>
      </c>
      <c r="J360" t="s">
        <v>373</v>
      </c>
    </row>
    <row r="361" spans="1:10" x14ac:dyDescent="0.3">
      <c r="A361" s="39">
        <v>45821.045127314814</v>
      </c>
      <c r="B361" t="s">
        <v>219</v>
      </c>
      <c r="C361">
        <v>93</v>
      </c>
      <c r="D361" t="s">
        <v>371</v>
      </c>
      <c r="E361" t="s">
        <v>338</v>
      </c>
      <c r="F361">
        <v>0.80242886718768902</v>
      </c>
      <c r="G361">
        <v>0.80955909375015123</v>
      </c>
      <c r="H361" s="54">
        <v>3892069</v>
      </c>
      <c r="I361" t="s">
        <v>338</v>
      </c>
      <c r="J361" t="s">
        <v>373</v>
      </c>
    </row>
    <row r="362" spans="1:10" x14ac:dyDescent="0.3">
      <c r="A362" s="39">
        <v>45821.045127314814</v>
      </c>
      <c r="B362" t="s">
        <v>220</v>
      </c>
      <c r="C362">
        <v>19</v>
      </c>
      <c r="D362" t="s">
        <v>371</v>
      </c>
      <c r="E362" t="s">
        <v>31</v>
      </c>
      <c r="F362">
        <v>4.6443968221319999E-2</v>
      </c>
      <c r="G362">
        <v>4.1799571399188003E-2</v>
      </c>
      <c r="H362" s="54">
        <v>3892069</v>
      </c>
      <c r="I362" t="s">
        <v>391</v>
      </c>
      <c r="J362" t="s">
        <v>372</v>
      </c>
    </row>
    <row r="363" spans="1:10" x14ac:dyDescent="0.3">
      <c r="A363" s="39">
        <v>45821.045127314814</v>
      </c>
      <c r="B363" t="s">
        <v>220</v>
      </c>
      <c r="C363">
        <v>111</v>
      </c>
      <c r="D363" t="s">
        <v>371</v>
      </c>
      <c r="E363" t="s">
        <v>60</v>
      </c>
      <c r="F363">
        <v>3.3580320189590399E-4</v>
      </c>
      <c r="G363">
        <v>2.6864256151672318E-4</v>
      </c>
      <c r="H363" s="54">
        <v>3892069</v>
      </c>
      <c r="I363" t="s">
        <v>337</v>
      </c>
      <c r="J363" t="s">
        <v>372</v>
      </c>
    </row>
    <row r="364" spans="1:10" x14ac:dyDescent="0.3">
      <c r="A364" s="39">
        <v>45821.045127314814</v>
      </c>
      <c r="B364" t="s">
        <v>220</v>
      </c>
      <c r="C364">
        <v>100</v>
      </c>
      <c r="D364" t="s">
        <v>371</v>
      </c>
      <c r="E364" t="s">
        <v>14</v>
      </c>
      <c r="F364">
        <v>3.5651132812311297E-2</v>
      </c>
      <c r="G364">
        <v>2.8520906249849039E-2</v>
      </c>
      <c r="H364" s="54">
        <v>3892069</v>
      </c>
      <c r="I364" t="s">
        <v>338</v>
      </c>
      <c r="J364" t="s">
        <v>372</v>
      </c>
    </row>
    <row r="365" spans="1:10" x14ac:dyDescent="0.3">
      <c r="A365" s="39">
        <v>45821.045127314814</v>
      </c>
      <c r="B365" t="s">
        <v>220</v>
      </c>
      <c r="C365">
        <v>34</v>
      </c>
      <c r="D365" t="s">
        <v>371</v>
      </c>
      <c r="E365" t="s">
        <v>391</v>
      </c>
      <c r="F365">
        <v>1.089426415068E-2</v>
      </c>
      <c r="G365">
        <v>1.5538660972812E-2</v>
      </c>
      <c r="H365" s="54">
        <v>3892069</v>
      </c>
      <c r="I365" t="s">
        <v>391</v>
      </c>
      <c r="J365" t="s">
        <v>373</v>
      </c>
    </row>
    <row r="366" spans="1:10" x14ac:dyDescent="0.3">
      <c r="A366" s="39">
        <v>45821.045127314814</v>
      </c>
      <c r="B366" t="s">
        <v>220</v>
      </c>
      <c r="C366">
        <v>106</v>
      </c>
      <c r="D366" t="s">
        <v>371</v>
      </c>
      <c r="E366" t="s">
        <v>337</v>
      </c>
      <c r="F366">
        <v>2.9735742088903099E-2</v>
      </c>
      <c r="G366">
        <v>2.980290272928228E-2</v>
      </c>
      <c r="H366" s="54">
        <v>3892069</v>
      </c>
      <c r="I366" t="s">
        <v>337</v>
      </c>
      <c r="J366" t="s">
        <v>373</v>
      </c>
    </row>
    <row r="367" spans="1:10" x14ac:dyDescent="0.3">
      <c r="A367" s="39">
        <v>45821.045127314814</v>
      </c>
      <c r="B367" t="s">
        <v>220</v>
      </c>
      <c r="C367">
        <v>93</v>
      </c>
      <c r="D367" t="s">
        <v>371</v>
      </c>
      <c r="E367" t="s">
        <v>338</v>
      </c>
      <c r="F367">
        <v>0.80242886718768902</v>
      </c>
      <c r="G367">
        <v>0.80955909375015123</v>
      </c>
      <c r="H367" s="54">
        <v>3892069</v>
      </c>
      <c r="I367" t="s">
        <v>338</v>
      </c>
      <c r="J367" t="s">
        <v>373</v>
      </c>
    </row>
    <row r="368" spans="1:10" x14ac:dyDescent="0.3">
      <c r="A368" s="39">
        <v>45821.351157407407</v>
      </c>
      <c r="B368" t="s">
        <v>223</v>
      </c>
      <c r="C368">
        <v>19</v>
      </c>
      <c r="D368" t="s">
        <v>371</v>
      </c>
      <c r="E368" t="s">
        <v>31</v>
      </c>
      <c r="F368">
        <v>0.1563705</v>
      </c>
      <c r="G368">
        <v>0.14073345000000001</v>
      </c>
      <c r="H368" s="54">
        <v>30337623</v>
      </c>
      <c r="I368" t="s">
        <v>391</v>
      </c>
      <c r="J368" t="s">
        <v>372</v>
      </c>
    </row>
    <row r="369" spans="1:10" x14ac:dyDescent="0.3">
      <c r="A369" s="39">
        <v>45821.351157407407</v>
      </c>
      <c r="B369" t="s">
        <v>223</v>
      </c>
      <c r="C369">
        <v>99</v>
      </c>
      <c r="D369" t="s">
        <v>371</v>
      </c>
      <c r="E369" t="s">
        <v>14</v>
      </c>
      <c r="F369">
        <v>3.0059821652182898E-2</v>
      </c>
      <c r="G369">
        <v>2.4047857321746319E-2</v>
      </c>
      <c r="H369" s="54">
        <v>30337623</v>
      </c>
      <c r="I369" t="s">
        <v>338</v>
      </c>
      <c r="J369" t="s">
        <v>372</v>
      </c>
    </row>
    <row r="370" spans="1:10" x14ac:dyDescent="0.3">
      <c r="A370" s="39">
        <v>45821.351157407407</v>
      </c>
      <c r="B370" t="s">
        <v>223</v>
      </c>
      <c r="C370">
        <v>34</v>
      </c>
      <c r="D370" t="s">
        <v>371</v>
      </c>
      <c r="E370" t="s">
        <v>391</v>
      </c>
      <c r="F370">
        <v>5.8129500000000001E-2</v>
      </c>
      <c r="G370">
        <v>7.376655E-2</v>
      </c>
      <c r="H370" s="54">
        <v>30337623</v>
      </c>
      <c r="I370" t="s">
        <v>391</v>
      </c>
      <c r="J370" t="s">
        <v>373</v>
      </c>
    </row>
    <row r="371" spans="1:10" x14ac:dyDescent="0.3">
      <c r="A371" s="39">
        <v>45821.351157407407</v>
      </c>
      <c r="B371" t="s">
        <v>223</v>
      </c>
      <c r="C371">
        <v>94</v>
      </c>
      <c r="D371" t="s">
        <v>371</v>
      </c>
      <c r="E371" t="s">
        <v>338</v>
      </c>
      <c r="F371">
        <v>0.85324083890781699</v>
      </c>
      <c r="G371">
        <v>0.85925280323825359</v>
      </c>
      <c r="H371" s="54">
        <v>30337623</v>
      </c>
      <c r="I371" t="s">
        <v>338</v>
      </c>
      <c r="J371" t="s">
        <v>373</v>
      </c>
    </row>
    <row r="372" spans="1:10" x14ac:dyDescent="0.3">
      <c r="A372" s="39">
        <v>45821.351157407407</v>
      </c>
      <c r="B372" t="s">
        <v>58</v>
      </c>
      <c r="C372">
        <v>19</v>
      </c>
      <c r="D372" t="s">
        <v>371</v>
      </c>
      <c r="E372" t="s">
        <v>31</v>
      </c>
      <c r="F372">
        <v>4.4510894949405598E-2</v>
      </c>
      <c r="G372">
        <v>4.0059805454465039E-2</v>
      </c>
      <c r="H372" s="54">
        <v>30337623</v>
      </c>
      <c r="I372" t="s">
        <v>391</v>
      </c>
      <c r="J372" t="s">
        <v>372</v>
      </c>
    </row>
    <row r="373" spans="1:10" x14ac:dyDescent="0.3">
      <c r="A373" s="39">
        <v>45821.351157407407</v>
      </c>
      <c r="B373" t="s">
        <v>58</v>
      </c>
      <c r="C373">
        <v>76</v>
      </c>
      <c r="D373" t="s">
        <v>371</v>
      </c>
      <c r="E373" t="s">
        <v>133</v>
      </c>
      <c r="F373">
        <v>0.90110000000000001</v>
      </c>
      <c r="G373">
        <v>0.72088000000000008</v>
      </c>
      <c r="H373" s="54">
        <v>30337623</v>
      </c>
      <c r="I373" t="s">
        <v>422</v>
      </c>
      <c r="J373" t="s">
        <v>372</v>
      </c>
    </row>
    <row r="374" spans="1:10" x14ac:dyDescent="0.3">
      <c r="A374" s="39">
        <v>45821.351157407407</v>
      </c>
      <c r="B374" t="s">
        <v>58</v>
      </c>
      <c r="C374">
        <v>98</v>
      </c>
      <c r="D374" t="s">
        <v>371</v>
      </c>
      <c r="E374" t="s">
        <v>14</v>
      </c>
      <c r="F374">
        <v>1.02971742710473E-2</v>
      </c>
      <c r="G374">
        <v>8.2377394168378412E-3</v>
      </c>
      <c r="H374" s="54">
        <v>30337623</v>
      </c>
      <c r="I374" t="s">
        <v>338</v>
      </c>
      <c r="J374" t="s">
        <v>372</v>
      </c>
    </row>
    <row r="375" spans="1:10" x14ac:dyDescent="0.3">
      <c r="A375" s="39">
        <v>45821.351157407407</v>
      </c>
      <c r="B375" t="s">
        <v>58</v>
      </c>
      <c r="C375">
        <v>34</v>
      </c>
      <c r="D375" t="s">
        <v>371</v>
      </c>
      <c r="E375" t="s">
        <v>391</v>
      </c>
      <c r="F375">
        <v>1.6546574116994402E-2</v>
      </c>
      <c r="G375">
        <v>2.0997663611934961E-2</v>
      </c>
      <c r="H375" s="54">
        <v>30337623</v>
      </c>
      <c r="I375" t="s">
        <v>391</v>
      </c>
      <c r="J375" t="s">
        <v>373</v>
      </c>
    </row>
    <row r="376" spans="1:10" x14ac:dyDescent="0.3">
      <c r="A376" s="39">
        <v>45821.351157407407</v>
      </c>
      <c r="B376" t="s">
        <v>58</v>
      </c>
      <c r="C376">
        <v>104</v>
      </c>
      <c r="D376" t="s">
        <v>392</v>
      </c>
      <c r="E376" t="s">
        <v>422</v>
      </c>
      <c r="G376" t="s">
        <v>422</v>
      </c>
      <c r="H376" s="54">
        <v>30337623</v>
      </c>
      <c r="I376" t="s">
        <v>422</v>
      </c>
      <c r="J376" t="s">
        <v>393</v>
      </c>
    </row>
    <row r="377" spans="1:10" x14ac:dyDescent="0.3">
      <c r="A377" s="39">
        <v>45821.351157407407</v>
      </c>
      <c r="B377" t="s">
        <v>58</v>
      </c>
      <c r="C377">
        <v>104</v>
      </c>
      <c r="D377" t="s">
        <v>371</v>
      </c>
      <c r="E377" t="s">
        <v>422</v>
      </c>
      <c r="F377">
        <v>0</v>
      </c>
      <c r="G377">
        <v>0.18022000000000002</v>
      </c>
      <c r="H377" s="54">
        <v>30337623</v>
      </c>
      <c r="I377" t="s">
        <v>422</v>
      </c>
      <c r="J377" t="s">
        <v>394</v>
      </c>
    </row>
    <row r="378" spans="1:10" x14ac:dyDescent="0.3">
      <c r="A378" s="39">
        <v>45821.351157407407</v>
      </c>
      <c r="B378" t="s">
        <v>58</v>
      </c>
      <c r="C378">
        <v>93</v>
      </c>
      <c r="D378" t="s">
        <v>371</v>
      </c>
      <c r="E378" t="s">
        <v>338</v>
      </c>
      <c r="F378">
        <v>0.29228282572895298</v>
      </c>
      <c r="G378">
        <v>0.29434226058316243</v>
      </c>
      <c r="H378" s="54">
        <v>30337623</v>
      </c>
      <c r="I378" t="s">
        <v>338</v>
      </c>
      <c r="J378" t="s">
        <v>373</v>
      </c>
    </row>
    <row r="379" spans="1:10" x14ac:dyDescent="0.3">
      <c r="A379" s="39">
        <v>45821.351157407407</v>
      </c>
      <c r="B379" t="s">
        <v>217</v>
      </c>
      <c r="C379">
        <v>19</v>
      </c>
      <c r="D379" t="s">
        <v>371</v>
      </c>
      <c r="E379" t="s">
        <v>31</v>
      </c>
      <c r="F379">
        <v>0.231281547424291</v>
      </c>
      <c r="G379">
        <v>0.20815339268186189</v>
      </c>
      <c r="H379" s="54">
        <v>30337623</v>
      </c>
      <c r="I379" t="s">
        <v>391</v>
      </c>
      <c r="J379" t="s">
        <v>372</v>
      </c>
    </row>
    <row r="380" spans="1:10" x14ac:dyDescent="0.3">
      <c r="A380" s="39">
        <v>45821.351157407407</v>
      </c>
      <c r="B380" t="s">
        <v>217</v>
      </c>
      <c r="C380">
        <v>78</v>
      </c>
      <c r="D380" t="s">
        <v>371</v>
      </c>
      <c r="E380" t="s">
        <v>133</v>
      </c>
      <c r="F380">
        <v>0.59399999999999997</v>
      </c>
      <c r="G380">
        <v>0.47520000000000001</v>
      </c>
      <c r="H380" s="54">
        <v>30337623</v>
      </c>
      <c r="I380" t="s">
        <v>422</v>
      </c>
      <c r="J380" t="s">
        <v>372</v>
      </c>
    </row>
    <row r="381" spans="1:10" x14ac:dyDescent="0.3">
      <c r="A381" s="39">
        <v>45821.351168981484</v>
      </c>
      <c r="B381" t="s">
        <v>217</v>
      </c>
      <c r="C381">
        <v>100</v>
      </c>
      <c r="D381" t="s">
        <v>371</v>
      </c>
      <c r="E381" t="s">
        <v>14</v>
      </c>
      <c r="F381">
        <v>1.28638108085659E-2</v>
      </c>
      <c r="G381">
        <v>1.0291048646852721E-2</v>
      </c>
      <c r="H381" s="54">
        <v>30337623</v>
      </c>
      <c r="I381" t="s">
        <v>338</v>
      </c>
      <c r="J381" t="s">
        <v>372</v>
      </c>
    </row>
    <row r="382" spans="1:10" x14ac:dyDescent="0.3">
      <c r="A382" s="39">
        <v>45821.351168981484</v>
      </c>
      <c r="B382" t="s">
        <v>217</v>
      </c>
      <c r="C382">
        <v>34</v>
      </c>
      <c r="D382" t="s">
        <v>371</v>
      </c>
      <c r="E382" t="s">
        <v>391</v>
      </c>
      <c r="F382">
        <v>8.5977091017809107E-2</v>
      </c>
      <c r="G382">
        <v>0.10910524576023821</v>
      </c>
      <c r="H382" s="54">
        <v>30337623</v>
      </c>
      <c r="I382" t="s">
        <v>391</v>
      </c>
      <c r="J382" t="s">
        <v>373</v>
      </c>
    </row>
    <row r="383" spans="1:10" x14ac:dyDescent="0.3">
      <c r="A383" s="39">
        <v>45821.351168981484</v>
      </c>
      <c r="B383" t="s">
        <v>217</v>
      </c>
      <c r="C383">
        <v>106</v>
      </c>
      <c r="D383" t="s">
        <v>392</v>
      </c>
      <c r="E383" t="s">
        <v>422</v>
      </c>
      <c r="G383" t="s">
        <v>422</v>
      </c>
      <c r="H383" s="54">
        <v>30337623</v>
      </c>
      <c r="I383" t="s">
        <v>422</v>
      </c>
      <c r="J383" t="s">
        <v>393</v>
      </c>
    </row>
    <row r="384" spans="1:10" x14ac:dyDescent="0.3">
      <c r="A384" s="39">
        <v>45821.351168981484</v>
      </c>
      <c r="B384" t="s">
        <v>217</v>
      </c>
      <c r="C384">
        <v>106</v>
      </c>
      <c r="D384" t="s">
        <v>371</v>
      </c>
      <c r="E384" t="s">
        <v>422</v>
      </c>
      <c r="F384">
        <v>0</v>
      </c>
      <c r="G384">
        <v>0.1188</v>
      </c>
      <c r="H384" s="54">
        <v>30337623</v>
      </c>
      <c r="I384" t="s">
        <v>422</v>
      </c>
      <c r="J384" t="s">
        <v>394</v>
      </c>
    </row>
    <row r="385" spans="1:10" x14ac:dyDescent="0.3">
      <c r="A385" s="39">
        <v>45821.351168981484</v>
      </c>
      <c r="B385" t="s">
        <v>217</v>
      </c>
      <c r="C385">
        <v>94</v>
      </c>
      <c r="D385" t="s">
        <v>371</v>
      </c>
      <c r="E385" t="s">
        <v>338</v>
      </c>
      <c r="F385">
        <v>0.36513618919143398</v>
      </c>
      <c r="G385">
        <v>0.36770895135314718</v>
      </c>
      <c r="H385" s="54">
        <v>30337623</v>
      </c>
      <c r="I385" t="s">
        <v>338</v>
      </c>
      <c r="J385" t="s">
        <v>373</v>
      </c>
    </row>
    <row r="386" spans="1:10" x14ac:dyDescent="0.3">
      <c r="A386" s="39">
        <v>45821.351168981484</v>
      </c>
      <c r="B386" t="s">
        <v>218</v>
      </c>
      <c r="C386">
        <v>19</v>
      </c>
      <c r="D386" t="s">
        <v>371</v>
      </c>
      <c r="E386" t="s">
        <v>31</v>
      </c>
      <c r="F386">
        <v>0.201937118583915</v>
      </c>
      <c r="G386">
        <v>0.1817434067255235</v>
      </c>
      <c r="H386" s="54">
        <v>30337623</v>
      </c>
      <c r="I386" t="s">
        <v>391</v>
      </c>
      <c r="J386" t="s">
        <v>372</v>
      </c>
    </row>
    <row r="387" spans="1:10" x14ac:dyDescent="0.3">
      <c r="A387" s="39">
        <v>45821.351168981484</v>
      </c>
      <c r="B387" t="s">
        <v>218</v>
      </c>
      <c r="C387">
        <v>99</v>
      </c>
      <c r="D387" t="s">
        <v>371</v>
      </c>
      <c r="E387" t="s">
        <v>14</v>
      </c>
      <c r="F387">
        <v>3.40394853746603E-3</v>
      </c>
      <c r="G387">
        <v>2.7231588299728242E-3</v>
      </c>
      <c r="H387" s="54">
        <v>30337623</v>
      </c>
      <c r="I387" t="s">
        <v>338</v>
      </c>
      <c r="J387" t="s">
        <v>372</v>
      </c>
    </row>
    <row r="388" spans="1:10" x14ac:dyDescent="0.3">
      <c r="A388" s="39">
        <v>45821.351168981484</v>
      </c>
      <c r="B388" t="s">
        <v>218</v>
      </c>
      <c r="C388">
        <v>34</v>
      </c>
      <c r="D388" t="s">
        <v>371</v>
      </c>
      <c r="E388" t="s">
        <v>391</v>
      </c>
      <c r="F388">
        <v>7.5068531051085005E-2</v>
      </c>
      <c r="G388">
        <v>9.5262242909476505E-2</v>
      </c>
      <c r="H388" s="54">
        <v>30337623</v>
      </c>
      <c r="I388" t="s">
        <v>391</v>
      </c>
      <c r="J388" t="s">
        <v>373</v>
      </c>
    </row>
    <row r="389" spans="1:10" x14ac:dyDescent="0.3">
      <c r="A389" s="39">
        <v>45821.351168981484</v>
      </c>
      <c r="B389" t="s">
        <v>218</v>
      </c>
      <c r="C389">
        <v>95</v>
      </c>
      <c r="D389" t="s">
        <v>371</v>
      </c>
      <c r="E389" t="s">
        <v>338</v>
      </c>
      <c r="F389">
        <v>9.6620264062533906E-2</v>
      </c>
      <c r="G389">
        <v>9.730105377002711E-2</v>
      </c>
      <c r="H389" s="54">
        <v>30337623</v>
      </c>
      <c r="I389" t="s">
        <v>338</v>
      </c>
      <c r="J389" t="s">
        <v>373</v>
      </c>
    </row>
    <row r="390" spans="1:10" x14ac:dyDescent="0.3">
      <c r="A390" s="39">
        <v>45821.351168981484</v>
      </c>
      <c r="B390" t="s">
        <v>219</v>
      </c>
      <c r="C390">
        <v>19</v>
      </c>
      <c r="D390" t="s">
        <v>371</v>
      </c>
      <c r="E390" t="s">
        <v>31</v>
      </c>
      <c r="F390">
        <v>4.1799571399188003E-2</v>
      </c>
      <c r="G390">
        <v>3.7619614259269206E-2</v>
      </c>
      <c r="H390" s="54">
        <v>30337623</v>
      </c>
      <c r="I390" t="s">
        <v>391</v>
      </c>
      <c r="J390" t="s">
        <v>372</v>
      </c>
    </row>
    <row r="391" spans="1:10" x14ac:dyDescent="0.3">
      <c r="A391" s="39">
        <v>45821.351168981484</v>
      </c>
      <c r="B391" t="s">
        <v>219</v>
      </c>
      <c r="C391">
        <v>78</v>
      </c>
      <c r="D391" t="s">
        <v>371</v>
      </c>
      <c r="E391" t="s">
        <v>133</v>
      </c>
      <c r="F391">
        <v>0.64649999999999996</v>
      </c>
      <c r="G391">
        <v>0.51719999999999999</v>
      </c>
      <c r="H391" s="54">
        <v>30337623</v>
      </c>
      <c r="I391" t="s">
        <v>422</v>
      </c>
      <c r="J391" t="s">
        <v>372</v>
      </c>
    </row>
    <row r="392" spans="1:10" x14ac:dyDescent="0.3">
      <c r="A392" s="39">
        <v>45821.351168981484</v>
      </c>
      <c r="B392" t="s">
        <v>219</v>
      </c>
      <c r="C392">
        <v>100</v>
      </c>
      <c r="D392" t="s">
        <v>371</v>
      </c>
      <c r="E392" t="s">
        <v>14</v>
      </c>
      <c r="F392">
        <v>2.8520906249849001E-2</v>
      </c>
      <c r="G392">
        <v>2.2816724999879204E-2</v>
      </c>
      <c r="H392" s="54">
        <v>30337623</v>
      </c>
      <c r="I392" t="s">
        <v>338</v>
      </c>
      <c r="J392" t="s">
        <v>372</v>
      </c>
    </row>
    <row r="393" spans="1:10" x14ac:dyDescent="0.3">
      <c r="A393" s="39">
        <v>45821.351168981484</v>
      </c>
      <c r="B393" t="s">
        <v>219</v>
      </c>
      <c r="C393">
        <v>34</v>
      </c>
      <c r="D393" t="s">
        <v>371</v>
      </c>
      <c r="E393" t="s">
        <v>391</v>
      </c>
      <c r="F393">
        <v>1.5538660972812E-2</v>
      </c>
      <c r="G393">
        <v>1.9718618112730801E-2</v>
      </c>
      <c r="H393" s="54">
        <v>30337623</v>
      </c>
      <c r="I393" t="s">
        <v>391</v>
      </c>
      <c r="J393" t="s">
        <v>373</v>
      </c>
    </row>
    <row r="394" spans="1:10" x14ac:dyDescent="0.3">
      <c r="A394" s="39">
        <v>45821.351168981484</v>
      </c>
      <c r="B394" t="s">
        <v>219</v>
      </c>
      <c r="C394">
        <v>106</v>
      </c>
      <c r="D394" t="s">
        <v>392</v>
      </c>
      <c r="E394" t="s">
        <v>422</v>
      </c>
      <c r="G394" t="s">
        <v>422</v>
      </c>
      <c r="H394" s="54">
        <v>30337623</v>
      </c>
      <c r="I394" t="s">
        <v>422</v>
      </c>
      <c r="J394" t="s">
        <v>393</v>
      </c>
    </row>
    <row r="395" spans="1:10" x14ac:dyDescent="0.3">
      <c r="A395" s="39">
        <v>45821.351168981484</v>
      </c>
      <c r="B395" t="s">
        <v>219</v>
      </c>
      <c r="C395">
        <v>106</v>
      </c>
      <c r="D395" t="s">
        <v>371</v>
      </c>
      <c r="E395" t="s">
        <v>422</v>
      </c>
      <c r="F395">
        <v>0</v>
      </c>
      <c r="G395">
        <v>0.1293</v>
      </c>
      <c r="H395" s="54">
        <v>30337623</v>
      </c>
      <c r="I395" t="s">
        <v>422</v>
      </c>
      <c r="J395" t="s">
        <v>394</v>
      </c>
    </row>
    <row r="396" spans="1:10" x14ac:dyDescent="0.3">
      <c r="A396" s="39">
        <v>45821.351168981484</v>
      </c>
      <c r="B396" t="s">
        <v>219</v>
      </c>
      <c r="C396">
        <v>93</v>
      </c>
      <c r="D396" t="s">
        <v>371</v>
      </c>
      <c r="E396" t="s">
        <v>338</v>
      </c>
      <c r="F396">
        <v>0.809559093750151</v>
      </c>
      <c r="G396">
        <v>0.81526327500012086</v>
      </c>
      <c r="H396" s="54">
        <v>30337623</v>
      </c>
      <c r="I396" t="s">
        <v>338</v>
      </c>
      <c r="J396" t="s">
        <v>373</v>
      </c>
    </row>
    <row r="397" spans="1:10" x14ac:dyDescent="0.3">
      <c r="A397" s="39">
        <v>45821.351168981484</v>
      </c>
      <c r="B397" t="s">
        <v>220</v>
      </c>
      <c r="C397">
        <v>19</v>
      </c>
      <c r="D397" t="s">
        <v>371</v>
      </c>
      <c r="E397" t="s">
        <v>31</v>
      </c>
      <c r="F397">
        <v>4.1799571399188003E-2</v>
      </c>
      <c r="G397">
        <v>3.7619614259269206E-2</v>
      </c>
      <c r="H397" s="54">
        <v>30337623</v>
      </c>
      <c r="I397" t="s">
        <v>391</v>
      </c>
      <c r="J397" t="s">
        <v>372</v>
      </c>
    </row>
    <row r="398" spans="1:10" x14ac:dyDescent="0.3">
      <c r="A398" s="39">
        <v>45821.351168981484</v>
      </c>
      <c r="B398" t="s">
        <v>220</v>
      </c>
      <c r="C398">
        <v>78</v>
      </c>
      <c r="D398" t="s">
        <v>371</v>
      </c>
      <c r="E398" t="s">
        <v>133</v>
      </c>
      <c r="F398">
        <v>0.64649999999999996</v>
      </c>
      <c r="G398">
        <v>0.51719999999999999</v>
      </c>
      <c r="H398" s="54">
        <v>30337623</v>
      </c>
      <c r="I398" t="s">
        <v>422</v>
      </c>
      <c r="J398" t="s">
        <v>372</v>
      </c>
    </row>
    <row r="399" spans="1:10" x14ac:dyDescent="0.3">
      <c r="A399" s="39">
        <v>45821.351168981484</v>
      </c>
      <c r="B399" t="s">
        <v>220</v>
      </c>
      <c r="C399">
        <v>100</v>
      </c>
      <c r="D399" t="s">
        <v>371</v>
      </c>
      <c r="E399" t="s">
        <v>14</v>
      </c>
      <c r="F399">
        <v>2.8520906249849001E-2</v>
      </c>
      <c r="G399">
        <v>2.2816724999879204E-2</v>
      </c>
      <c r="H399" s="54">
        <v>30337623</v>
      </c>
      <c r="I399" t="s">
        <v>338</v>
      </c>
      <c r="J399" t="s">
        <v>372</v>
      </c>
    </row>
    <row r="400" spans="1:10" x14ac:dyDescent="0.3">
      <c r="A400" s="39">
        <v>45821.351168981484</v>
      </c>
      <c r="B400" t="s">
        <v>220</v>
      </c>
      <c r="C400">
        <v>34</v>
      </c>
      <c r="D400" t="s">
        <v>371</v>
      </c>
      <c r="E400" t="s">
        <v>391</v>
      </c>
      <c r="F400">
        <v>1.5538660972812E-2</v>
      </c>
      <c r="G400">
        <v>1.9718618112730801E-2</v>
      </c>
      <c r="H400" s="54">
        <v>30337623</v>
      </c>
      <c r="I400" t="s">
        <v>391</v>
      </c>
      <c r="J400" t="s">
        <v>373</v>
      </c>
    </row>
    <row r="401" spans="1:10" x14ac:dyDescent="0.3">
      <c r="A401" s="39">
        <v>45821.351168981484</v>
      </c>
      <c r="B401" t="s">
        <v>220</v>
      </c>
      <c r="C401">
        <v>106</v>
      </c>
      <c r="D401" t="s">
        <v>392</v>
      </c>
      <c r="E401" t="s">
        <v>422</v>
      </c>
      <c r="G401" t="s">
        <v>422</v>
      </c>
      <c r="H401" s="54">
        <v>30337623</v>
      </c>
      <c r="I401" t="s">
        <v>422</v>
      </c>
      <c r="J401" t="s">
        <v>393</v>
      </c>
    </row>
    <row r="402" spans="1:10" x14ac:dyDescent="0.3">
      <c r="A402" s="39">
        <v>45821.351168981484</v>
      </c>
      <c r="B402" t="s">
        <v>220</v>
      </c>
      <c r="C402">
        <v>106</v>
      </c>
      <c r="D402" t="s">
        <v>371</v>
      </c>
      <c r="E402" t="s">
        <v>422</v>
      </c>
      <c r="F402">
        <v>0</v>
      </c>
      <c r="G402">
        <v>0.1293</v>
      </c>
      <c r="H402" s="54">
        <v>30337623</v>
      </c>
      <c r="I402" t="s">
        <v>422</v>
      </c>
      <c r="J402" t="s">
        <v>394</v>
      </c>
    </row>
    <row r="403" spans="1:10" x14ac:dyDescent="0.3">
      <c r="A403" s="39">
        <v>45821.351168981484</v>
      </c>
      <c r="B403" t="s">
        <v>220</v>
      </c>
      <c r="C403">
        <v>93</v>
      </c>
      <c r="D403" t="s">
        <v>371</v>
      </c>
      <c r="E403" t="s">
        <v>338</v>
      </c>
      <c r="F403">
        <v>0.809559093750151</v>
      </c>
      <c r="G403">
        <v>0.81526327500012086</v>
      </c>
      <c r="H403" s="54">
        <v>30337623</v>
      </c>
      <c r="I403" t="s">
        <v>338</v>
      </c>
      <c r="J403" t="s">
        <v>373</v>
      </c>
    </row>
    <row r="404" spans="1:10" x14ac:dyDescent="0.3">
      <c r="A404" s="39">
        <v>45821.357685185183</v>
      </c>
      <c r="B404" t="s">
        <v>223</v>
      </c>
      <c r="C404">
        <v>19</v>
      </c>
      <c r="D404" t="s">
        <v>371</v>
      </c>
      <c r="E404" t="s">
        <v>31</v>
      </c>
      <c r="F404">
        <v>0.14073345000000001</v>
      </c>
      <c r="G404">
        <v>0.12666010500000002</v>
      </c>
      <c r="H404" s="54">
        <v>30900924</v>
      </c>
      <c r="I404" t="s">
        <v>391</v>
      </c>
      <c r="J404" t="s">
        <v>372</v>
      </c>
    </row>
    <row r="405" spans="1:10" x14ac:dyDescent="0.3">
      <c r="A405" s="39">
        <v>45821.357685185183</v>
      </c>
      <c r="B405" t="s">
        <v>223</v>
      </c>
      <c r="C405">
        <v>99</v>
      </c>
      <c r="D405" t="s">
        <v>371</v>
      </c>
      <c r="E405" t="s">
        <v>14</v>
      </c>
      <c r="F405">
        <v>2.4047857321746299E-2</v>
      </c>
      <c r="G405">
        <v>1.923828585739704E-2</v>
      </c>
      <c r="H405" s="54">
        <v>30900924</v>
      </c>
      <c r="I405" t="s">
        <v>338</v>
      </c>
      <c r="J405" t="s">
        <v>372</v>
      </c>
    </row>
    <row r="406" spans="1:10" x14ac:dyDescent="0.3">
      <c r="A406" s="39">
        <v>45821.357685185183</v>
      </c>
      <c r="B406" t="s">
        <v>223</v>
      </c>
      <c r="C406">
        <v>34</v>
      </c>
      <c r="D406" t="s">
        <v>371</v>
      </c>
      <c r="E406" t="s">
        <v>391</v>
      </c>
      <c r="F406">
        <v>7.376655E-2</v>
      </c>
      <c r="G406">
        <v>8.7839895000000001E-2</v>
      </c>
      <c r="H406" s="54">
        <v>30900924</v>
      </c>
      <c r="I406" t="s">
        <v>391</v>
      </c>
      <c r="J406" t="s">
        <v>373</v>
      </c>
    </row>
    <row r="407" spans="1:10" x14ac:dyDescent="0.3">
      <c r="A407" s="39">
        <v>45821.357685185183</v>
      </c>
      <c r="B407" t="s">
        <v>223</v>
      </c>
      <c r="C407">
        <v>94</v>
      </c>
      <c r="D407" t="s">
        <v>371</v>
      </c>
      <c r="E407" t="s">
        <v>338</v>
      </c>
      <c r="F407">
        <v>0.85925280323825404</v>
      </c>
      <c r="G407">
        <v>0.86406237470260328</v>
      </c>
      <c r="H407" s="54">
        <v>30900924</v>
      </c>
      <c r="I407" t="s">
        <v>338</v>
      </c>
      <c r="J407" t="s">
        <v>373</v>
      </c>
    </row>
    <row r="408" spans="1:10" x14ac:dyDescent="0.3">
      <c r="A408" s="39">
        <v>45821.357685185183</v>
      </c>
      <c r="B408" t="s">
        <v>58</v>
      </c>
      <c r="C408">
        <v>19</v>
      </c>
      <c r="D408" t="s">
        <v>371</v>
      </c>
      <c r="E408" t="s">
        <v>31</v>
      </c>
      <c r="F408">
        <v>4.0059805454464997E-2</v>
      </c>
      <c r="G408">
        <v>3.6053824909018498E-2</v>
      </c>
      <c r="H408" s="54">
        <v>30900924</v>
      </c>
      <c r="I408" t="s">
        <v>391</v>
      </c>
      <c r="J408" t="s">
        <v>372</v>
      </c>
    </row>
    <row r="409" spans="1:10" x14ac:dyDescent="0.3">
      <c r="A409" s="39">
        <v>45821.357685185183</v>
      </c>
      <c r="B409" t="s">
        <v>58</v>
      </c>
      <c r="C409">
        <v>76</v>
      </c>
      <c r="D409" t="s">
        <v>371</v>
      </c>
      <c r="E409" t="s">
        <v>133</v>
      </c>
      <c r="F409">
        <v>0.72087999999999997</v>
      </c>
      <c r="G409">
        <v>0.57670399999999999</v>
      </c>
      <c r="H409" s="54">
        <v>30900924</v>
      </c>
      <c r="I409" t="s">
        <v>422</v>
      </c>
      <c r="J409" t="s">
        <v>372</v>
      </c>
    </row>
    <row r="410" spans="1:10" x14ac:dyDescent="0.3">
      <c r="A410" s="39">
        <v>45821.357685185183</v>
      </c>
      <c r="B410" t="s">
        <v>58</v>
      </c>
      <c r="C410">
        <v>98</v>
      </c>
      <c r="D410" t="s">
        <v>371</v>
      </c>
      <c r="E410" t="s">
        <v>14</v>
      </c>
      <c r="F410">
        <v>8.2377394168378394E-3</v>
      </c>
      <c r="G410">
        <v>6.5901915334702719E-3</v>
      </c>
      <c r="H410" s="54">
        <v>30900924</v>
      </c>
      <c r="I410" t="s">
        <v>338</v>
      </c>
      <c r="J410" t="s">
        <v>372</v>
      </c>
    </row>
    <row r="411" spans="1:10" x14ac:dyDescent="0.3">
      <c r="A411" s="39">
        <v>45821.357685185183</v>
      </c>
      <c r="B411" t="s">
        <v>58</v>
      </c>
      <c r="C411">
        <v>34</v>
      </c>
      <c r="D411" t="s">
        <v>371</v>
      </c>
      <c r="E411" t="s">
        <v>391</v>
      </c>
      <c r="F411">
        <v>2.0997663611934999E-2</v>
      </c>
      <c r="G411">
        <v>2.5003644157381499E-2</v>
      </c>
      <c r="H411" s="54">
        <v>30900924</v>
      </c>
      <c r="I411" t="s">
        <v>391</v>
      </c>
      <c r="J411" t="s">
        <v>373</v>
      </c>
    </row>
    <row r="412" spans="1:10" x14ac:dyDescent="0.3">
      <c r="A412" s="39">
        <v>45821.357685185183</v>
      </c>
      <c r="B412" t="s">
        <v>58</v>
      </c>
      <c r="C412">
        <v>104</v>
      </c>
      <c r="D412" t="s">
        <v>371</v>
      </c>
      <c r="E412" t="s">
        <v>422</v>
      </c>
      <c r="F412">
        <v>0.18021999999999999</v>
      </c>
      <c r="G412">
        <v>0.32439600000000002</v>
      </c>
      <c r="H412" s="54">
        <v>30900924</v>
      </c>
      <c r="I412" t="s">
        <v>422</v>
      </c>
      <c r="J412" t="s">
        <v>373</v>
      </c>
    </row>
    <row r="413" spans="1:10" x14ac:dyDescent="0.3">
      <c r="A413" s="39">
        <v>45821.357685185183</v>
      </c>
      <c r="B413" t="s">
        <v>58</v>
      </c>
      <c r="C413">
        <v>93</v>
      </c>
      <c r="D413" t="s">
        <v>371</v>
      </c>
      <c r="E413" t="s">
        <v>338</v>
      </c>
      <c r="F413">
        <v>0.29434226058316199</v>
      </c>
      <c r="G413">
        <v>0.29598980846652956</v>
      </c>
      <c r="H413" s="54">
        <v>30900924</v>
      </c>
      <c r="I413" t="s">
        <v>338</v>
      </c>
      <c r="J413" t="s">
        <v>373</v>
      </c>
    </row>
    <row r="414" spans="1:10" x14ac:dyDescent="0.3">
      <c r="A414" s="39">
        <v>45821.357685185183</v>
      </c>
      <c r="B414" t="s">
        <v>217</v>
      </c>
      <c r="C414">
        <v>19</v>
      </c>
      <c r="D414" t="s">
        <v>371</v>
      </c>
      <c r="E414" t="s">
        <v>31</v>
      </c>
      <c r="F414">
        <v>0.208153392681862</v>
      </c>
      <c r="G414">
        <v>0.18733805341367582</v>
      </c>
      <c r="H414" s="54">
        <v>30900924</v>
      </c>
      <c r="I414" t="s">
        <v>391</v>
      </c>
      <c r="J414" t="s">
        <v>372</v>
      </c>
    </row>
    <row r="415" spans="1:10" x14ac:dyDescent="0.3">
      <c r="A415" s="39">
        <v>45821.357685185183</v>
      </c>
      <c r="B415" t="s">
        <v>217</v>
      </c>
      <c r="C415">
        <v>78</v>
      </c>
      <c r="D415" t="s">
        <v>371</v>
      </c>
      <c r="E415" t="s">
        <v>133</v>
      </c>
      <c r="F415">
        <v>0.47520000000000001</v>
      </c>
      <c r="G415">
        <v>0.38016000000000005</v>
      </c>
      <c r="H415" s="54">
        <v>30900924</v>
      </c>
      <c r="I415" t="s">
        <v>422</v>
      </c>
      <c r="J415" t="s">
        <v>372</v>
      </c>
    </row>
    <row r="416" spans="1:10" x14ac:dyDescent="0.3">
      <c r="A416" s="39">
        <v>45821.357685185183</v>
      </c>
      <c r="B416" t="s">
        <v>217</v>
      </c>
      <c r="C416">
        <v>100</v>
      </c>
      <c r="D416" t="s">
        <v>371</v>
      </c>
      <c r="E416" t="s">
        <v>14</v>
      </c>
      <c r="F416">
        <v>1.02910486468527E-2</v>
      </c>
      <c r="G416">
        <v>8.2328389174821607E-3</v>
      </c>
      <c r="H416" s="54">
        <v>30900924</v>
      </c>
      <c r="I416" t="s">
        <v>338</v>
      </c>
      <c r="J416" t="s">
        <v>372</v>
      </c>
    </row>
    <row r="417" spans="1:10" x14ac:dyDescent="0.3">
      <c r="A417" s="39">
        <v>45821.357685185183</v>
      </c>
      <c r="B417" t="s">
        <v>217</v>
      </c>
      <c r="C417">
        <v>34</v>
      </c>
      <c r="D417" t="s">
        <v>371</v>
      </c>
      <c r="E417" t="s">
        <v>391</v>
      </c>
      <c r="F417">
        <v>0.109105245760238</v>
      </c>
      <c r="G417">
        <v>0.12992058502842421</v>
      </c>
      <c r="H417" s="54">
        <v>30900924</v>
      </c>
      <c r="I417" t="s">
        <v>391</v>
      </c>
      <c r="J417" t="s">
        <v>373</v>
      </c>
    </row>
    <row r="418" spans="1:10" x14ac:dyDescent="0.3">
      <c r="A418" s="39">
        <v>45821.357685185183</v>
      </c>
      <c r="B418" t="s">
        <v>217</v>
      </c>
      <c r="C418">
        <v>106</v>
      </c>
      <c r="D418" t="s">
        <v>371</v>
      </c>
      <c r="E418" t="s">
        <v>422</v>
      </c>
      <c r="F418">
        <v>0.1188</v>
      </c>
      <c r="G418">
        <v>0.21384000000000003</v>
      </c>
      <c r="H418" s="54">
        <v>30900924</v>
      </c>
      <c r="I418" t="s">
        <v>422</v>
      </c>
      <c r="J418" t="s">
        <v>373</v>
      </c>
    </row>
    <row r="419" spans="1:10" x14ac:dyDescent="0.3">
      <c r="A419" s="39">
        <v>45821.357685185183</v>
      </c>
      <c r="B419" t="s">
        <v>217</v>
      </c>
      <c r="C419">
        <v>94</v>
      </c>
      <c r="D419" t="s">
        <v>371</v>
      </c>
      <c r="E419" t="s">
        <v>338</v>
      </c>
      <c r="F419">
        <v>0.36770895135314702</v>
      </c>
      <c r="G419">
        <v>0.36976716108251756</v>
      </c>
      <c r="H419" s="54">
        <v>30900924</v>
      </c>
      <c r="I419" t="s">
        <v>338</v>
      </c>
      <c r="J419" t="s">
        <v>373</v>
      </c>
    </row>
    <row r="420" spans="1:10" x14ac:dyDescent="0.3">
      <c r="A420" s="39">
        <v>45821.357685185183</v>
      </c>
      <c r="B420" t="s">
        <v>218</v>
      </c>
      <c r="C420">
        <v>19</v>
      </c>
      <c r="D420" t="s">
        <v>371</v>
      </c>
      <c r="E420" t="s">
        <v>31</v>
      </c>
      <c r="F420">
        <v>0.181743406725523</v>
      </c>
      <c r="G420">
        <v>0.1635690660529707</v>
      </c>
      <c r="H420" s="54">
        <v>30900924</v>
      </c>
      <c r="I420" t="s">
        <v>391</v>
      </c>
      <c r="J420" t="s">
        <v>372</v>
      </c>
    </row>
    <row r="421" spans="1:10" x14ac:dyDescent="0.3">
      <c r="A421" s="39">
        <v>45821.357685185183</v>
      </c>
      <c r="B421" t="s">
        <v>218</v>
      </c>
      <c r="C421">
        <v>99</v>
      </c>
      <c r="D421" t="s">
        <v>371</v>
      </c>
      <c r="E421" t="s">
        <v>14</v>
      </c>
      <c r="F421">
        <v>2.7231588299728199E-3</v>
      </c>
      <c r="G421">
        <v>2.1785270639782558E-3</v>
      </c>
      <c r="H421" s="54">
        <v>30900924</v>
      </c>
      <c r="I421" t="s">
        <v>338</v>
      </c>
      <c r="J421" t="s">
        <v>372</v>
      </c>
    </row>
    <row r="422" spans="1:10" x14ac:dyDescent="0.3">
      <c r="A422" s="39">
        <v>45821.357685185183</v>
      </c>
      <c r="B422" t="s">
        <v>218</v>
      </c>
      <c r="C422">
        <v>34</v>
      </c>
      <c r="D422" t="s">
        <v>371</v>
      </c>
      <c r="E422" t="s">
        <v>391</v>
      </c>
      <c r="F422">
        <v>9.5262242909476505E-2</v>
      </c>
      <c r="G422">
        <v>0.11343658358202881</v>
      </c>
      <c r="H422" s="54">
        <v>30900924</v>
      </c>
      <c r="I422" t="s">
        <v>391</v>
      </c>
      <c r="J422" t="s">
        <v>373</v>
      </c>
    </row>
    <row r="423" spans="1:10" x14ac:dyDescent="0.3">
      <c r="A423" s="39">
        <v>45821.357685185183</v>
      </c>
      <c r="B423" t="s">
        <v>218</v>
      </c>
      <c r="C423">
        <v>95</v>
      </c>
      <c r="D423" t="s">
        <v>371</v>
      </c>
      <c r="E423" t="s">
        <v>338</v>
      </c>
      <c r="F423">
        <v>9.7301053770027096E-2</v>
      </c>
      <c r="G423">
        <v>9.7845685536021659E-2</v>
      </c>
      <c r="H423" s="54">
        <v>30900924</v>
      </c>
      <c r="I423" t="s">
        <v>338</v>
      </c>
      <c r="J423" t="s">
        <v>373</v>
      </c>
    </row>
    <row r="424" spans="1:10" x14ac:dyDescent="0.3">
      <c r="A424" s="39">
        <v>45821.357685185183</v>
      </c>
      <c r="B424" t="s">
        <v>219</v>
      </c>
      <c r="C424">
        <v>19</v>
      </c>
      <c r="D424" t="s">
        <v>371</v>
      </c>
      <c r="E424" t="s">
        <v>31</v>
      </c>
      <c r="F424">
        <v>3.7619614259269199E-2</v>
      </c>
      <c r="G424">
        <v>3.3857652833342279E-2</v>
      </c>
      <c r="H424" s="54">
        <v>30900924</v>
      </c>
      <c r="I424" t="s">
        <v>391</v>
      </c>
      <c r="J424" t="s">
        <v>372</v>
      </c>
    </row>
    <row r="425" spans="1:10" x14ac:dyDescent="0.3">
      <c r="A425" s="39">
        <v>45821.357685185183</v>
      </c>
      <c r="B425" t="s">
        <v>219</v>
      </c>
      <c r="C425">
        <v>78</v>
      </c>
      <c r="D425" t="s">
        <v>371</v>
      </c>
      <c r="E425" t="s">
        <v>133</v>
      </c>
      <c r="F425">
        <v>0.51719999999999999</v>
      </c>
      <c r="G425">
        <v>0.41376000000000002</v>
      </c>
      <c r="H425" s="54">
        <v>30900924</v>
      </c>
      <c r="I425" t="s">
        <v>422</v>
      </c>
      <c r="J425" t="s">
        <v>372</v>
      </c>
    </row>
    <row r="426" spans="1:10" x14ac:dyDescent="0.3">
      <c r="A426" s="39">
        <v>45821.357685185183</v>
      </c>
      <c r="B426" t="s">
        <v>219</v>
      </c>
      <c r="C426">
        <v>100</v>
      </c>
      <c r="D426" t="s">
        <v>371</v>
      </c>
      <c r="E426" t="s">
        <v>14</v>
      </c>
      <c r="F426">
        <v>2.28167249998792E-2</v>
      </c>
      <c r="G426">
        <v>1.8253379999903362E-2</v>
      </c>
      <c r="H426" s="54">
        <v>30900924</v>
      </c>
      <c r="I426" t="s">
        <v>338</v>
      </c>
      <c r="J426" t="s">
        <v>372</v>
      </c>
    </row>
    <row r="427" spans="1:10" x14ac:dyDescent="0.3">
      <c r="A427" s="39">
        <v>45821.357685185183</v>
      </c>
      <c r="B427" t="s">
        <v>219</v>
      </c>
      <c r="C427">
        <v>34</v>
      </c>
      <c r="D427" t="s">
        <v>371</v>
      </c>
      <c r="E427" t="s">
        <v>391</v>
      </c>
      <c r="F427">
        <v>1.9718618112730801E-2</v>
      </c>
      <c r="G427">
        <v>2.3480579538657721E-2</v>
      </c>
      <c r="H427" s="54">
        <v>30900924</v>
      </c>
      <c r="I427" t="s">
        <v>391</v>
      </c>
      <c r="J427" t="s">
        <v>373</v>
      </c>
    </row>
    <row r="428" spans="1:10" x14ac:dyDescent="0.3">
      <c r="A428" s="39">
        <v>45821.357685185183</v>
      </c>
      <c r="B428" t="s">
        <v>219</v>
      </c>
      <c r="C428">
        <v>106</v>
      </c>
      <c r="D428" t="s">
        <v>371</v>
      </c>
      <c r="E428" t="s">
        <v>422</v>
      </c>
      <c r="F428">
        <v>0.1293</v>
      </c>
      <c r="G428">
        <v>0.23274</v>
      </c>
      <c r="H428" s="54">
        <v>30900924</v>
      </c>
      <c r="I428" t="s">
        <v>422</v>
      </c>
      <c r="J428" t="s">
        <v>373</v>
      </c>
    </row>
    <row r="429" spans="1:10" x14ac:dyDescent="0.3">
      <c r="A429" s="39">
        <v>45821.357685185183</v>
      </c>
      <c r="B429" t="s">
        <v>219</v>
      </c>
      <c r="C429">
        <v>93</v>
      </c>
      <c r="D429" t="s">
        <v>371</v>
      </c>
      <c r="E429" t="s">
        <v>338</v>
      </c>
      <c r="F429">
        <v>0.81526327500012097</v>
      </c>
      <c r="G429">
        <v>0.81982662000009676</v>
      </c>
      <c r="H429" s="54">
        <v>30900924</v>
      </c>
      <c r="I429" t="s">
        <v>338</v>
      </c>
      <c r="J429" t="s">
        <v>373</v>
      </c>
    </row>
    <row r="430" spans="1:10" x14ac:dyDescent="0.3">
      <c r="A430" s="39">
        <v>45821.357685185183</v>
      </c>
      <c r="B430" t="s">
        <v>220</v>
      </c>
      <c r="C430">
        <v>19</v>
      </c>
      <c r="D430" t="s">
        <v>371</v>
      </c>
      <c r="E430" t="s">
        <v>31</v>
      </c>
      <c r="F430">
        <v>3.7619614259269199E-2</v>
      </c>
      <c r="G430">
        <v>3.3857652833342279E-2</v>
      </c>
      <c r="H430" s="54">
        <v>30900924</v>
      </c>
      <c r="I430" t="s">
        <v>391</v>
      </c>
      <c r="J430" t="s">
        <v>372</v>
      </c>
    </row>
    <row r="431" spans="1:10" x14ac:dyDescent="0.3">
      <c r="A431" s="39">
        <v>45821.357685185183</v>
      </c>
      <c r="B431" t="s">
        <v>220</v>
      </c>
      <c r="C431">
        <v>78</v>
      </c>
      <c r="D431" t="s">
        <v>371</v>
      </c>
      <c r="E431" t="s">
        <v>133</v>
      </c>
      <c r="F431">
        <v>0.51719999999999999</v>
      </c>
      <c r="G431">
        <v>0.41376000000000002</v>
      </c>
      <c r="H431" s="54">
        <v>30900924</v>
      </c>
      <c r="I431" t="s">
        <v>422</v>
      </c>
      <c r="J431" t="s">
        <v>372</v>
      </c>
    </row>
    <row r="432" spans="1:10" x14ac:dyDescent="0.3">
      <c r="A432" s="39">
        <v>45821.357685185183</v>
      </c>
      <c r="B432" t="s">
        <v>220</v>
      </c>
      <c r="C432">
        <v>100</v>
      </c>
      <c r="D432" t="s">
        <v>371</v>
      </c>
      <c r="E432" t="s">
        <v>14</v>
      </c>
      <c r="F432">
        <v>2.28167249998792E-2</v>
      </c>
      <c r="G432">
        <v>1.8253379999903362E-2</v>
      </c>
      <c r="H432" s="54">
        <v>30900924</v>
      </c>
      <c r="I432" t="s">
        <v>338</v>
      </c>
      <c r="J432" t="s">
        <v>372</v>
      </c>
    </row>
    <row r="433" spans="1:10" x14ac:dyDescent="0.3">
      <c r="A433" s="39">
        <v>45821.357685185183</v>
      </c>
      <c r="B433" t="s">
        <v>220</v>
      </c>
      <c r="C433">
        <v>34</v>
      </c>
      <c r="D433" t="s">
        <v>371</v>
      </c>
      <c r="E433" t="s">
        <v>391</v>
      </c>
      <c r="F433">
        <v>1.9718618112730801E-2</v>
      </c>
      <c r="G433">
        <v>2.3480579538657721E-2</v>
      </c>
      <c r="H433" s="54">
        <v>30900924</v>
      </c>
      <c r="I433" t="s">
        <v>391</v>
      </c>
      <c r="J433" t="s">
        <v>373</v>
      </c>
    </row>
    <row r="434" spans="1:10" x14ac:dyDescent="0.3">
      <c r="A434" s="39">
        <v>45821.357685185183</v>
      </c>
      <c r="B434" t="s">
        <v>220</v>
      </c>
      <c r="C434">
        <v>106</v>
      </c>
      <c r="D434" t="s">
        <v>371</v>
      </c>
      <c r="E434" t="s">
        <v>422</v>
      </c>
      <c r="F434">
        <v>0.1293</v>
      </c>
      <c r="G434">
        <v>0.23274</v>
      </c>
      <c r="H434" s="54">
        <v>30900924</v>
      </c>
      <c r="I434" t="s">
        <v>422</v>
      </c>
      <c r="J434" t="s">
        <v>373</v>
      </c>
    </row>
    <row r="435" spans="1:10" x14ac:dyDescent="0.3">
      <c r="A435" s="39">
        <v>45821.357685185183</v>
      </c>
      <c r="B435" t="s">
        <v>220</v>
      </c>
      <c r="C435">
        <v>93</v>
      </c>
      <c r="D435" t="s">
        <v>371</v>
      </c>
      <c r="E435" t="s">
        <v>338</v>
      </c>
      <c r="F435">
        <v>0.81526327500012097</v>
      </c>
      <c r="G435">
        <v>0.81982662000009676</v>
      </c>
      <c r="H435" s="54">
        <v>30900924</v>
      </c>
      <c r="I435" t="s">
        <v>338</v>
      </c>
      <c r="J435" t="s">
        <v>373</v>
      </c>
    </row>
    <row r="436" spans="1:10" x14ac:dyDescent="0.3">
      <c r="A436" s="39">
        <v>45821.41547453704</v>
      </c>
      <c r="B436" t="s">
        <v>58</v>
      </c>
      <c r="C436">
        <v>15</v>
      </c>
      <c r="D436" t="s">
        <v>371</v>
      </c>
      <c r="E436" t="s">
        <v>87</v>
      </c>
      <c r="F436">
        <v>0.7419</v>
      </c>
      <c r="G436">
        <v>0.66771000000000003</v>
      </c>
      <c r="H436" s="54">
        <v>35891809</v>
      </c>
      <c r="I436" t="s">
        <v>427</v>
      </c>
      <c r="J436" t="s">
        <v>372</v>
      </c>
    </row>
    <row r="437" spans="1:10" x14ac:dyDescent="0.3">
      <c r="A437" s="39">
        <v>45821.41547453704</v>
      </c>
      <c r="B437" t="s">
        <v>58</v>
      </c>
      <c r="C437">
        <v>34</v>
      </c>
      <c r="D437" t="s">
        <v>392</v>
      </c>
      <c r="E437" t="s">
        <v>427</v>
      </c>
      <c r="G437" t="s">
        <v>427</v>
      </c>
      <c r="H437" s="54">
        <v>35891809</v>
      </c>
      <c r="I437" t="s">
        <v>427</v>
      </c>
      <c r="J437" t="s">
        <v>393</v>
      </c>
    </row>
    <row r="438" spans="1:10" x14ac:dyDescent="0.3">
      <c r="A438" s="39">
        <v>45821.41547453704</v>
      </c>
      <c r="B438" t="s">
        <v>58</v>
      </c>
      <c r="C438">
        <v>34</v>
      </c>
      <c r="D438" t="s">
        <v>371</v>
      </c>
      <c r="E438" t="s">
        <v>427</v>
      </c>
      <c r="F438">
        <v>0</v>
      </c>
      <c r="G438">
        <v>7.4190000000000006E-2</v>
      </c>
      <c r="H438" s="54">
        <v>35891809</v>
      </c>
      <c r="I438" t="s">
        <v>427</v>
      </c>
      <c r="J438" t="s">
        <v>394</v>
      </c>
    </row>
    <row r="439" spans="1:10" x14ac:dyDescent="0.3">
      <c r="A439" s="39">
        <v>45821.41547453704</v>
      </c>
      <c r="B439" t="s">
        <v>217</v>
      </c>
      <c r="C439">
        <v>15</v>
      </c>
      <c r="D439" t="s">
        <v>371</v>
      </c>
      <c r="E439" t="s">
        <v>87</v>
      </c>
      <c r="F439">
        <v>0.2051</v>
      </c>
      <c r="G439">
        <v>0.18459</v>
      </c>
      <c r="H439" s="54">
        <v>35891809</v>
      </c>
      <c r="I439" t="s">
        <v>427</v>
      </c>
      <c r="J439" t="s">
        <v>372</v>
      </c>
    </row>
    <row r="440" spans="1:10" x14ac:dyDescent="0.3">
      <c r="A440" s="39">
        <v>45821.41547453704</v>
      </c>
      <c r="B440" t="s">
        <v>217</v>
      </c>
      <c r="C440">
        <v>34</v>
      </c>
      <c r="D440" t="s">
        <v>392</v>
      </c>
      <c r="E440" t="s">
        <v>427</v>
      </c>
      <c r="G440" t="s">
        <v>427</v>
      </c>
      <c r="H440" s="54">
        <v>35891809</v>
      </c>
      <c r="I440" t="s">
        <v>427</v>
      </c>
      <c r="J440" t="s">
        <v>393</v>
      </c>
    </row>
    <row r="441" spans="1:10" x14ac:dyDescent="0.3">
      <c r="A441" s="39">
        <v>45821.41547453704</v>
      </c>
      <c r="B441" t="s">
        <v>217</v>
      </c>
      <c r="C441">
        <v>34</v>
      </c>
      <c r="D441" t="s">
        <v>371</v>
      </c>
      <c r="E441" t="s">
        <v>427</v>
      </c>
      <c r="F441">
        <v>0</v>
      </c>
      <c r="G441">
        <v>2.051E-2</v>
      </c>
      <c r="H441" s="54">
        <v>35891809</v>
      </c>
      <c r="I441" t="s">
        <v>427</v>
      </c>
      <c r="J441" t="s">
        <v>394</v>
      </c>
    </row>
    <row r="442" spans="1:10" x14ac:dyDescent="0.3">
      <c r="A442" s="39">
        <v>45821.41547453704</v>
      </c>
      <c r="B442" t="s">
        <v>219</v>
      </c>
      <c r="C442">
        <v>15</v>
      </c>
      <c r="D442" t="s">
        <v>371</v>
      </c>
      <c r="E442" t="s">
        <v>87</v>
      </c>
      <c r="F442">
        <v>0.55889999999999995</v>
      </c>
      <c r="G442">
        <v>0.50300999999999996</v>
      </c>
      <c r="H442" s="54">
        <v>35891809</v>
      </c>
      <c r="I442" t="s">
        <v>427</v>
      </c>
      <c r="J442" t="s">
        <v>372</v>
      </c>
    </row>
    <row r="443" spans="1:10" x14ac:dyDescent="0.3">
      <c r="A443" s="39">
        <v>45821.41547453704</v>
      </c>
      <c r="B443" t="s">
        <v>219</v>
      </c>
      <c r="C443">
        <v>34</v>
      </c>
      <c r="D443" t="s">
        <v>392</v>
      </c>
      <c r="E443" t="s">
        <v>427</v>
      </c>
      <c r="G443" t="s">
        <v>427</v>
      </c>
      <c r="H443" s="54">
        <v>35891809</v>
      </c>
      <c r="I443" t="s">
        <v>427</v>
      </c>
      <c r="J443" t="s">
        <v>393</v>
      </c>
    </row>
    <row r="444" spans="1:10" x14ac:dyDescent="0.3">
      <c r="A444" s="39">
        <v>45821.41547453704</v>
      </c>
      <c r="B444" t="s">
        <v>219</v>
      </c>
      <c r="C444">
        <v>34</v>
      </c>
      <c r="D444" t="s">
        <v>371</v>
      </c>
      <c r="E444" t="s">
        <v>427</v>
      </c>
      <c r="F444">
        <v>0</v>
      </c>
      <c r="G444">
        <v>5.5889999999999995E-2</v>
      </c>
      <c r="H444" s="54">
        <v>35891809</v>
      </c>
      <c r="I444" t="s">
        <v>427</v>
      </c>
      <c r="J444" t="s">
        <v>394</v>
      </c>
    </row>
    <row r="445" spans="1:10" x14ac:dyDescent="0.3">
      <c r="A445" s="39">
        <v>45821.41547453704</v>
      </c>
      <c r="B445" t="s">
        <v>220</v>
      </c>
      <c r="C445">
        <v>15</v>
      </c>
      <c r="D445" t="s">
        <v>371</v>
      </c>
      <c r="E445" t="s">
        <v>87</v>
      </c>
      <c r="F445">
        <v>0.55889999999999995</v>
      </c>
      <c r="G445">
        <v>0.50300999999999996</v>
      </c>
      <c r="H445" s="54">
        <v>35891809</v>
      </c>
      <c r="I445" t="s">
        <v>427</v>
      </c>
      <c r="J445" t="s">
        <v>372</v>
      </c>
    </row>
    <row r="446" spans="1:10" x14ac:dyDescent="0.3">
      <c r="A446" s="39">
        <v>45821.41547453704</v>
      </c>
      <c r="B446" t="s">
        <v>220</v>
      </c>
      <c r="C446">
        <v>34</v>
      </c>
      <c r="D446" t="s">
        <v>392</v>
      </c>
      <c r="E446" t="s">
        <v>427</v>
      </c>
      <c r="G446" t="s">
        <v>427</v>
      </c>
      <c r="H446" s="54">
        <v>35891809</v>
      </c>
      <c r="I446" t="s">
        <v>427</v>
      </c>
      <c r="J446" t="s">
        <v>393</v>
      </c>
    </row>
    <row r="447" spans="1:10" x14ac:dyDescent="0.3">
      <c r="A447" s="39">
        <v>45821.41547453704</v>
      </c>
      <c r="B447" t="s">
        <v>220</v>
      </c>
      <c r="C447">
        <v>34</v>
      </c>
      <c r="D447" t="s">
        <v>371</v>
      </c>
      <c r="E447" t="s">
        <v>427</v>
      </c>
      <c r="F447">
        <v>0</v>
      </c>
      <c r="G447">
        <v>5.5889999999999995E-2</v>
      </c>
      <c r="H447" s="54">
        <v>35891809</v>
      </c>
      <c r="I447" t="s">
        <v>427</v>
      </c>
      <c r="J447" t="s">
        <v>394</v>
      </c>
    </row>
    <row r="448" spans="1:10" x14ac:dyDescent="0.3">
      <c r="A448" s="39">
        <v>45823.681608796294</v>
      </c>
      <c r="B448" t="s">
        <v>223</v>
      </c>
      <c r="C448">
        <v>7</v>
      </c>
      <c r="D448" t="s">
        <v>371</v>
      </c>
      <c r="E448" t="s">
        <v>87</v>
      </c>
      <c r="F448">
        <v>0.55889999999999995</v>
      </c>
      <c r="G448">
        <v>0.27944999999999998</v>
      </c>
      <c r="H448" s="54">
        <v>58886039</v>
      </c>
      <c r="I448" t="s">
        <v>427</v>
      </c>
      <c r="J448" t="s">
        <v>372</v>
      </c>
    </row>
    <row r="449" spans="1:10" x14ac:dyDescent="0.3">
      <c r="A449" s="39">
        <v>45823.681620370371</v>
      </c>
      <c r="B449" t="s">
        <v>223</v>
      </c>
      <c r="C449">
        <v>10</v>
      </c>
      <c r="D449" t="s">
        <v>371</v>
      </c>
      <c r="E449" t="s">
        <v>13</v>
      </c>
      <c r="F449">
        <v>0.73429999999999995</v>
      </c>
      <c r="G449">
        <v>0.36714999999999998</v>
      </c>
      <c r="H449" s="54">
        <v>58886039</v>
      </c>
      <c r="I449" t="s">
        <v>336</v>
      </c>
      <c r="J449" t="s">
        <v>372</v>
      </c>
    </row>
    <row r="450" spans="1:10" x14ac:dyDescent="0.3">
      <c r="A450" s="39">
        <v>45823.681620370371</v>
      </c>
      <c r="B450" t="s">
        <v>223</v>
      </c>
      <c r="C450">
        <v>77</v>
      </c>
      <c r="D450" t="s">
        <v>371</v>
      </c>
      <c r="E450" t="s">
        <v>38</v>
      </c>
      <c r="F450">
        <v>1.129375E-2</v>
      </c>
      <c r="G450">
        <v>5.646875E-3</v>
      </c>
      <c r="H450" s="54">
        <v>58886039</v>
      </c>
      <c r="I450" t="s">
        <v>438</v>
      </c>
      <c r="J450" t="s">
        <v>372</v>
      </c>
    </row>
    <row r="451" spans="1:10" x14ac:dyDescent="0.3">
      <c r="A451" s="39">
        <v>45823.681620370371</v>
      </c>
      <c r="B451" t="s">
        <v>223</v>
      </c>
      <c r="C451">
        <v>34</v>
      </c>
      <c r="D451" t="s">
        <v>392</v>
      </c>
      <c r="E451" t="s">
        <v>427</v>
      </c>
      <c r="G451" t="s">
        <v>427</v>
      </c>
      <c r="H451" s="54">
        <v>58886039</v>
      </c>
      <c r="I451" t="s">
        <v>427</v>
      </c>
      <c r="J451" t="s">
        <v>393</v>
      </c>
    </row>
    <row r="452" spans="1:10" x14ac:dyDescent="0.3">
      <c r="A452" s="39">
        <v>45823.681631944448</v>
      </c>
      <c r="B452" t="s">
        <v>223</v>
      </c>
      <c r="C452">
        <v>34</v>
      </c>
      <c r="D452" t="s">
        <v>371</v>
      </c>
      <c r="E452" t="s">
        <v>427</v>
      </c>
      <c r="F452">
        <v>0</v>
      </c>
      <c r="G452">
        <v>0.27944999999999998</v>
      </c>
      <c r="H452" s="54">
        <v>58886039</v>
      </c>
      <c r="I452" t="s">
        <v>427</v>
      </c>
      <c r="J452" t="s">
        <v>394</v>
      </c>
    </row>
    <row r="453" spans="1:10" x14ac:dyDescent="0.3">
      <c r="A453" s="39">
        <v>45823.681631944448</v>
      </c>
      <c r="B453" t="s">
        <v>223</v>
      </c>
      <c r="C453">
        <v>23</v>
      </c>
      <c r="D453" t="s">
        <v>392</v>
      </c>
      <c r="E453" t="s">
        <v>336</v>
      </c>
      <c r="G453" t="s">
        <v>336</v>
      </c>
      <c r="H453" s="54">
        <v>58886039</v>
      </c>
      <c r="I453" t="s">
        <v>336</v>
      </c>
      <c r="J453" t="s">
        <v>393</v>
      </c>
    </row>
    <row r="454" spans="1:10" x14ac:dyDescent="0.3">
      <c r="A454" s="39">
        <v>45823.681631944448</v>
      </c>
      <c r="B454" t="s">
        <v>223</v>
      </c>
      <c r="C454">
        <v>23</v>
      </c>
      <c r="D454" t="s">
        <v>371</v>
      </c>
      <c r="E454" t="s">
        <v>336</v>
      </c>
      <c r="F454">
        <v>0</v>
      </c>
      <c r="G454">
        <v>0.36714999999999998</v>
      </c>
      <c r="H454" s="54">
        <v>58886039</v>
      </c>
      <c r="I454" t="s">
        <v>336</v>
      </c>
      <c r="J454" t="s">
        <v>394</v>
      </c>
    </row>
    <row r="455" spans="1:10" x14ac:dyDescent="0.3">
      <c r="A455" s="39">
        <v>45823.681643518517</v>
      </c>
      <c r="B455" t="s">
        <v>223</v>
      </c>
      <c r="C455">
        <v>93</v>
      </c>
      <c r="D455" t="s">
        <v>392</v>
      </c>
      <c r="E455" t="s">
        <v>438</v>
      </c>
      <c r="G455" t="s">
        <v>438</v>
      </c>
      <c r="H455" s="54">
        <v>58886039</v>
      </c>
      <c r="I455" t="s">
        <v>438</v>
      </c>
      <c r="J455" t="s">
        <v>393</v>
      </c>
    </row>
    <row r="456" spans="1:10" x14ac:dyDescent="0.3">
      <c r="A456" s="39">
        <v>45823.681643518517</v>
      </c>
      <c r="B456" t="s">
        <v>223</v>
      </c>
      <c r="C456">
        <v>93</v>
      </c>
      <c r="D456" t="s">
        <v>371</v>
      </c>
      <c r="E456" t="s">
        <v>438</v>
      </c>
      <c r="F456">
        <v>0</v>
      </c>
      <c r="G456">
        <v>5.646875E-3</v>
      </c>
      <c r="H456" s="54">
        <v>58886039</v>
      </c>
      <c r="I456" t="s">
        <v>438</v>
      </c>
      <c r="J456" t="s">
        <v>394</v>
      </c>
    </row>
    <row r="457" spans="1:10" x14ac:dyDescent="0.3">
      <c r="A457" s="39">
        <v>45823.681643518517</v>
      </c>
      <c r="B457" t="s">
        <v>58</v>
      </c>
      <c r="C457">
        <v>7</v>
      </c>
      <c r="D457" t="s">
        <v>371</v>
      </c>
      <c r="E457" t="s">
        <v>87</v>
      </c>
      <c r="F457">
        <v>0.55889999999999995</v>
      </c>
      <c r="G457">
        <v>0.27944999999999998</v>
      </c>
      <c r="H457" s="54">
        <v>58886039</v>
      </c>
      <c r="I457" t="s">
        <v>427</v>
      </c>
      <c r="J457" t="s">
        <v>372</v>
      </c>
    </row>
    <row r="458" spans="1:10" x14ac:dyDescent="0.3">
      <c r="A458" s="39">
        <v>45823.681655092594</v>
      </c>
      <c r="B458" t="s">
        <v>58</v>
      </c>
      <c r="C458">
        <v>10</v>
      </c>
      <c r="D458" t="s">
        <v>371</v>
      </c>
      <c r="E458" t="s">
        <v>13</v>
      </c>
      <c r="F458">
        <v>0.27079999999999999</v>
      </c>
      <c r="G458">
        <v>0.13539999999999999</v>
      </c>
      <c r="H458" s="54">
        <v>58886039</v>
      </c>
      <c r="I458" t="s">
        <v>336</v>
      </c>
      <c r="J458" t="s">
        <v>372</v>
      </c>
    </row>
    <row r="459" spans="1:10" x14ac:dyDescent="0.3">
      <c r="A459" s="39">
        <v>45823.681655092594</v>
      </c>
      <c r="B459" t="s">
        <v>58</v>
      </c>
      <c r="C459">
        <v>77</v>
      </c>
      <c r="D459" t="s">
        <v>371</v>
      </c>
      <c r="E459" t="s">
        <v>38</v>
      </c>
      <c r="F459">
        <v>1.129375E-2</v>
      </c>
      <c r="G459">
        <v>5.646875E-3</v>
      </c>
      <c r="H459" s="54">
        <v>58886039</v>
      </c>
      <c r="I459" t="s">
        <v>438</v>
      </c>
      <c r="J459" t="s">
        <v>372</v>
      </c>
    </row>
    <row r="460" spans="1:10" x14ac:dyDescent="0.3">
      <c r="A460" s="39">
        <v>45823.681655092594</v>
      </c>
      <c r="B460" t="s">
        <v>58</v>
      </c>
      <c r="C460">
        <v>34</v>
      </c>
      <c r="D460" t="s">
        <v>392</v>
      </c>
      <c r="E460" t="s">
        <v>427</v>
      </c>
      <c r="G460" t="s">
        <v>427</v>
      </c>
      <c r="H460" s="54">
        <v>58886039</v>
      </c>
      <c r="I460" t="s">
        <v>427</v>
      </c>
      <c r="J460" t="s">
        <v>393</v>
      </c>
    </row>
    <row r="461" spans="1:10" x14ac:dyDescent="0.3">
      <c r="A461" s="39">
        <v>45823.681666666664</v>
      </c>
      <c r="B461" t="s">
        <v>58</v>
      </c>
      <c r="C461">
        <v>34</v>
      </c>
      <c r="D461" t="s">
        <v>371</v>
      </c>
      <c r="E461" t="s">
        <v>427</v>
      </c>
      <c r="F461">
        <v>0</v>
      </c>
      <c r="G461">
        <v>0.27944999999999998</v>
      </c>
      <c r="H461" s="54">
        <v>58886039</v>
      </c>
      <c r="I461" t="s">
        <v>427</v>
      </c>
      <c r="J461" t="s">
        <v>394</v>
      </c>
    </row>
    <row r="462" spans="1:10" x14ac:dyDescent="0.3">
      <c r="A462" s="39">
        <v>45823.681666666664</v>
      </c>
      <c r="B462" t="s">
        <v>58</v>
      </c>
      <c r="C462">
        <v>23</v>
      </c>
      <c r="D462" t="s">
        <v>392</v>
      </c>
      <c r="E462" t="s">
        <v>336</v>
      </c>
      <c r="G462" t="s">
        <v>336</v>
      </c>
      <c r="H462" s="54">
        <v>58886039</v>
      </c>
      <c r="I462" t="s">
        <v>336</v>
      </c>
      <c r="J462" t="s">
        <v>393</v>
      </c>
    </row>
    <row r="463" spans="1:10" x14ac:dyDescent="0.3">
      <c r="A463" s="39">
        <v>45823.681666666664</v>
      </c>
      <c r="B463" t="s">
        <v>58</v>
      </c>
      <c r="C463">
        <v>23</v>
      </c>
      <c r="D463" t="s">
        <v>371</v>
      </c>
      <c r="E463" t="s">
        <v>336</v>
      </c>
      <c r="F463">
        <v>0</v>
      </c>
      <c r="G463">
        <v>0.13539999999999999</v>
      </c>
      <c r="H463" s="54">
        <v>58886039</v>
      </c>
      <c r="I463" t="s">
        <v>336</v>
      </c>
      <c r="J463" t="s">
        <v>394</v>
      </c>
    </row>
    <row r="464" spans="1:10" x14ac:dyDescent="0.3">
      <c r="A464" s="39">
        <v>45823.68167824074</v>
      </c>
      <c r="B464" t="s">
        <v>58</v>
      </c>
      <c r="C464">
        <v>93</v>
      </c>
      <c r="D464" t="s">
        <v>392</v>
      </c>
      <c r="E464" t="s">
        <v>438</v>
      </c>
      <c r="G464" t="s">
        <v>438</v>
      </c>
      <c r="H464" s="54">
        <v>58886039</v>
      </c>
      <c r="I464" t="s">
        <v>438</v>
      </c>
      <c r="J464" t="s">
        <v>393</v>
      </c>
    </row>
    <row r="465" spans="1:10" x14ac:dyDescent="0.3">
      <c r="A465" s="39">
        <v>45823.68167824074</v>
      </c>
      <c r="B465" t="s">
        <v>58</v>
      </c>
      <c r="C465">
        <v>93</v>
      </c>
      <c r="D465" t="s">
        <v>371</v>
      </c>
      <c r="E465" t="s">
        <v>438</v>
      </c>
      <c r="F465">
        <v>0</v>
      </c>
      <c r="G465">
        <v>5.646875E-3</v>
      </c>
      <c r="H465" s="54">
        <v>58886039</v>
      </c>
      <c r="I465" t="s">
        <v>438</v>
      </c>
      <c r="J465" t="s">
        <v>394</v>
      </c>
    </row>
    <row r="466" spans="1:10" x14ac:dyDescent="0.3">
      <c r="A466" s="39">
        <v>45823.68167824074</v>
      </c>
      <c r="B466" t="s">
        <v>217</v>
      </c>
      <c r="C466">
        <v>7</v>
      </c>
      <c r="D466" t="s">
        <v>371</v>
      </c>
      <c r="E466" t="s">
        <v>87</v>
      </c>
      <c r="F466">
        <v>0.55889999999999995</v>
      </c>
      <c r="G466">
        <v>0.27944999999999998</v>
      </c>
      <c r="H466" s="54">
        <v>58886039</v>
      </c>
      <c r="I466" t="s">
        <v>427</v>
      </c>
      <c r="J466" t="s">
        <v>372</v>
      </c>
    </row>
    <row r="467" spans="1:10" x14ac:dyDescent="0.3">
      <c r="A467" s="39">
        <v>45823.681689814817</v>
      </c>
      <c r="B467" t="s">
        <v>217</v>
      </c>
      <c r="C467">
        <v>10</v>
      </c>
      <c r="D467" t="s">
        <v>371</v>
      </c>
      <c r="E467" t="s">
        <v>13</v>
      </c>
      <c r="F467">
        <v>8.5199999999999998E-2</v>
      </c>
      <c r="G467">
        <v>4.2599999999999999E-2</v>
      </c>
      <c r="H467" s="54">
        <v>58886039</v>
      </c>
      <c r="I467" t="s">
        <v>336</v>
      </c>
      <c r="J467" t="s">
        <v>372</v>
      </c>
    </row>
    <row r="468" spans="1:10" x14ac:dyDescent="0.3">
      <c r="A468" s="39">
        <v>45823.681689814817</v>
      </c>
      <c r="B468" t="s">
        <v>217</v>
      </c>
      <c r="C468">
        <v>77</v>
      </c>
      <c r="D468" t="s">
        <v>371</v>
      </c>
      <c r="E468" t="s">
        <v>38</v>
      </c>
      <c r="F468">
        <v>1.129375E-2</v>
      </c>
      <c r="G468">
        <v>5.646875E-3</v>
      </c>
      <c r="H468" s="54">
        <v>58886039</v>
      </c>
      <c r="I468" t="s">
        <v>438</v>
      </c>
      <c r="J468" t="s">
        <v>372</v>
      </c>
    </row>
    <row r="469" spans="1:10" x14ac:dyDescent="0.3">
      <c r="A469" s="39">
        <v>45823.681689814817</v>
      </c>
      <c r="B469" t="s">
        <v>217</v>
      </c>
      <c r="C469">
        <v>34</v>
      </c>
      <c r="D469" t="s">
        <v>392</v>
      </c>
      <c r="E469" t="s">
        <v>427</v>
      </c>
      <c r="G469" t="s">
        <v>427</v>
      </c>
      <c r="H469" s="54">
        <v>58886039</v>
      </c>
      <c r="I469" t="s">
        <v>427</v>
      </c>
      <c r="J469" t="s">
        <v>393</v>
      </c>
    </row>
    <row r="470" spans="1:10" x14ac:dyDescent="0.3">
      <c r="A470" s="39">
        <v>45823.681701388887</v>
      </c>
      <c r="B470" t="s">
        <v>217</v>
      </c>
      <c r="C470">
        <v>34</v>
      </c>
      <c r="D470" t="s">
        <v>371</v>
      </c>
      <c r="E470" t="s">
        <v>427</v>
      </c>
      <c r="F470">
        <v>0</v>
      </c>
      <c r="G470">
        <v>0.27944999999999998</v>
      </c>
      <c r="H470" s="54">
        <v>58886039</v>
      </c>
      <c r="I470" t="s">
        <v>427</v>
      </c>
      <c r="J470" t="s">
        <v>394</v>
      </c>
    </row>
    <row r="471" spans="1:10" x14ac:dyDescent="0.3">
      <c r="A471" s="39">
        <v>45823.681701388887</v>
      </c>
      <c r="B471" t="s">
        <v>217</v>
      </c>
      <c r="C471">
        <v>23</v>
      </c>
      <c r="D471" t="s">
        <v>392</v>
      </c>
      <c r="E471" t="s">
        <v>336</v>
      </c>
      <c r="G471" t="s">
        <v>336</v>
      </c>
      <c r="H471" s="54">
        <v>58886039</v>
      </c>
      <c r="I471" t="s">
        <v>336</v>
      </c>
      <c r="J471" t="s">
        <v>393</v>
      </c>
    </row>
    <row r="472" spans="1:10" x14ac:dyDescent="0.3">
      <c r="A472" s="39">
        <v>45823.681701388887</v>
      </c>
      <c r="B472" t="s">
        <v>217</v>
      </c>
      <c r="C472">
        <v>23</v>
      </c>
      <c r="D472" t="s">
        <v>371</v>
      </c>
      <c r="E472" t="s">
        <v>336</v>
      </c>
      <c r="F472">
        <v>0</v>
      </c>
      <c r="G472">
        <v>4.2599999999999999E-2</v>
      </c>
      <c r="H472" s="54">
        <v>58886039</v>
      </c>
      <c r="I472" t="s">
        <v>336</v>
      </c>
      <c r="J472" t="s">
        <v>394</v>
      </c>
    </row>
    <row r="473" spans="1:10" x14ac:dyDescent="0.3">
      <c r="A473" s="39">
        <v>45823.681712962964</v>
      </c>
      <c r="B473" t="s">
        <v>217</v>
      </c>
      <c r="C473">
        <v>93</v>
      </c>
      <c r="D473" t="s">
        <v>392</v>
      </c>
      <c r="E473" t="s">
        <v>438</v>
      </c>
      <c r="G473" t="s">
        <v>438</v>
      </c>
      <c r="H473" s="54">
        <v>58886039</v>
      </c>
      <c r="I473" t="s">
        <v>438</v>
      </c>
      <c r="J473" t="s">
        <v>393</v>
      </c>
    </row>
    <row r="474" spans="1:10" x14ac:dyDescent="0.3">
      <c r="A474" s="39">
        <v>45823.681712962964</v>
      </c>
      <c r="B474" t="s">
        <v>217</v>
      </c>
      <c r="C474">
        <v>93</v>
      </c>
      <c r="D474" t="s">
        <v>371</v>
      </c>
      <c r="E474" t="s">
        <v>438</v>
      </c>
      <c r="F474">
        <v>0</v>
      </c>
      <c r="G474">
        <v>5.646875E-3</v>
      </c>
      <c r="H474" s="54">
        <v>58886039</v>
      </c>
      <c r="I474" t="s">
        <v>438</v>
      </c>
      <c r="J474" t="s">
        <v>394</v>
      </c>
    </row>
    <row r="475" spans="1:10" x14ac:dyDescent="0.3">
      <c r="A475" s="39">
        <v>45823.681712962964</v>
      </c>
      <c r="B475" t="s">
        <v>218</v>
      </c>
      <c r="C475">
        <v>7</v>
      </c>
      <c r="D475" t="s">
        <v>371</v>
      </c>
      <c r="E475" t="s">
        <v>87</v>
      </c>
      <c r="F475">
        <v>0.55889999999999995</v>
      </c>
      <c r="G475">
        <v>0.27944999999999998</v>
      </c>
      <c r="H475" s="54">
        <v>58886039</v>
      </c>
      <c r="I475" t="s">
        <v>427</v>
      </c>
      <c r="J475" t="s">
        <v>372</v>
      </c>
    </row>
    <row r="476" spans="1:10" x14ac:dyDescent="0.3">
      <c r="A476" s="39">
        <v>45823.68172453704</v>
      </c>
      <c r="B476" t="s">
        <v>218</v>
      </c>
      <c r="C476">
        <v>10</v>
      </c>
      <c r="D476" t="s">
        <v>371</v>
      </c>
      <c r="E476" t="s">
        <v>13</v>
      </c>
      <c r="F476">
        <v>0.1976</v>
      </c>
      <c r="G476">
        <v>9.8799999999999999E-2</v>
      </c>
      <c r="H476" s="54">
        <v>58886039</v>
      </c>
      <c r="I476" t="s">
        <v>336</v>
      </c>
      <c r="J476" t="s">
        <v>372</v>
      </c>
    </row>
    <row r="477" spans="1:10" x14ac:dyDescent="0.3">
      <c r="A477" s="39">
        <v>45823.68172453704</v>
      </c>
      <c r="B477" t="s">
        <v>218</v>
      </c>
      <c r="C477">
        <v>77</v>
      </c>
      <c r="D477" t="s">
        <v>371</v>
      </c>
      <c r="E477" t="s">
        <v>38</v>
      </c>
      <c r="F477">
        <v>1.129375E-2</v>
      </c>
      <c r="G477">
        <v>5.646875E-3</v>
      </c>
      <c r="H477" s="54">
        <v>58886039</v>
      </c>
      <c r="I477" t="s">
        <v>438</v>
      </c>
      <c r="J477" t="s">
        <v>372</v>
      </c>
    </row>
    <row r="478" spans="1:10" x14ac:dyDescent="0.3">
      <c r="A478" s="39">
        <v>45823.68172453704</v>
      </c>
      <c r="B478" t="s">
        <v>218</v>
      </c>
      <c r="C478">
        <v>34</v>
      </c>
      <c r="D478" t="s">
        <v>392</v>
      </c>
      <c r="E478" t="s">
        <v>427</v>
      </c>
      <c r="G478" t="s">
        <v>427</v>
      </c>
      <c r="H478" s="54">
        <v>58886039</v>
      </c>
      <c r="I478" t="s">
        <v>427</v>
      </c>
      <c r="J478" t="s">
        <v>393</v>
      </c>
    </row>
    <row r="479" spans="1:10" x14ac:dyDescent="0.3">
      <c r="A479" s="39">
        <v>45823.68173611111</v>
      </c>
      <c r="B479" t="s">
        <v>218</v>
      </c>
      <c r="C479">
        <v>34</v>
      </c>
      <c r="D479" t="s">
        <v>371</v>
      </c>
      <c r="E479" t="s">
        <v>427</v>
      </c>
      <c r="F479">
        <v>0</v>
      </c>
      <c r="G479">
        <v>0.27944999999999998</v>
      </c>
      <c r="H479" s="54">
        <v>58886039</v>
      </c>
      <c r="I479" t="s">
        <v>427</v>
      </c>
      <c r="J479" t="s">
        <v>394</v>
      </c>
    </row>
    <row r="480" spans="1:10" x14ac:dyDescent="0.3">
      <c r="A480" s="39">
        <v>45823.68173611111</v>
      </c>
      <c r="B480" t="s">
        <v>218</v>
      </c>
      <c r="C480">
        <v>23</v>
      </c>
      <c r="D480" t="s">
        <v>392</v>
      </c>
      <c r="E480" t="s">
        <v>336</v>
      </c>
      <c r="G480" t="s">
        <v>336</v>
      </c>
      <c r="H480" s="54">
        <v>58886039</v>
      </c>
      <c r="I480" t="s">
        <v>336</v>
      </c>
      <c r="J480" t="s">
        <v>393</v>
      </c>
    </row>
    <row r="481" spans="1:10" x14ac:dyDescent="0.3">
      <c r="A481" s="39">
        <v>45823.68173611111</v>
      </c>
      <c r="B481" t="s">
        <v>218</v>
      </c>
      <c r="C481">
        <v>23</v>
      </c>
      <c r="D481" t="s">
        <v>371</v>
      </c>
      <c r="E481" t="s">
        <v>336</v>
      </c>
      <c r="F481">
        <v>0</v>
      </c>
      <c r="G481">
        <v>9.8799999999999999E-2</v>
      </c>
      <c r="H481" s="54">
        <v>58886039</v>
      </c>
      <c r="I481" t="s">
        <v>336</v>
      </c>
      <c r="J481" t="s">
        <v>394</v>
      </c>
    </row>
    <row r="482" spans="1:10" x14ac:dyDescent="0.3">
      <c r="A482" s="39">
        <v>45823.681747685187</v>
      </c>
      <c r="B482" t="s">
        <v>218</v>
      </c>
      <c r="C482">
        <v>93</v>
      </c>
      <c r="D482" t="s">
        <v>392</v>
      </c>
      <c r="E482" t="s">
        <v>438</v>
      </c>
      <c r="G482" t="s">
        <v>438</v>
      </c>
      <c r="H482" s="54">
        <v>58886039</v>
      </c>
      <c r="I482" t="s">
        <v>438</v>
      </c>
      <c r="J482" t="s">
        <v>393</v>
      </c>
    </row>
    <row r="483" spans="1:10" x14ac:dyDescent="0.3">
      <c r="A483" s="39">
        <v>45823.681747685187</v>
      </c>
      <c r="B483" t="s">
        <v>218</v>
      </c>
      <c r="C483">
        <v>93</v>
      </c>
      <c r="D483" t="s">
        <v>371</v>
      </c>
      <c r="E483" t="s">
        <v>438</v>
      </c>
      <c r="F483">
        <v>0</v>
      </c>
      <c r="G483">
        <v>5.646875E-3</v>
      </c>
      <c r="H483" s="54">
        <v>58886039</v>
      </c>
      <c r="I483" t="s">
        <v>438</v>
      </c>
      <c r="J483" t="s">
        <v>394</v>
      </c>
    </row>
    <row r="484" spans="1:10" x14ac:dyDescent="0.3">
      <c r="A484" s="39">
        <v>45823.681759259256</v>
      </c>
      <c r="B484" t="s">
        <v>219</v>
      </c>
      <c r="C484">
        <v>7</v>
      </c>
      <c r="D484" t="s">
        <v>371</v>
      </c>
      <c r="E484" t="s">
        <v>87</v>
      </c>
      <c r="F484">
        <v>0.55889999999999995</v>
      </c>
      <c r="G484">
        <v>0.27944999999999998</v>
      </c>
      <c r="H484" s="54">
        <v>58886039</v>
      </c>
      <c r="I484" t="s">
        <v>427</v>
      </c>
      <c r="J484" t="s">
        <v>372</v>
      </c>
    </row>
    <row r="485" spans="1:10" x14ac:dyDescent="0.3">
      <c r="A485" s="39">
        <v>45823.681759259256</v>
      </c>
      <c r="B485" t="s">
        <v>219</v>
      </c>
      <c r="C485">
        <v>10</v>
      </c>
      <c r="D485" t="s">
        <v>371</v>
      </c>
      <c r="E485" t="s">
        <v>13</v>
      </c>
      <c r="F485">
        <v>0.81459999999999999</v>
      </c>
      <c r="G485">
        <v>0.4073</v>
      </c>
      <c r="H485" s="54">
        <v>58886039</v>
      </c>
      <c r="I485" t="s">
        <v>336</v>
      </c>
      <c r="J485" t="s">
        <v>372</v>
      </c>
    </row>
    <row r="486" spans="1:10" x14ac:dyDescent="0.3">
      <c r="A486" s="39">
        <v>45823.681759259256</v>
      </c>
      <c r="B486" t="s">
        <v>219</v>
      </c>
      <c r="C486">
        <v>77</v>
      </c>
      <c r="D486" t="s">
        <v>371</v>
      </c>
      <c r="E486" t="s">
        <v>38</v>
      </c>
      <c r="F486">
        <v>1.129375E-2</v>
      </c>
      <c r="G486">
        <v>5.646875E-3</v>
      </c>
      <c r="H486" s="54">
        <v>58886039</v>
      </c>
      <c r="I486" t="s">
        <v>438</v>
      </c>
      <c r="J486" t="s">
        <v>372</v>
      </c>
    </row>
    <row r="487" spans="1:10" x14ac:dyDescent="0.3">
      <c r="A487" s="39">
        <v>45823.681770833333</v>
      </c>
      <c r="B487" t="s">
        <v>219</v>
      </c>
      <c r="C487">
        <v>34</v>
      </c>
      <c r="D487" t="s">
        <v>392</v>
      </c>
      <c r="E487" t="s">
        <v>427</v>
      </c>
      <c r="G487" t="s">
        <v>427</v>
      </c>
      <c r="H487" s="54">
        <v>58886039</v>
      </c>
      <c r="I487" t="s">
        <v>427</v>
      </c>
      <c r="J487" t="s">
        <v>393</v>
      </c>
    </row>
    <row r="488" spans="1:10" x14ac:dyDescent="0.3">
      <c r="A488" s="39">
        <v>45823.681770833333</v>
      </c>
      <c r="B488" t="s">
        <v>219</v>
      </c>
      <c r="C488">
        <v>34</v>
      </c>
      <c r="D488" t="s">
        <v>371</v>
      </c>
      <c r="E488" t="s">
        <v>427</v>
      </c>
      <c r="F488">
        <v>0</v>
      </c>
      <c r="G488">
        <v>0.27944999999999998</v>
      </c>
      <c r="H488" s="54">
        <v>58886039</v>
      </c>
      <c r="I488" t="s">
        <v>427</v>
      </c>
      <c r="J488" t="s">
        <v>394</v>
      </c>
    </row>
    <row r="489" spans="1:10" x14ac:dyDescent="0.3">
      <c r="A489" s="39">
        <v>45823.681770833333</v>
      </c>
      <c r="B489" t="s">
        <v>219</v>
      </c>
      <c r="C489">
        <v>23</v>
      </c>
      <c r="D489" t="s">
        <v>392</v>
      </c>
      <c r="E489" t="s">
        <v>336</v>
      </c>
      <c r="G489" t="s">
        <v>336</v>
      </c>
      <c r="H489" s="54">
        <v>58886039</v>
      </c>
      <c r="I489" t="s">
        <v>336</v>
      </c>
      <c r="J489" t="s">
        <v>393</v>
      </c>
    </row>
    <row r="490" spans="1:10" x14ac:dyDescent="0.3">
      <c r="A490" s="39">
        <v>45823.68178240741</v>
      </c>
      <c r="B490" t="s">
        <v>219</v>
      </c>
      <c r="C490">
        <v>23</v>
      </c>
      <c r="D490" t="s">
        <v>371</v>
      </c>
      <c r="E490" t="s">
        <v>336</v>
      </c>
      <c r="F490">
        <v>0</v>
      </c>
      <c r="G490">
        <v>0.4073</v>
      </c>
      <c r="H490" s="54">
        <v>58886039</v>
      </c>
      <c r="I490" t="s">
        <v>336</v>
      </c>
      <c r="J490" t="s">
        <v>394</v>
      </c>
    </row>
    <row r="491" spans="1:10" x14ac:dyDescent="0.3">
      <c r="A491" s="39">
        <v>45823.68178240741</v>
      </c>
      <c r="B491" t="s">
        <v>219</v>
      </c>
      <c r="C491">
        <v>93</v>
      </c>
      <c r="D491" t="s">
        <v>392</v>
      </c>
      <c r="E491" t="s">
        <v>438</v>
      </c>
      <c r="G491" t="s">
        <v>438</v>
      </c>
      <c r="H491" s="54">
        <v>58886039</v>
      </c>
      <c r="I491" t="s">
        <v>438</v>
      </c>
      <c r="J491" t="s">
        <v>393</v>
      </c>
    </row>
    <row r="492" spans="1:10" x14ac:dyDescent="0.3">
      <c r="A492" s="39">
        <v>45823.68178240741</v>
      </c>
      <c r="B492" t="s">
        <v>219</v>
      </c>
      <c r="C492">
        <v>93</v>
      </c>
      <c r="D492" t="s">
        <v>371</v>
      </c>
      <c r="E492" t="s">
        <v>438</v>
      </c>
      <c r="F492">
        <v>0</v>
      </c>
      <c r="G492">
        <v>5.646875E-3</v>
      </c>
      <c r="H492" s="54">
        <v>58886039</v>
      </c>
      <c r="I492" t="s">
        <v>438</v>
      </c>
      <c r="J492" t="s">
        <v>394</v>
      </c>
    </row>
    <row r="493" spans="1:10" x14ac:dyDescent="0.3">
      <c r="A493" s="39">
        <v>45823.681793981479</v>
      </c>
      <c r="B493" t="s">
        <v>220</v>
      </c>
      <c r="C493">
        <v>7</v>
      </c>
      <c r="D493" t="s">
        <v>371</v>
      </c>
      <c r="E493" t="s">
        <v>87</v>
      </c>
      <c r="F493">
        <v>0.55889999999999995</v>
      </c>
      <c r="G493">
        <v>0.27944999999999998</v>
      </c>
      <c r="H493" s="54">
        <v>58886039</v>
      </c>
      <c r="I493" t="s">
        <v>427</v>
      </c>
      <c r="J493" t="s">
        <v>372</v>
      </c>
    </row>
    <row r="494" spans="1:10" x14ac:dyDescent="0.3">
      <c r="A494" s="39">
        <v>45823.681793981479</v>
      </c>
      <c r="B494" t="s">
        <v>220</v>
      </c>
      <c r="C494">
        <v>10</v>
      </c>
      <c r="D494" t="s">
        <v>371</v>
      </c>
      <c r="E494" t="s">
        <v>13</v>
      </c>
      <c r="F494">
        <v>0.81459999999999999</v>
      </c>
      <c r="G494">
        <v>0.4073</v>
      </c>
      <c r="H494" s="54">
        <v>58886039</v>
      </c>
      <c r="I494" t="s">
        <v>336</v>
      </c>
      <c r="J494" t="s">
        <v>372</v>
      </c>
    </row>
    <row r="495" spans="1:10" x14ac:dyDescent="0.3">
      <c r="A495" s="39">
        <v>45823.681793981479</v>
      </c>
      <c r="B495" t="s">
        <v>220</v>
      </c>
      <c r="C495">
        <v>77</v>
      </c>
      <c r="D495" t="s">
        <v>371</v>
      </c>
      <c r="E495" t="s">
        <v>38</v>
      </c>
      <c r="F495">
        <v>1.129375E-2</v>
      </c>
      <c r="G495">
        <v>5.646875E-3</v>
      </c>
      <c r="H495" s="54">
        <v>58886039</v>
      </c>
      <c r="I495" t="s">
        <v>438</v>
      </c>
      <c r="J495" t="s">
        <v>372</v>
      </c>
    </row>
    <row r="496" spans="1:10" x14ac:dyDescent="0.3">
      <c r="A496" s="39">
        <v>45823.681805555556</v>
      </c>
      <c r="B496" t="s">
        <v>220</v>
      </c>
      <c r="C496">
        <v>34</v>
      </c>
      <c r="D496" t="s">
        <v>392</v>
      </c>
      <c r="E496" t="s">
        <v>427</v>
      </c>
      <c r="G496" t="s">
        <v>427</v>
      </c>
      <c r="H496" s="54">
        <v>58886039</v>
      </c>
      <c r="I496" t="s">
        <v>427</v>
      </c>
      <c r="J496" t="s">
        <v>393</v>
      </c>
    </row>
    <row r="497" spans="1:10" x14ac:dyDescent="0.3">
      <c r="A497" s="39">
        <v>45823.681805555556</v>
      </c>
      <c r="B497" t="s">
        <v>220</v>
      </c>
      <c r="C497">
        <v>34</v>
      </c>
      <c r="D497" t="s">
        <v>371</v>
      </c>
      <c r="E497" t="s">
        <v>427</v>
      </c>
      <c r="F497">
        <v>0</v>
      </c>
      <c r="G497">
        <v>0.27944999999999998</v>
      </c>
      <c r="H497" s="54">
        <v>58886039</v>
      </c>
      <c r="I497" t="s">
        <v>427</v>
      </c>
      <c r="J497" t="s">
        <v>394</v>
      </c>
    </row>
    <row r="498" spans="1:10" x14ac:dyDescent="0.3">
      <c r="A498" s="39">
        <v>45823.681805555556</v>
      </c>
      <c r="B498" t="s">
        <v>220</v>
      </c>
      <c r="C498">
        <v>23</v>
      </c>
      <c r="D498" t="s">
        <v>392</v>
      </c>
      <c r="E498" t="s">
        <v>336</v>
      </c>
      <c r="G498" t="s">
        <v>336</v>
      </c>
      <c r="H498" s="54">
        <v>58886039</v>
      </c>
      <c r="I498" t="s">
        <v>336</v>
      </c>
      <c r="J498" t="s">
        <v>393</v>
      </c>
    </row>
    <row r="499" spans="1:10" x14ac:dyDescent="0.3">
      <c r="A499" s="39">
        <v>45823.681817129633</v>
      </c>
      <c r="B499" t="s">
        <v>220</v>
      </c>
      <c r="C499">
        <v>23</v>
      </c>
      <c r="D499" t="s">
        <v>371</v>
      </c>
      <c r="E499" t="s">
        <v>336</v>
      </c>
      <c r="F499">
        <v>0</v>
      </c>
      <c r="G499">
        <v>0.4073</v>
      </c>
      <c r="H499" s="54">
        <v>58886039</v>
      </c>
      <c r="I499" t="s">
        <v>336</v>
      </c>
      <c r="J499" t="s">
        <v>394</v>
      </c>
    </row>
    <row r="500" spans="1:10" x14ac:dyDescent="0.3">
      <c r="A500" s="39">
        <v>45823.681817129633</v>
      </c>
      <c r="B500" t="s">
        <v>220</v>
      </c>
      <c r="C500">
        <v>93</v>
      </c>
      <c r="D500" t="s">
        <v>392</v>
      </c>
      <c r="E500" t="s">
        <v>438</v>
      </c>
      <c r="G500" t="s">
        <v>438</v>
      </c>
      <c r="H500" s="54">
        <v>58886039</v>
      </c>
      <c r="I500" t="s">
        <v>438</v>
      </c>
      <c r="J500" t="s">
        <v>393</v>
      </c>
    </row>
    <row r="501" spans="1:10" x14ac:dyDescent="0.3">
      <c r="A501" s="39">
        <v>45823.681817129633</v>
      </c>
      <c r="B501" t="s">
        <v>220</v>
      </c>
      <c r="C501">
        <v>93</v>
      </c>
      <c r="D501" t="s">
        <v>371</v>
      </c>
      <c r="E501" t="s">
        <v>438</v>
      </c>
      <c r="F501">
        <v>0</v>
      </c>
      <c r="G501">
        <v>5.646875E-3</v>
      </c>
      <c r="H501" s="54">
        <v>58886039</v>
      </c>
      <c r="I501" t="s">
        <v>438</v>
      </c>
      <c r="J501" t="s">
        <v>394</v>
      </c>
    </row>
    <row r="502" spans="1:10" x14ac:dyDescent="0.3">
      <c r="A502" s="39">
        <v>45823.695891203701</v>
      </c>
      <c r="B502" t="s">
        <v>223</v>
      </c>
      <c r="C502">
        <v>7</v>
      </c>
      <c r="D502" t="s">
        <v>371</v>
      </c>
      <c r="E502" t="s">
        <v>87</v>
      </c>
      <c r="F502">
        <v>0.27944999999999998</v>
      </c>
      <c r="G502">
        <v>0.13972499999999999</v>
      </c>
      <c r="H502" s="54">
        <v>60119848</v>
      </c>
      <c r="I502" t="s">
        <v>427</v>
      </c>
      <c r="J502" t="s">
        <v>372</v>
      </c>
    </row>
    <row r="503" spans="1:10" x14ac:dyDescent="0.3">
      <c r="A503" s="39">
        <v>45823.695891203701</v>
      </c>
      <c r="B503" t="s">
        <v>223</v>
      </c>
      <c r="C503">
        <v>116</v>
      </c>
      <c r="D503" t="s">
        <v>371</v>
      </c>
      <c r="E503" t="s">
        <v>60</v>
      </c>
      <c r="F503">
        <v>0.96877815879999996</v>
      </c>
      <c r="G503">
        <v>0.48438907939999998</v>
      </c>
      <c r="H503" s="54">
        <v>60119848</v>
      </c>
      <c r="I503" t="s">
        <v>337</v>
      </c>
      <c r="J503" t="s">
        <v>372</v>
      </c>
    </row>
    <row r="504" spans="1:10" x14ac:dyDescent="0.3">
      <c r="A504" s="39">
        <v>45823.695902777778</v>
      </c>
      <c r="B504" t="s">
        <v>223</v>
      </c>
      <c r="C504">
        <v>35</v>
      </c>
      <c r="D504" t="s">
        <v>371</v>
      </c>
      <c r="E504" t="s">
        <v>427</v>
      </c>
      <c r="F504">
        <v>0.27944999999999998</v>
      </c>
      <c r="G504">
        <v>0.41917499999999996</v>
      </c>
      <c r="H504" s="54">
        <v>60119848</v>
      </c>
      <c r="I504" t="s">
        <v>427</v>
      </c>
      <c r="J504" t="s">
        <v>373</v>
      </c>
    </row>
    <row r="505" spans="1:10" x14ac:dyDescent="0.3">
      <c r="A505" s="39">
        <v>45823.695902777778</v>
      </c>
      <c r="B505" t="s">
        <v>223</v>
      </c>
      <c r="C505">
        <v>110</v>
      </c>
      <c r="D505" t="s">
        <v>392</v>
      </c>
      <c r="E505" t="s">
        <v>337</v>
      </c>
      <c r="G505" t="s">
        <v>337</v>
      </c>
      <c r="H505" s="54">
        <v>60119848</v>
      </c>
      <c r="I505" t="s">
        <v>337</v>
      </c>
      <c r="J505" t="s">
        <v>393</v>
      </c>
    </row>
    <row r="506" spans="1:10" x14ac:dyDescent="0.3">
      <c r="A506" s="39">
        <v>45823.695914351854</v>
      </c>
      <c r="B506" t="s">
        <v>223</v>
      </c>
      <c r="C506">
        <v>110</v>
      </c>
      <c r="D506" t="s">
        <v>371</v>
      </c>
      <c r="E506" t="s">
        <v>337</v>
      </c>
      <c r="F506">
        <v>0</v>
      </c>
      <c r="G506">
        <v>0.48438907939999998</v>
      </c>
      <c r="H506" s="54">
        <v>60119848</v>
      </c>
      <c r="I506" t="s">
        <v>337</v>
      </c>
      <c r="J506" t="s">
        <v>394</v>
      </c>
    </row>
    <row r="507" spans="1:10" x14ac:dyDescent="0.3">
      <c r="A507" s="39">
        <v>45823.695914351854</v>
      </c>
      <c r="B507" t="s">
        <v>58</v>
      </c>
      <c r="C507">
        <v>7</v>
      </c>
      <c r="D507" t="s">
        <v>371</v>
      </c>
      <c r="E507" t="s">
        <v>87</v>
      </c>
      <c r="F507">
        <v>0.27944999999999998</v>
      </c>
      <c r="G507">
        <v>0.13972499999999999</v>
      </c>
      <c r="H507" s="54">
        <v>60119848</v>
      </c>
      <c r="I507" t="s">
        <v>427</v>
      </c>
      <c r="J507" t="s">
        <v>372</v>
      </c>
    </row>
    <row r="508" spans="1:10" x14ac:dyDescent="0.3">
      <c r="A508" s="39">
        <v>45823.695914351854</v>
      </c>
      <c r="B508" t="s">
        <v>58</v>
      </c>
      <c r="C508">
        <v>116</v>
      </c>
      <c r="D508" t="s">
        <v>371</v>
      </c>
      <c r="E508" t="s">
        <v>60</v>
      </c>
      <c r="F508">
        <v>0.55420000000000003</v>
      </c>
      <c r="G508">
        <v>0.27710000000000001</v>
      </c>
      <c r="H508" s="54">
        <v>60119848</v>
      </c>
      <c r="I508" t="s">
        <v>337</v>
      </c>
      <c r="J508" t="s">
        <v>372</v>
      </c>
    </row>
    <row r="509" spans="1:10" x14ac:dyDescent="0.3">
      <c r="A509" s="39">
        <v>45823.695925925924</v>
      </c>
      <c r="B509" t="s">
        <v>58</v>
      </c>
      <c r="C509">
        <v>35</v>
      </c>
      <c r="D509" t="s">
        <v>371</v>
      </c>
      <c r="E509" t="s">
        <v>427</v>
      </c>
      <c r="F509">
        <v>0.27944999999999998</v>
      </c>
      <c r="G509">
        <v>0.41917499999999996</v>
      </c>
      <c r="H509" s="54">
        <v>60119848</v>
      </c>
      <c r="I509" t="s">
        <v>427</v>
      </c>
      <c r="J509" t="s">
        <v>373</v>
      </c>
    </row>
    <row r="510" spans="1:10" x14ac:dyDescent="0.3">
      <c r="A510" s="39">
        <v>45823.695925925924</v>
      </c>
      <c r="B510" t="s">
        <v>58</v>
      </c>
      <c r="C510">
        <v>110</v>
      </c>
      <c r="D510" t="s">
        <v>392</v>
      </c>
      <c r="E510" t="s">
        <v>337</v>
      </c>
      <c r="G510" t="s">
        <v>337</v>
      </c>
      <c r="H510" s="54">
        <v>60119848</v>
      </c>
      <c r="I510" t="s">
        <v>337</v>
      </c>
      <c r="J510" t="s">
        <v>393</v>
      </c>
    </row>
    <row r="511" spans="1:10" x14ac:dyDescent="0.3">
      <c r="A511" s="39">
        <v>45823.695925925924</v>
      </c>
      <c r="B511" t="s">
        <v>58</v>
      </c>
      <c r="C511">
        <v>110</v>
      </c>
      <c r="D511" t="s">
        <v>371</v>
      </c>
      <c r="E511" t="s">
        <v>337</v>
      </c>
      <c r="F511">
        <v>0</v>
      </c>
      <c r="G511">
        <v>0.27710000000000001</v>
      </c>
      <c r="H511" s="54">
        <v>60119848</v>
      </c>
      <c r="I511" t="s">
        <v>337</v>
      </c>
      <c r="J511" t="s">
        <v>394</v>
      </c>
    </row>
    <row r="512" spans="1:10" x14ac:dyDescent="0.3">
      <c r="A512" s="39">
        <v>45823.695937500001</v>
      </c>
      <c r="B512" t="s">
        <v>217</v>
      </c>
      <c r="C512">
        <v>7</v>
      </c>
      <c r="D512" t="s">
        <v>371</v>
      </c>
      <c r="E512" t="s">
        <v>87</v>
      </c>
      <c r="F512">
        <v>0.27944999999999998</v>
      </c>
      <c r="G512">
        <v>0.13972499999999999</v>
      </c>
      <c r="H512" s="54">
        <v>60119848</v>
      </c>
      <c r="I512" t="s">
        <v>427</v>
      </c>
      <c r="J512" t="s">
        <v>372</v>
      </c>
    </row>
    <row r="513" spans="1:10" x14ac:dyDescent="0.3">
      <c r="A513" s="39">
        <v>45823.695937500001</v>
      </c>
      <c r="B513" t="s">
        <v>217</v>
      </c>
      <c r="C513">
        <v>116</v>
      </c>
      <c r="D513" t="s">
        <v>371</v>
      </c>
      <c r="E513" t="s">
        <v>60</v>
      </c>
      <c r="F513">
        <v>0.64419999999999999</v>
      </c>
      <c r="G513">
        <v>0.3221</v>
      </c>
      <c r="H513" s="54">
        <v>60119848</v>
      </c>
      <c r="I513" t="s">
        <v>337</v>
      </c>
      <c r="J513" t="s">
        <v>372</v>
      </c>
    </row>
    <row r="514" spans="1:10" x14ac:dyDescent="0.3">
      <c r="A514" s="39">
        <v>45823.695937500001</v>
      </c>
      <c r="B514" t="s">
        <v>217</v>
      </c>
      <c r="C514">
        <v>35</v>
      </c>
      <c r="D514" t="s">
        <v>371</v>
      </c>
      <c r="E514" t="s">
        <v>427</v>
      </c>
      <c r="F514">
        <v>0.27944999999999998</v>
      </c>
      <c r="G514">
        <v>0.41917499999999996</v>
      </c>
      <c r="H514" s="54">
        <v>60119848</v>
      </c>
      <c r="I514" t="s">
        <v>427</v>
      </c>
      <c r="J514" t="s">
        <v>373</v>
      </c>
    </row>
    <row r="515" spans="1:10" x14ac:dyDescent="0.3">
      <c r="A515" s="39">
        <v>45823.695949074077</v>
      </c>
      <c r="B515" t="s">
        <v>217</v>
      </c>
      <c r="C515">
        <v>110</v>
      </c>
      <c r="D515" t="s">
        <v>392</v>
      </c>
      <c r="E515" t="s">
        <v>337</v>
      </c>
      <c r="G515" t="s">
        <v>337</v>
      </c>
      <c r="H515" s="54">
        <v>60119848</v>
      </c>
      <c r="I515" t="s">
        <v>337</v>
      </c>
      <c r="J515" t="s">
        <v>393</v>
      </c>
    </row>
    <row r="516" spans="1:10" x14ac:dyDescent="0.3">
      <c r="A516" s="39">
        <v>45823.695949074077</v>
      </c>
      <c r="B516" t="s">
        <v>217</v>
      </c>
      <c r="C516">
        <v>110</v>
      </c>
      <c r="D516" t="s">
        <v>371</v>
      </c>
      <c r="E516" t="s">
        <v>337</v>
      </c>
      <c r="F516">
        <v>0</v>
      </c>
      <c r="G516">
        <v>0.3221</v>
      </c>
      <c r="H516" s="54">
        <v>60119848</v>
      </c>
      <c r="I516" t="s">
        <v>337</v>
      </c>
      <c r="J516" t="s">
        <v>394</v>
      </c>
    </row>
    <row r="517" spans="1:10" x14ac:dyDescent="0.3">
      <c r="A517" s="39">
        <v>45823.695949074077</v>
      </c>
      <c r="B517" t="s">
        <v>218</v>
      </c>
      <c r="C517">
        <v>7</v>
      </c>
      <c r="D517" t="s">
        <v>371</v>
      </c>
      <c r="E517" t="s">
        <v>87</v>
      </c>
      <c r="F517">
        <v>0.27944999999999998</v>
      </c>
      <c r="G517">
        <v>0.13972499999999999</v>
      </c>
      <c r="H517" s="54">
        <v>60119848</v>
      </c>
      <c r="I517" t="s">
        <v>427</v>
      </c>
      <c r="J517" t="s">
        <v>372</v>
      </c>
    </row>
    <row r="518" spans="1:10" x14ac:dyDescent="0.3">
      <c r="A518" s="39">
        <v>45823.695960648147</v>
      </c>
      <c r="B518" t="s">
        <v>218</v>
      </c>
      <c r="C518">
        <v>116</v>
      </c>
      <c r="D518" t="s">
        <v>371</v>
      </c>
      <c r="E518" t="s">
        <v>60</v>
      </c>
      <c r="F518">
        <v>0.779815323</v>
      </c>
      <c r="G518">
        <v>0.3899076615</v>
      </c>
      <c r="H518" s="54">
        <v>60119848</v>
      </c>
      <c r="I518" t="s">
        <v>337</v>
      </c>
      <c r="J518" t="s">
        <v>372</v>
      </c>
    </row>
    <row r="519" spans="1:10" x14ac:dyDescent="0.3">
      <c r="A519" s="39">
        <v>45823.695960648147</v>
      </c>
      <c r="B519" t="s">
        <v>218</v>
      </c>
      <c r="C519">
        <v>35</v>
      </c>
      <c r="D519" t="s">
        <v>371</v>
      </c>
      <c r="E519" t="s">
        <v>427</v>
      </c>
      <c r="F519">
        <v>0.27944999999999998</v>
      </c>
      <c r="G519">
        <v>0.41917499999999996</v>
      </c>
      <c r="H519" s="54">
        <v>60119848</v>
      </c>
      <c r="I519" t="s">
        <v>427</v>
      </c>
      <c r="J519" t="s">
        <v>373</v>
      </c>
    </row>
    <row r="520" spans="1:10" x14ac:dyDescent="0.3">
      <c r="A520" s="39">
        <v>45823.695960648147</v>
      </c>
      <c r="B520" t="s">
        <v>218</v>
      </c>
      <c r="C520">
        <v>110</v>
      </c>
      <c r="D520" t="s">
        <v>392</v>
      </c>
      <c r="E520" t="s">
        <v>337</v>
      </c>
      <c r="G520" t="s">
        <v>337</v>
      </c>
      <c r="H520" s="54">
        <v>60119848</v>
      </c>
      <c r="I520" t="s">
        <v>337</v>
      </c>
      <c r="J520" t="s">
        <v>393</v>
      </c>
    </row>
    <row r="521" spans="1:10" x14ac:dyDescent="0.3">
      <c r="A521" s="39">
        <v>45823.695972222224</v>
      </c>
      <c r="B521" t="s">
        <v>218</v>
      </c>
      <c r="C521">
        <v>110</v>
      </c>
      <c r="D521" t="s">
        <v>371</v>
      </c>
      <c r="E521" t="s">
        <v>337</v>
      </c>
      <c r="F521">
        <v>0</v>
      </c>
      <c r="G521">
        <v>0.3899076615</v>
      </c>
      <c r="H521" s="54">
        <v>60119848</v>
      </c>
      <c r="I521" t="s">
        <v>337</v>
      </c>
      <c r="J521" t="s">
        <v>394</v>
      </c>
    </row>
    <row r="522" spans="1:10" x14ac:dyDescent="0.3">
      <c r="A522" s="39">
        <v>45823.695972222224</v>
      </c>
      <c r="B522" t="s">
        <v>219</v>
      </c>
      <c r="C522">
        <v>7</v>
      </c>
      <c r="D522" t="s">
        <v>371</v>
      </c>
      <c r="E522" t="s">
        <v>87</v>
      </c>
      <c r="F522">
        <v>0.27944999999999998</v>
      </c>
      <c r="G522">
        <v>0.13972499999999999</v>
      </c>
      <c r="H522" s="54">
        <v>60119848</v>
      </c>
      <c r="I522" t="s">
        <v>427</v>
      </c>
      <c r="J522" t="s">
        <v>372</v>
      </c>
    </row>
    <row r="523" spans="1:10" x14ac:dyDescent="0.3">
      <c r="A523" s="39">
        <v>45823.695972222224</v>
      </c>
      <c r="B523" t="s">
        <v>219</v>
      </c>
      <c r="C523">
        <v>116</v>
      </c>
      <c r="D523" t="s">
        <v>371</v>
      </c>
      <c r="E523" t="s">
        <v>60</v>
      </c>
      <c r="F523">
        <v>0.57220000000000004</v>
      </c>
      <c r="G523">
        <v>0.28610000000000002</v>
      </c>
      <c r="H523" s="54">
        <v>60119848</v>
      </c>
      <c r="I523" t="s">
        <v>337</v>
      </c>
      <c r="J523" t="s">
        <v>372</v>
      </c>
    </row>
    <row r="524" spans="1:10" x14ac:dyDescent="0.3">
      <c r="A524" s="39">
        <v>45823.695983796293</v>
      </c>
      <c r="B524" t="s">
        <v>219</v>
      </c>
      <c r="C524">
        <v>35</v>
      </c>
      <c r="D524" t="s">
        <v>371</v>
      </c>
      <c r="E524" t="s">
        <v>427</v>
      </c>
      <c r="F524">
        <v>0.27944999999999998</v>
      </c>
      <c r="G524">
        <v>0.41917499999999996</v>
      </c>
      <c r="H524" s="54">
        <v>60119848</v>
      </c>
      <c r="I524" t="s">
        <v>427</v>
      </c>
      <c r="J524" t="s">
        <v>373</v>
      </c>
    </row>
    <row r="525" spans="1:10" x14ac:dyDescent="0.3">
      <c r="A525" s="39">
        <v>45823.695983796293</v>
      </c>
      <c r="B525" t="s">
        <v>219</v>
      </c>
      <c r="C525">
        <v>110</v>
      </c>
      <c r="D525" t="s">
        <v>392</v>
      </c>
      <c r="E525" t="s">
        <v>337</v>
      </c>
      <c r="G525" t="s">
        <v>337</v>
      </c>
      <c r="H525" s="54">
        <v>60119848</v>
      </c>
      <c r="I525" t="s">
        <v>337</v>
      </c>
      <c r="J525" t="s">
        <v>393</v>
      </c>
    </row>
    <row r="526" spans="1:10" x14ac:dyDescent="0.3">
      <c r="A526" s="39">
        <v>45823.695983796293</v>
      </c>
      <c r="B526" t="s">
        <v>219</v>
      </c>
      <c r="C526">
        <v>110</v>
      </c>
      <c r="D526" t="s">
        <v>371</v>
      </c>
      <c r="E526" t="s">
        <v>337</v>
      </c>
      <c r="F526">
        <v>0</v>
      </c>
      <c r="G526">
        <v>0.28610000000000002</v>
      </c>
      <c r="H526" s="54">
        <v>60119848</v>
      </c>
      <c r="I526" t="s">
        <v>337</v>
      </c>
      <c r="J526" t="s">
        <v>394</v>
      </c>
    </row>
    <row r="527" spans="1:10" x14ac:dyDescent="0.3">
      <c r="A527" s="39">
        <v>45823.69599537037</v>
      </c>
      <c r="B527" t="s">
        <v>220</v>
      </c>
      <c r="C527">
        <v>7</v>
      </c>
      <c r="D527" t="s">
        <v>371</v>
      </c>
      <c r="E527" t="s">
        <v>87</v>
      </c>
      <c r="F527">
        <v>0.27944999999999998</v>
      </c>
      <c r="G527">
        <v>0.13972499999999999</v>
      </c>
      <c r="H527" s="54">
        <v>60119848</v>
      </c>
      <c r="I527" t="s">
        <v>427</v>
      </c>
      <c r="J527" t="s">
        <v>372</v>
      </c>
    </row>
    <row r="528" spans="1:10" x14ac:dyDescent="0.3">
      <c r="A528" s="39">
        <v>45823.69599537037</v>
      </c>
      <c r="B528" t="s">
        <v>220</v>
      </c>
      <c r="C528">
        <v>116</v>
      </c>
      <c r="D528" t="s">
        <v>371</v>
      </c>
      <c r="E528" t="s">
        <v>60</v>
      </c>
      <c r="F528">
        <v>0.57220000000000004</v>
      </c>
      <c r="G528">
        <v>0.28610000000000002</v>
      </c>
      <c r="H528" s="54">
        <v>60119848</v>
      </c>
      <c r="I528" t="s">
        <v>337</v>
      </c>
      <c r="J528" t="s">
        <v>372</v>
      </c>
    </row>
    <row r="529" spans="1:10" x14ac:dyDescent="0.3">
      <c r="A529" s="39">
        <v>45823.69599537037</v>
      </c>
      <c r="B529" t="s">
        <v>220</v>
      </c>
      <c r="C529">
        <v>35</v>
      </c>
      <c r="D529" t="s">
        <v>371</v>
      </c>
      <c r="E529" t="s">
        <v>427</v>
      </c>
      <c r="F529">
        <v>0.27944999999999998</v>
      </c>
      <c r="G529">
        <v>0.41917499999999996</v>
      </c>
      <c r="H529" s="54">
        <v>60119848</v>
      </c>
      <c r="I529" t="s">
        <v>427</v>
      </c>
      <c r="J529" t="s">
        <v>373</v>
      </c>
    </row>
    <row r="530" spans="1:10" x14ac:dyDescent="0.3">
      <c r="A530" s="39">
        <v>45823.696006944447</v>
      </c>
      <c r="B530" t="s">
        <v>220</v>
      </c>
      <c r="C530">
        <v>110</v>
      </c>
      <c r="D530" t="s">
        <v>392</v>
      </c>
      <c r="E530" t="s">
        <v>337</v>
      </c>
      <c r="G530" t="s">
        <v>337</v>
      </c>
      <c r="H530" s="54">
        <v>60119848</v>
      </c>
      <c r="I530" t="s">
        <v>337</v>
      </c>
      <c r="J530" t="s">
        <v>393</v>
      </c>
    </row>
    <row r="531" spans="1:10" x14ac:dyDescent="0.3">
      <c r="A531" s="39">
        <v>45823.696006944447</v>
      </c>
      <c r="B531" t="s">
        <v>220</v>
      </c>
      <c r="C531">
        <v>110</v>
      </c>
      <c r="D531" t="s">
        <v>371</v>
      </c>
      <c r="E531" t="s">
        <v>337</v>
      </c>
      <c r="F531">
        <v>0</v>
      </c>
      <c r="G531">
        <v>0.28610000000000002</v>
      </c>
      <c r="H531" s="54">
        <v>60119848</v>
      </c>
      <c r="I531" t="s">
        <v>337</v>
      </c>
      <c r="J531" t="s">
        <v>394</v>
      </c>
    </row>
  </sheetData>
  <mergeCells count="3">
    <mergeCell ref="L1:M1"/>
    <mergeCell ref="N1:O1"/>
    <mergeCell ref="P1: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2D28-61D1-44F5-BF60-DA85F158584F}">
  <sheetPr codeName="Sheet16"/>
  <dimension ref="B3:U80"/>
  <sheetViews>
    <sheetView showGridLines="0" topLeftCell="A28" zoomScale="85" zoomScaleNormal="85" workbookViewId="0">
      <selection activeCell="E67" sqref="E67"/>
    </sheetView>
  </sheetViews>
  <sheetFormatPr defaultRowHeight="14.4" x14ac:dyDescent="0.3"/>
  <cols>
    <col min="1" max="1" width="3.44140625" bestFit="1" customWidth="1"/>
    <col min="2" max="2" width="5.88671875" bestFit="1" customWidth="1"/>
    <col min="3" max="3" width="36.5546875" bestFit="1" customWidth="1"/>
    <col min="4" max="4" width="41.77734375" customWidth="1"/>
    <col min="5" max="5" width="24.109375" customWidth="1"/>
    <col min="6" max="6" width="22.44140625" bestFit="1" customWidth="1"/>
    <col min="7" max="7" width="16.6640625" bestFit="1" customWidth="1"/>
    <col min="8" max="8" width="16.44140625" bestFit="1" customWidth="1"/>
    <col min="14" max="14" width="29.5546875" customWidth="1"/>
    <col min="17" max="17" width="3.5546875" bestFit="1" customWidth="1"/>
    <col min="18" max="18" width="28.21875" bestFit="1" customWidth="1"/>
    <col min="19" max="19" width="22.5546875" customWidth="1"/>
  </cols>
  <sheetData>
    <row r="3" spans="2:21" x14ac:dyDescent="0.3"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3"/>
    </row>
    <row r="4" spans="2:21" x14ac:dyDescent="0.3">
      <c r="B4" s="25"/>
      <c r="C4" s="248" t="s">
        <v>411</v>
      </c>
      <c r="D4" s="248"/>
      <c r="E4" s="26"/>
      <c r="F4" s="26"/>
      <c r="G4" s="26"/>
      <c r="H4" s="26"/>
      <c r="I4" s="26"/>
      <c r="J4" s="26"/>
      <c r="K4" s="26"/>
      <c r="L4" s="26"/>
      <c r="M4" s="26"/>
      <c r="N4" s="27"/>
    </row>
    <row r="5" spans="2:21" x14ac:dyDescent="0.3">
      <c r="B5" s="25"/>
      <c r="C5" s="248"/>
      <c r="D5" s="248"/>
      <c r="E5" s="26"/>
      <c r="F5" s="26"/>
      <c r="G5" s="26"/>
      <c r="H5" s="26"/>
      <c r="I5" s="26"/>
      <c r="J5" s="26"/>
      <c r="K5" s="26"/>
      <c r="L5" s="26"/>
      <c r="M5" s="26"/>
      <c r="N5" s="27"/>
      <c r="U5" s="26"/>
    </row>
    <row r="6" spans="2:21" x14ac:dyDescent="0.3">
      <c r="B6" s="25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7"/>
      <c r="U6" s="26"/>
    </row>
    <row r="7" spans="2:21" ht="36" x14ac:dyDescent="0.35">
      <c r="B7" s="92" t="s">
        <v>245</v>
      </c>
      <c r="C7" s="96" t="s">
        <v>315</v>
      </c>
      <c r="D7" s="91" t="s">
        <v>69</v>
      </c>
      <c r="E7" s="96" t="s">
        <v>415</v>
      </c>
      <c r="F7" s="96" t="s">
        <v>416</v>
      </c>
      <c r="G7" s="164" t="s">
        <v>409</v>
      </c>
      <c r="H7" s="164" t="s">
        <v>410</v>
      </c>
      <c r="I7" s="26"/>
      <c r="J7" s="26"/>
      <c r="K7" s="26"/>
      <c r="L7" s="26"/>
      <c r="M7" s="26"/>
      <c r="N7" s="27"/>
    </row>
    <row r="8" spans="2:21" ht="18" x14ac:dyDescent="0.35">
      <c r="B8" s="92">
        <v>1</v>
      </c>
      <c r="C8" s="97" t="s">
        <v>316</v>
      </c>
      <c r="D8" s="98" t="s">
        <v>455</v>
      </c>
      <c r="E8" s="169">
        <v>0.29375739115549993</v>
      </c>
      <c r="F8" s="167">
        <v>0.36173769482049611</v>
      </c>
      <c r="G8" s="163">
        <v>4.962509653411469E-2</v>
      </c>
      <c r="H8" s="165">
        <v>6.1096120764448723E-2</v>
      </c>
      <c r="I8" s="26"/>
      <c r="J8" s="26"/>
      <c r="K8" s="26"/>
      <c r="L8" s="26"/>
      <c r="M8" s="26"/>
      <c r="N8" s="27"/>
    </row>
    <row r="9" spans="2:21" ht="18" x14ac:dyDescent="0.35">
      <c r="B9" s="99">
        <v>2</v>
      </c>
      <c r="C9" s="97" t="s">
        <v>334</v>
      </c>
      <c r="D9" s="98" t="s">
        <v>460</v>
      </c>
      <c r="E9" s="169">
        <v>0.29375739115549993</v>
      </c>
      <c r="F9" s="168">
        <v>0.43381477577158878</v>
      </c>
      <c r="G9" s="163">
        <v>4.962509653411469E-2</v>
      </c>
      <c r="H9" s="165">
        <v>7.2474285090526475E-2</v>
      </c>
      <c r="I9" s="26"/>
      <c r="J9" s="26"/>
      <c r="K9" s="26"/>
      <c r="L9" s="26"/>
      <c r="M9" s="26"/>
      <c r="N9" s="27"/>
    </row>
    <row r="10" spans="2:21" ht="18" x14ac:dyDescent="0.35">
      <c r="B10" s="99">
        <v>3</v>
      </c>
      <c r="C10" s="100" t="s">
        <v>335</v>
      </c>
      <c r="D10" s="98"/>
      <c r="E10" s="169">
        <v>0.29375739115549993</v>
      </c>
      <c r="F10" s="168"/>
      <c r="G10" s="163"/>
      <c r="H10" s="165"/>
      <c r="I10" s="26"/>
      <c r="J10" s="26"/>
      <c r="K10" s="26"/>
      <c r="L10" s="26"/>
      <c r="M10" s="26"/>
      <c r="N10" s="27"/>
    </row>
    <row r="11" spans="2:21" ht="18" x14ac:dyDescent="0.35">
      <c r="B11" s="101"/>
      <c r="C11" s="102"/>
      <c r="D11" s="102"/>
      <c r="E11" s="102"/>
      <c r="F11" s="102"/>
      <c r="G11" s="26"/>
      <c r="H11" s="26"/>
      <c r="I11" s="26"/>
      <c r="J11" s="26"/>
      <c r="K11" s="26"/>
      <c r="L11" s="26"/>
      <c r="M11" s="26"/>
      <c r="N11" s="27"/>
    </row>
    <row r="12" spans="2:21" ht="18" x14ac:dyDescent="0.35">
      <c r="B12" s="103" t="s">
        <v>245</v>
      </c>
      <c r="C12" s="104" t="s">
        <v>69</v>
      </c>
      <c r="D12" s="92" t="s">
        <v>318</v>
      </c>
      <c r="G12" s="26"/>
      <c r="H12" s="26"/>
      <c r="I12" s="26"/>
      <c r="J12" s="26"/>
      <c r="K12" s="26"/>
      <c r="L12" s="26"/>
      <c r="M12" s="26"/>
      <c r="N12" s="27"/>
    </row>
    <row r="13" spans="2:21" ht="18" x14ac:dyDescent="0.35">
      <c r="B13" s="92">
        <v>1</v>
      </c>
      <c r="C13" s="105" t="str">
        <f>D8</f>
        <v>SUS-LOAK</v>
      </c>
      <c r="D13" s="105" t="s">
        <v>456</v>
      </c>
      <c r="G13" s="26"/>
      <c r="H13" s="26"/>
      <c r="I13" s="26"/>
      <c r="J13" s="26"/>
      <c r="K13" s="26"/>
      <c r="L13" s="26"/>
      <c r="M13" s="26"/>
      <c r="N13" s="27"/>
    </row>
    <row r="14" spans="2:21" ht="18" x14ac:dyDescent="0.35">
      <c r="B14" s="92">
        <v>2</v>
      </c>
      <c r="C14" s="105" t="str">
        <f>D9</f>
        <v>SUS-SBEH</v>
      </c>
      <c r="D14" s="105" t="s">
        <v>457</v>
      </c>
      <c r="G14" s="26"/>
      <c r="H14" s="26"/>
      <c r="I14" s="26"/>
      <c r="J14" s="26"/>
      <c r="K14" s="26"/>
      <c r="L14" s="26"/>
      <c r="M14" s="26"/>
      <c r="N14" s="27"/>
    </row>
    <row r="15" spans="2:21" ht="18" x14ac:dyDescent="0.35">
      <c r="B15" s="92">
        <v>3</v>
      </c>
      <c r="C15" s="105">
        <f>D10</f>
        <v>0</v>
      </c>
      <c r="D15" s="105"/>
      <c r="G15" s="26"/>
      <c r="H15" s="26"/>
      <c r="I15" s="26"/>
      <c r="J15" s="26"/>
      <c r="K15" s="26"/>
      <c r="L15" s="26"/>
      <c r="M15" s="26"/>
      <c r="N15" s="27"/>
    </row>
    <row r="16" spans="2:21" x14ac:dyDescent="0.3">
      <c r="B16" s="2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7"/>
    </row>
    <row r="17" spans="2:14" x14ac:dyDescent="0.3">
      <c r="B17" s="25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7"/>
    </row>
    <row r="18" spans="2:14" x14ac:dyDescent="0.3">
      <c r="B18" s="25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7"/>
    </row>
    <row r="19" spans="2:14" ht="35.4" customHeight="1" x14ac:dyDescent="0.3">
      <c r="B19" s="2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30"/>
    </row>
    <row r="22" spans="2:14" x14ac:dyDescent="0.3">
      <c r="B22" s="31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3"/>
    </row>
    <row r="23" spans="2:14" x14ac:dyDescent="0.3">
      <c r="B23" s="25"/>
      <c r="C23" s="248" t="s">
        <v>412</v>
      </c>
      <c r="D23" s="248"/>
      <c r="E23" s="26"/>
      <c r="F23" s="26"/>
      <c r="G23" s="26"/>
      <c r="H23" s="26"/>
      <c r="I23" s="26"/>
      <c r="J23" s="26"/>
      <c r="K23" s="26"/>
      <c r="L23" s="26"/>
      <c r="M23" s="26"/>
      <c r="N23" s="27"/>
    </row>
    <row r="24" spans="2:14" x14ac:dyDescent="0.3">
      <c r="B24" s="25"/>
      <c r="C24" s="248"/>
      <c r="D24" s="248"/>
      <c r="E24" s="26"/>
      <c r="F24" s="26"/>
      <c r="G24" s="26"/>
      <c r="H24" s="26"/>
      <c r="I24" s="26"/>
      <c r="J24" s="26"/>
      <c r="K24" s="26"/>
      <c r="L24" s="26"/>
      <c r="M24" s="26"/>
      <c r="N24" s="27"/>
    </row>
    <row r="25" spans="2:14" x14ac:dyDescent="0.3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7"/>
    </row>
    <row r="26" spans="2:14" ht="25.8" x14ac:dyDescent="0.5">
      <c r="B26" s="93" t="s">
        <v>245</v>
      </c>
      <c r="C26" s="94" t="s">
        <v>314</v>
      </c>
      <c r="D26" s="94" t="s">
        <v>403</v>
      </c>
      <c r="E26" s="94" t="s">
        <v>386</v>
      </c>
      <c r="G26" s="26"/>
      <c r="H26" s="26"/>
      <c r="I26" s="26"/>
      <c r="J26" s="26"/>
      <c r="K26" s="26"/>
      <c r="L26" s="26"/>
      <c r="M26" s="26"/>
      <c r="N26" s="27"/>
    </row>
    <row r="27" spans="2:14" ht="25.8" x14ac:dyDescent="0.3">
      <c r="B27" s="93">
        <v>1</v>
      </c>
      <c r="C27" s="95" t="s">
        <v>413</v>
      </c>
      <c r="D27" s="173">
        <v>0.29375739115549993</v>
      </c>
      <c r="E27" s="173">
        <v>4.962509653411469E-2</v>
      </c>
      <c r="G27" s="26"/>
      <c r="H27" s="26"/>
      <c r="I27" s="26"/>
      <c r="J27" s="26"/>
      <c r="K27" s="26"/>
      <c r="L27" s="26"/>
      <c r="M27" s="26"/>
      <c r="N27" s="27"/>
    </row>
    <row r="28" spans="2:14" ht="25.8" x14ac:dyDescent="0.5">
      <c r="B28" s="93">
        <v>2</v>
      </c>
      <c r="C28" s="95" t="s">
        <v>414</v>
      </c>
      <c r="D28" s="178">
        <v>0.43381477577158878</v>
      </c>
      <c r="E28" s="172">
        <v>7.2474285090526475E-2</v>
      </c>
      <c r="G28" s="26"/>
      <c r="H28" s="26"/>
      <c r="I28" s="26"/>
      <c r="J28" s="26"/>
      <c r="K28" s="26"/>
      <c r="L28" s="26"/>
      <c r="M28" s="26"/>
      <c r="N28" s="27"/>
    </row>
    <row r="29" spans="2:14" ht="25.8" x14ac:dyDescent="0.5">
      <c r="B29" s="94">
        <v>3</v>
      </c>
      <c r="C29" s="174" t="s">
        <v>317</v>
      </c>
      <c r="D29" s="210">
        <f>D28-D27</f>
        <v>0.14005738461608885</v>
      </c>
      <c r="E29" s="210">
        <f>E28-E27</f>
        <v>2.2849188556411784E-2</v>
      </c>
      <c r="G29" s="26"/>
      <c r="H29" s="26"/>
      <c r="I29" s="26"/>
      <c r="J29" s="26"/>
      <c r="K29" s="26"/>
      <c r="L29" s="26"/>
      <c r="M29" s="26"/>
      <c r="N29" s="27"/>
    </row>
    <row r="30" spans="2:14" x14ac:dyDescent="0.3"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7"/>
    </row>
    <row r="31" spans="2:14" x14ac:dyDescent="0.3"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7"/>
    </row>
    <row r="32" spans="2:14" x14ac:dyDescent="0.3"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7"/>
    </row>
    <row r="33" spans="2:14" x14ac:dyDescent="0.3"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7"/>
    </row>
    <row r="34" spans="2:14" x14ac:dyDescent="0.3"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7"/>
    </row>
    <row r="35" spans="2:14" x14ac:dyDescent="0.3"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7"/>
    </row>
    <row r="36" spans="2:14" x14ac:dyDescent="0.3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</row>
    <row r="37" spans="2:14" x14ac:dyDescent="0.3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</row>
    <row r="38" spans="2:14" x14ac:dyDescent="0.3">
      <c r="B38" s="28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30"/>
    </row>
    <row r="41" spans="2:14" hidden="1" x14ac:dyDescent="0.3">
      <c r="B41" s="31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3"/>
    </row>
    <row r="42" spans="2:14" hidden="1" x14ac:dyDescent="0.3">
      <c r="B42" s="25"/>
      <c r="C42" s="248" t="s">
        <v>323</v>
      </c>
      <c r="D42" s="248"/>
      <c r="E42" s="26"/>
      <c r="F42" s="26"/>
      <c r="G42" s="26"/>
      <c r="H42" s="26"/>
      <c r="I42" s="26"/>
      <c r="J42" s="26"/>
      <c r="K42" s="26"/>
      <c r="L42" s="26"/>
      <c r="M42" s="26"/>
      <c r="N42" s="27"/>
    </row>
    <row r="43" spans="2:14" hidden="1" x14ac:dyDescent="0.3">
      <c r="B43" s="25"/>
      <c r="C43" s="248"/>
      <c r="D43" s="248"/>
      <c r="E43" s="26"/>
      <c r="F43" s="26"/>
      <c r="G43" s="26"/>
      <c r="H43" s="26"/>
      <c r="I43" s="26"/>
      <c r="J43" s="26"/>
      <c r="K43" s="26"/>
      <c r="L43" s="26"/>
      <c r="M43" s="26"/>
      <c r="N43" s="27"/>
    </row>
    <row r="44" spans="2:14" hidden="1" x14ac:dyDescent="0.3"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</row>
    <row r="45" spans="2:14" hidden="1" x14ac:dyDescent="0.3">
      <c r="B45" s="55" t="s">
        <v>245</v>
      </c>
      <c r="C45" s="53" t="s">
        <v>313</v>
      </c>
      <c r="D45" s="53" t="s">
        <v>242</v>
      </c>
      <c r="E45" s="53" t="s">
        <v>243</v>
      </c>
      <c r="F45" s="57" t="s">
        <v>255</v>
      </c>
      <c r="G45" s="26"/>
      <c r="H45" s="26"/>
      <c r="I45" s="26"/>
      <c r="J45" s="26"/>
      <c r="K45" s="26"/>
      <c r="L45" s="26"/>
      <c r="M45" s="26"/>
      <c r="N45" s="27"/>
    </row>
    <row r="46" spans="2:14" hidden="1" x14ac:dyDescent="0.3">
      <c r="B46" s="55">
        <v>1</v>
      </c>
      <c r="C46" s="56" t="str">
        <f>D13</f>
        <v>SUSTAINABLE OIL</v>
      </c>
      <c r="D46" s="58"/>
      <c r="E46" s="58"/>
      <c r="F46" s="43"/>
      <c r="G46" s="26"/>
      <c r="H46" s="26">
        <v>1.7999999999999998</v>
      </c>
      <c r="I46" s="26">
        <v>1.8376142837079998</v>
      </c>
      <c r="J46" s="26">
        <v>8.7986563270748306</v>
      </c>
      <c r="K46" s="26">
        <v>8.9629085416986616</v>
      </c>
      <c r="L46" s="26"/>
      <c r="M46" s="26"/>
      <c r="N46" s="27"/>
    </row>
    <row r="47" spans="2:14" hidden="1" x14ac:dyDescent="0.3">
      <c r="B47" s="55">
        <v>2</v>
      </c>
      <c r="C47" s="56" t="str">
        <f>D14</f>
        <v>NATURAL RUBBER</v>
      </c>
      <c r="D47" s="58"/>
      <c r="E47" s="58"/>
      <c r="F47" s="43"/>
      <c r="G47" s="26"/>
      <c r="H47" s="26">
        <v>15.473197497596939</v>
      </c>
      <c r="I47" s="26">
        <v>15.478551497596939</v>
      </c>
      <c r="J47" s="26">
        <v>75.635192812394308</v>
      </c>
      <c r="K47" s="26">
        <v>75.496170584283021</v>
      </c>
      <c r="L47" s="26"/>
      <c r="M47" s="26"/>
      <c r="N47" s="27"/>
    </row>
    <row r="48" spans="2:14" hidden="1" x14ac:dyDescent="0.3">
      <c r="B48" s="55">
        <v>3</v>
      </c>
      <c r="C48" s="56">
        <f>D15</f>
        <v>0</v>
      </c>
      <c r="D48" s="58"/>
      <c r="E48" s="58"/>
      <c r="F48" s="43"/>
      <c r="G48" s="26"/>
      <c r="H48" s="26">
        <v>3.1844716406</v>
      </c>
      <c r="I48" s="26">
        <v>3.1862668292562399</v>
      </c>
      <c r="J48" s="26">
        <v>15.566150860530866</v>
      </c>
      <c r="K48" s="26">
        <v>15.540920874018312</v>
      </c>
      <c r="L48" s="26"/>
      <c r="M48" s="26"/>
      <c r="N48" s="27"/>
    </row>
    <row r="49" spans="2:14" hidden="1" x14ac:dyDescent="0.3"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</row>
    <row r="50" spans="2:14" hidden="1" x14ac:dyDescent="0.3"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</row>
    <row r="51" spans="2:14" hidden="1" x14ac:dyDescent="0.3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</row>
    <row r="52" spans="2:14" hidden="1" x14ac:dyDescent="0.3"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</row>
    <row r="53" spans="2:14" hidden="1" x14ac:dyDescent="0.3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</row>
    <row r="54" spans="2:14" hidden="1" x14ac:dyDescent="0.3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</row>
    <row r="55" spans="2:14" hidden="1" x14ac:dyDescent="0.3"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</row>
    <row r="56" spans="2:14" hidden="1" x14ac:dyDescent="0.3"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</row>
    <row r="57" spans="2:14" hidden="1" x14ac:dyDescent="0.3">
      <c r="B57" s="28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30"/>
    </row>
    <row r="60" spans="2:14" x14ac:dyDescent="0.3">
      <c r="B60" s="31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3"/>
    </row>
    <row r="61" spans="2:14" x14ac:dyDescent="0.3">
      <c r="B61" s="25"/>
      <c r="C61" s="248" t="s">
        <v>417</v>
      </c>
      <c r="D61" s="248"/>
      <c r="E61" s="26"/>
      <c r="F61" s="26"/>
      <c r="G61" s="26"/>
      <c r="H61" s="26"/>
      <c r="I61" s="26"/>
      <c r="J61" s="26"/>
      <c r="K61" s="26"/>
      <c r="L61" s="26"/>
      <c r="M61" s="26"/>
      <c r="N61" s="27"/>
    </row>
    <row r="62" spans="2:14" x14ac:dyDescent="0.3">
      <c r="B62" s="25"/>
      <c r="C62" s="248"/>
      <c r="D62" s="248"/>
      <c r="E62" s="26"/>
      <c r="F62" s="26"/>
      <c r="G62" s="26"/>
      <c r="H62" s="26"/>
      <c r="I62" s="26"/>
      <c r="J62" s="26"/>
      <c r="K62" s="26"/>
      <c r="L62" s="26"/>
      <c r="M62" s="26"/>
      <c r="N62" s="27"/>
    </row>
    <row r="63" spans="2:14" x14ac:dyDescent="0.3"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7"/>
    </row>
    <row r="64" spans="2:14" ht="18" x14ac:dyDescent="0.35">
      <c r="B64" s="91" t="s">
        <v>245</v>
      </c>
      <c r="C64" s="92" t="s">
        <v>320</v>
      </c>
      <c r="D64" s="92" t="s">
        <v>318</v>
      </c>
      <c r="E64" s="92" t="s">
        <v>242</v>
      </c>
      <c r="F64" s="92" t="s">
        <v>243</v>
      </c>
      <c r="H64" s="26"/>
      <c r="I64" s="26"/>
      <c r="J64" s="26"/>
      <c r="K64" s="26"/>
      <c r="L64" s="26"/>
      <c r="M64" s="26"/>
      <c r="N64" s="27"/>
    </row>
    <row r="65" spans="2:14" ht="14.4" customHeight="1" x14ac:dyDescent="0.3">
      <c r="B65" s="91">
        <v>1</v>
      </c>
      <c r="C65" s="105" t="s">
        <v>151</v>
      </c>
      <c r="D65" s="105" t="str">
        <f>IFERROR(VLOOKUP(C65,'CATEGORY SPESIFICATION'!D3:E144,2,FALSE),"")</f>
        <v>Oil</v>
      </c>
      <c r="E65" s="106">
        <v>0.46560000000000001</v>
      </c>
      <c r="F65" s="166">
        <v>0.23280000000000001</v>
      </c>
      <c r="G65" s="85"/>
      <c r="H65" s="26"/>
      <c r="I65" s="26"/>
      <c r="J65" s="26"/>
      <c r="K65" s="26"/>
      <c r="L65" s="26"/>
      <c r="M65" s="26"/>
      <c r="N65" s="27"/>
    </row>
    <row r="66" spans="2:14" ht="14.4" customHeight="1" x14ac:dyDescent="0.3">
      <c r="B66" s="91">
        <v>2</v>
      </c>
      <c r="C66" s="105" t="s">
        <v>94</v>
      </c>
      <c r="D66" s="105" t="str">
        <f>IFERROR(VLOOKUP(C66,'CATEGORY SPESIFICATION'!D4:E145,2,FALSE),"")</f>
        <v>Synthetic Rubber</v>
      </c>
      <c r="E66" s="106">
        <v>0.70540000000000003</v>
      </c>
      <c r="F66" s="166">
        <v>0.35270000000000001</v>
      </c>
      <c r="H66" s="26"/>
      <c r="I66" s="26"/>
      <c r="J66" s="26"/>
      <c r="K66" s="26"/>
      <c r="L66" s="26"/>
      <c r="M66" s="26"/>
      <c r="N66" s="27"/>
    </row>
    <row r="67" spans="2:14" ht="18" x14ac:dyDescent="0.3">
      <c r="B67" s="91">
        <v>3</v>
      </c>
      <c r="C67" s="105"/>
      <c r="D67" s="105" t="str">
        <f>IFERROR(VLOOKUP(C67,'CATEGORY SPESIFICATION'!D5:E146,2,FALSE),"")</f>
        <v/>
      </c>
      <c r="E67" s="106"/>
      <c r="F67" s="166"/>
      <c r="H67" s="26"/>
      <c r="I67" s="26"/>
      <c r="J67" s="26"/>
      <c r="K67" s="26"/>
      <c r="L67" s="26"/>
      <c r="M67" s="26"/>
      <c r="N67" s="27"/>
    </row>
    <row r="68" spans="2:14" ht="18" x14ac:dyDescent="0.35">
      <c r="B68" s="101"/>
      <c r="C68" s="102"/>
      <c r="D68" s="102"/>
      <c r="E68" s="102"/>
      <c r="F68" s="102"/>
      <c r="G68" s="102"/>
      <c r="H68" s="26"/>
      <c r="I68" s="26"/>
      <c r="J68" s="26"/>
      <c r="K68" s="26"/>
      <c r="L68" s="26"/>
      <c r="M68" s="26"/>
      <c r="N68" s="27"/>
    </row>
    <row r="69" spans="2:14" ht="18" x14ac:dyDescent="0.35">
      <c r="B69" s="101"/>
      <c r="C69" s="102"/>
      <c r="D69" s="102"/>
      <c r="E69" s="102"/>
      <c r="F69" s="102"/>
      <c r="G69" s="102"/>
      <c r="H69" s="26"/>
      <c r="I69" s="26"/>
      <c r="J69" s="26"/>
      <c r="K69" s="26"/>
      <c r="L69" s="26"/>
      <c r="M69" s="26"/>
      <c r="N69" s="27"/>
    </row>
    <row r="70" spans="2:14" ht="18" x14ac:dyDescent="0.35">
      <c r="B70" s="91" t="s">
        <v>245</v>
      </c>
      <c r="C70" s="92" t="s">
        <v>321</v>
      </c>
      <c r="D70" s="92" t="s">
        <v>318</v>
      </c>
      <c r="E70" s="92" t="s">
        <v>242</v>
      </c>
      <c r="F70" s="92" t="s">
        <v>243</v>
      </c>
      <c r="H70" s="26"/>
      <c r="I70" s="26"/>
      <c r="J70" s="26"/>
      <c r="K70" s="26"/>
      <c r="L70" s="26"/>
      <c r="M70" s="26"/>
      <c r="N70" s="27"/>
    </row>
    <row r="71" spans="2:14" ht="18" x14ac:dyDescent="0.3">
      <c r="B71" s="91">
        <v>1</v>
      </c>
      <c r="C71" s="105" t="str">
        <f>D8</f>
        <v>SUS-LOAK</v>
      </c>
      <c r="D71" s="105" t="str">
        <f>D13</f>
        <v>SUSTAINABLE OIL</v>
      </c>
      <c r="E71" s="106">
        <v>0</v>
      </c>
      <c r="F71" s="166">
        <v>0.23280000000000001</v>
      </c>
      <c r="H71" s="26"/>
      <c r="I71" s="26"/>
      <c r="J71" s="26"/>
      <c r="K71" s="26"/>
      <c r="L71" s="26"/>
      <c r="M71" s="26"/>
      <c r="N71" s="27"/>
    </row>
    <row r="72" spans="2:14" ht="18" x14ac:dyDescent="0.3">
      <c r="B72" s="91">
        <v>2</v>
      </c>
      <c r="C72" s="105" t="str">
        <f>D9</f>
        <v>SUS-SBEH</v>
      </c>
      <c r="D72" s="105" t="str">
        <f>D14</f>
        <v>NATURAL RUBBER</v>
      </c>
      <c r="E72" s="106">
        <v>0</v>
      </c>
      <c r="F72" s="166">
        <v>0.35270000000000001</v>
      </c>
      <c r="H72" s="26"/>
      <c r="I72" s="26"/>
      <c r="J72" s="26"/>
      <c r="K72" s="26"/>
      <c r="L72" s="26"/>
      <c r="M72" s="26"/>
      <c r="N72" s="27"/>
    </row>
    <row r="73" spans="2:14" ht="18" x14ac:dyDescent="0.3">
      <c r="B73" s="91">
        <v>3</v>
      </c>
      <c r="C73" s="105">
        <f>D10</f>
        <v>0</v>
      </c>
      <c r="D73" s="105">
        <f>D15</f>
        <v>0</v>
      </c>
      <c r="E73" s="106"/>
      <c r="F73" s="166"/>
      <c r="H73" s="26"/>
      <c r="I73" s="26"/>
      <c r="J73" s="26"/>
      <c r="K73" s="26"/>
      <c r="L73" s="26"/>
      <c r="M73" s="26"/>
      <c r="N73" s="27"/>
    </row>
    <row r="74" spans="2:14" x14ac:dyDescent="0.3"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7"/>
    </row>
    <row r="75" spans="2:14" x14ac:dyDescent="0.3"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7"/>
    </row>
    <row r="76" spans="2:14" x14ac:dyDescent="0.3">
      <c r="B76" s="28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30"/>
    </row>
    <row r="78" spans="2:14" x14ac:dyDescent="0.3">
      <c r="D78" s="86"/>
    </row>
    <row r="80" spans="2:14" x14ac:dyDescent="0.3">
      <c r="E80" s="85"/>
    </row>
  </sheetData>
  <mergeCells count="4">
    <mergeCell ref="C4:D5"/>
    <mergeCell ref="C23:D24"/>
    <mergeCell ref="C42:D43"/>
    <mergeCell ref="C61:D6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B97A9-6DA5-482C-882F-472D492D88DE}">
  <sheetPr codeName="Sheet11"/>
  <dimension ref="A2:K26"/>
  <sheetViews>
    <sheetView zoomScale="85" zoomScaleNormal="85" workbookViewId="0">
      <selection activeCell="I4" sqref="I4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</cols>
  <sheetData>
    <row r="2" spans="2:11" ht="15" thickBot="1" x14ac:dyDescent="0.35"/>
    <row r="3" spans="2:11" x14ac:dyDescent="0.3">
      <c r="B3" s="14" t="s">
        <v>69</v>
      </c>
      <c r="C3" s="15" t="s">
        <v>223</v>
      </c>
      <c r="D3" s="15" t="s">
        <v>58</v>
      </c>
      <c r="E3" s="15" t="s">
        <v>217</v>
      </c>
      <c r="F3" s="15" t="s">
        <v>218</v>
      </c>
      <c r="G3" s="16" t="s">
        <v>219</v>
      </c>
      <c r="H3" s="17" t="s">
        <v>220</v>
      </c>
      <c r="I3" s="16" t="s">
        <v>348</v>
      </c>
      <c r="J3" s="16">
        <v>2023</v>
      </c>
      <c r="K3" s="17">
        <v>2024</v>
      </c>
    </row>
    <row r="4" spans="2:11" x14ac:dyDescent="0.3">
      <c r="B4" s="18" t="s">
        <v>70</v>
      </c>
      <c r="C4" s="19">
        <f ca="1">VLOOKUP($B4,XYZTU!$L$2:$N$15,3,FALSE)</f>
        <v>1.8954904663315345E-2</v>
      </c>
      <c r="D4" s="19">
        <f>VLOOKUP($B4,SPEC001!$L$2:$N$15,3,FALSE)</f>
        <v>6.1513715565281353E-3</v>
      </c>
      <c r="E4" s="19">
        <f>VLOOKUP($B4,SPEC002!$L$2:$N$15,3,FALSE)</f>
        <v>2.0355552003686931E-3</v>
      </c>
      <c r="F4" s="19">
        <f>VLOOKUP($B4,SPEC003!$L$2:$N$15,3,FALSE)</f>
        <v>6.0203099964227834E-3</v>
      </c>
      <c r="G4" s="19">
        <f>VLOOKUP($B4,SPEC004!$L$2:$N$15,3,FALSE)</f>
        <v>1.7561975843012841E-2</v>
      </c>
      <c r="H4" s="19">
        <f>VLOOKUP($B4,SPEC005!$L$2:$N$15,3,FALSE)</f>
        <v>1.7561975843012841E-2</v>
      </c>
      <c r="I4" s="19">
        <f ca="1">AVERAGE(C4:H4)</f>
        <v>1.1381015517110106E-2</v>
      </c>
      <c r="J4" s="20" cm="1">
        <f t="array" aca="1" ref="J4" ca="1">SUM(C4:I4*$C$17:$I$17)/$J$17</f>
        <v>1.0755977046030192E-2</v>
      </c>
      <c r="K4" s="20" cm="1">
        <f t="array" aca="1" ref="K4" ca="1">SUM(C4:I4*$C$20:$I$20)/$K$20</f>
        <v>1.0860150124543513E-2</v>
      </c>
    </row>
    <row r="5" spans="2:11" x14ac:dyDescent="0.3">
      <c r="B5" s="22" t="s">
        <v>71</v>
      </c>
      <c r="C5" s="19">
        <f ca="1">VLOOKUP($B5,XYZTU!$L$2:$N$15,3,FALSE)</f>
        <v>0.13101480211108696</v>
      </c>
      <c r="D5" s="19">
        <f>VLOOKUP($B5,SPEC001!$L$2:$N$15,3,FALSE)</f>
        <v>0.16378072200360713</v>
      </c>
      <c r="E5" s="19">
        <f>VLOOKUP($B5,SPEC002!$L$2:$N$15,3,FALSE)</f>
        <v>0.19864032318978186</v>
      </c>
      <c r="F5" s="19">
        <f>VLOOKUP($B5,SPEC003!$L$2:$N$15,3,FALSE)</f>
        <v>0.18761225146762806</v>
      </c>
      <c r="G5" s="19">
        <f>VLOOKUP($B5,SPEC004!$L$2:$N$15,3,FALSE)</f>
        <v>0.14037227357250873</v>
      </c>
      <c r="H5" s="19">
        <f>VLOOKUP($B5,SPEC005!$L$2:$N$15,3,FALSE)</f>
        <v>0.14037227357250873</v>
      </c>
      <c r="I5" s="19">
        <f t="shared" ref="I5:I14" ca="1" si="0">AVERAGE(C5:H5)</f>
        <v>0.16029877431952025</v>
      </c>
      <c r="J5" s="20" cm="1">
        <f t="array" aca="1" ref="J5" ca="1">SUM(C5:I5*$C$17:$I$17)/$J$17</f>
        <v>0.16098809551368704</v>
      </c>
      <c r="K5" s="20" cm="1">
        <f t="array" aca="1" ref="K5" ca="1">SUM(C5:I5*$C$20:$I$20)/$K$20</f>
        <v>0.16087320864799257</v>
      </c>
    </row>
    <row r="6" spans="2:11" x14ac:dyDescent="0.3">
      <c r="B6" s="18" t="s">
        <v>72</v>
      </c>
      <c r="C6" s="19">
        <f ca="1">VLOOKUP($B6,XYZTU!$L$2:$N$15,3,FALSE)</f>
        <v>2.1640806651900345E-2</v>
      </c>
      <c r="D6" s="19">
        <f>VLOOKUP($B6,SPEC001!$L$2:$N$15,3,FALSE)</f>
        <v>1.9043583251164557E-2</v>
      </c>
      <c r="E6" s="19">
        <f>VLOOKUP($B6,SPEC002!$L$2:$N$15,3,FALSE)</f>
        <v>2.0029433124754626E-2</v>
      </c>
      <c r="F6" s="19">
        <f>VLOOKUP($B6,SPEC003!$L$2:$N$15,3,FALSE)</f>
        <v>2.5542140108810934E-2</v>
      </c>
      <c r="G6" s="19">
        <f>VLOOKUP($B6,SPEC004!$L$2:$N$15,3,FALSE)</f>
        <v>1.8074002514104855E-2</v>
      </c>
      <c r="H6" s="19">
        <f>VLOOKUP($B6,SPEC005!$L$2:$N$15,3,FALSE)</f>
        <v>1.8074002514104855E-2</v>
      </c>
      <c r="I6" s="19">
        <f t="shared" ca="1" si="0"/>
        <v>2.0400661360806694E-2</v>
      </c>
      <c r="J6" s="20" cm="1">
        <f t="array" aca="1" ref="J6" ca="1">SUM(C6:I6*$C$17:$I$17)/$J$17</f>
        <v>2.0705262479128701E-2</v>
      </c>
      <c r="K6" s="20" cm="1">
        <f t="array" aca="1" ref="K6" ca="1">SUM(C6:I6*$C$20:$I$20)/$K$20</f>
        <v>2.0654495626075034E-2</v>
      </c>
    </row>
    <row r="7" spans="2:11" x14ac:dyDescent="0.3">
      <c r="B7" s="22" t="s">
        <v>73</v>
      </c>
      <c r="C7" s="19">
        <f ca="1">VLOOKUP($B7,XYZTU!$L$2:$N$15,3,FALSE)</f>
        <v>0.12155291017081921</v>
      </c>
      <c r="D7" s="19">
        <f>VLOOKUP($B7,SPEC001!$L$2:$N$15,3,FALSE)</f>
        <v>0.15730948707658282</v>
      </c>
      <c r="E7" s="19">
        <f>VLOOKUP($B7,SPEC002!$L$2:$N$15,3,FALSE)</f>
        <v>9.9426568331670767E-2</v>
      </c>
      <c r="F7" s="19">
        <f>VLOOKUP($B7,SPEC003!$L$2:$N$15,3,FALSE)</f>
        <v>8.2416915225706502E-2</v>
      </c>
      <c r="G7" s="19">
        <f>VLOOKUP($B7,SPEC004!$L$2:$N$15,3,FALSE)</f>
        <v>9.6821306087334177E-2</v>
      </c>
      <c r="H7" s="19">
        <f>VLOOKUP($B7,SPEC005!$L$2:$N$15,3,FALSE)</f>
        <v>9.6821306087334177E-2</v>
      </c>
      <c r="I7" s="19">
        <f t="shared" ca="1" si="0"/>
        <v>0.10905808216324127</v>
      </c>
      <c r="J7" s="20" cm="1">
        <f t="array" aca="1" ref="J7" ca="1">SUM(C7:I7*$C$17:$I$17)/$J$17</f>
        <v>0.11550072649306398</v>
      </c>
      <c r="K7" s="20" cm="1">
        <f t="array" aca="1" ref="K7" ca="1">SUM(C7:I7*$C$20:$I$20)/$K$20</f>
        <v>0.11442695243809353</v>
      </c>
    </row>
    <row r="8" spans="2:11" x14ac:dyDescent="0.3">
      <c r="B8" s="18" t="s">
        <v>74</v>
      </c>
      <c r="C8" s="19">
        <f ca="1">VLOOKUP($B8,XYZTU!$L$2:$N$15,3,FALSE)</f>
        <v>2.9153200945297248E-4</v>
      </c>
      <c r="D8" s="19">
        <f>VLOOKUP($B8,SPEC001!$L$2:$N$15,3,FALSE)</f>
        <v>2.5654376852488785E-4</v>
      </c>
      <c r="E8" s="19">
        <v>1.2948110221686719</v>
      </c>
      <c r="F8" s="19">
        <v>0</v>
      </c>
      <c r="G8" s="19">
        <f>VLOOKUP($B8,SPEC004!$L$2:$N$15,3,FALSE)</f>
        <v>2.4348215649033422E-4</v>
      </c>
      <c r="H8" s="19">
        <f>VLOOKUP($B8,SPEC005!$L$2:$N$15,3,FALSE)</f>
        <v>2.4348215649033422E-4</v>
      </c>
      <c r="I8" s="19">
        <f t="shared" ca="1" si="0"/>
        <v>0.2159743437099384</v>
      </c>
      <c r="J8" s="20" cm="1">
        <f t="array" aca="1" ref="J8" ca="1">SUM(C8:I8*$C$17:$I$17)/$J$17</f>
        <v>0.2418761528353302</v>
      </c>
      <c r="K8" s="20" cm="1">
        <f t="array" aca="1" ref="K8" ca="1">SUM(C8:I8*$C$20:$I$20)/$K$20</f>
        <v>0.2375591846477649</v>
      </c>
    </row>
    <row r="9" spans="2:11" x14ac:dyDescent="0.3">
      <c r="B9" s="22" t="s">
        <v>75</v>
      </c>
      <c r="C9" s="19">
        <f ca="1">VLOOKUP($B9,XYZTU!$L$2:$N$15,3,FALSE)</f>
        <v>3.6056394979870461E-2</v>
      </c>
      <c r="D9" s="19">
        <f>VLOOKUP($B9,SPEC001!$L$2:$N$15,3,FALSE)</f>
        <v>3.1729083420083085E-2</v>
      </c>
      <c r="E9" s="19">
        <f>VLOOKUP($B9,SPEC002!$L$2:$N$15,3,FALSE)</f>
        <v>3.3371637369424771E-2</v>
      </c>
      <c r="F9" s="19">
        <f>VLOOKUP($B9,SPEC003!$L$2:$N$15,3,FALSE)</f>
        <v>4.2556523294551334E-2</v>
      </c>
      <c r="G9" s="19">
        <f>VLOOKUP($B9,SPEC004!$L$2:$N$15,3,FALSE)</f>
        <v>3.0113635965529507E-2</v>
      </c>
      <c r="H9" s="19">
        <f>VLOOKUP($B9,SPEC005!$L$2:$N$15,3,FALSE)</f>
        <v>3.0113635965529507E-2</v>
      </c>
      <c r="I9" s="19">
        <f t="shared" ca="1" si="0"/>
        <v>3.3990151832498115E-2</v>
      </c>
      <c r="J9" s="20" cm="1">
        <f t="array" aca="1" ref="J9" ca="1">SUM(C9:I9*$C$17:$I$17)/$J$17</f>
        <v>3.449765686270289E-2</v>
      </c>
      <c r="K9" s="20" cm="1">
        <f t="array" aca="1" ref="K9" ca="1">SUM(C9:I9*$C$20:$I$20)/$K$20</f>
        <v>3.4413072691002092E-2</v>
      </c>
    </row>
    <row r="10" spans="2:11" x14ac:dyDescent="0.3">
      <c r="B10" s="18" t="s">
        <v>76</v>
      </c>
      <c r="C10" s="19">
        <f ca="1">VLOOKUP($B10,XYZTU!$L$2:$N$15,3,FALSE)</f>
        <v>0</v>
      </c>
      <c r="D10" s="19">
        <f>VLOOKUP($B10,SPEC001!$L$2:$N$15,3,FALSE)</f>
        <v>0</v>
      </c>
      <c r="E10" s="19">
        <f>VLOOKUP($B10,SPEC002!$L$2:$N$15,3,FALSE)</f>
        <v>0</v>
      </c>
      <c r="F10" s="19">
        <f>VLOOKUP($B10,SPEC003!$L$2:$N$15,3,FALSE)</f>
        <v>0</v>
      </c>
      <c r="G10" s="19">
        <f>VLOOKUP($B10,SPEC004!$L$2:$N$15,3,FALSE)</f>
        <v>0</v>
      </c>
      <c r="H10" s="19">
        <f>VLOOKUP($B10,SPEC005!$L$2:$N$15,3,FALSE)</f>
        <v>0</v>
      </c>
      <c r="I10" s="19">
        <f t="shared" ca="1" si="0"/>
        <v>0</v>
      </c>
      <c r="J10" s="20" cm="1">
        <f t="array" aca="1" ref="J10" ca="1">SUM(C10:I10*$C$17:$I$17)/$J$17</f>
        <v>0</v>
      </c>
      <c r="K10" s="20" cm="1">
        <f t="array" aca="1" ref="K10" ca="1">SUM(C10:I10*$C$20:$I$20)/$K$20</f>
        <v>0</v>
      </c>
    </row>
    <row r="11" spans="2:11" x14ac:dyDescent="0.3">
      <c r="B11" s="22" t="s">
        <v>77</v>
      </c>
      <c r="C11" s="19">
        <f ca="1">VLOOKUP($B11,XYZTU!$L$2:$N$15,3,FALSE)</f>
        <v>0.50168911437816321</v>
      </c>
      <c r="D11" s="19">
        <f>VLOOKUP($B11,SPEC001!$L$2:$N$15,3,FALSE)</f>
        <v>0.57081457005053249</v>
      </c>
      <c r="E11" s="19">
        <f>VLOOKUP($B11,SPEC002!$L$2:$N$15,3,FALSE)</f>
        <v>0.5448263838057249</v>
      </c>
      <c r="F11" s="19">
        <f>VLOOKUP($B11,SPEC003!$L$2:$N$15,3,FALSE)</f>
        <v>0.57063190184378954</v>
      </c>
      <c r="G11" s="19">
        <f>VLOOKUP($B11,SPEC004!$L$2:$N$15,3,FALSE)</f>
        <v>0.59809026987093306</v>
      </c>
      <c r="H11" s="19">
        <f>VLOOKUP($B11,SPEC005!$L$2:$N$15,3,FALSE)</f>
        <v>0.59809026987093306</v>
      </c>
      <c r="I11" s="19">
        <f t="shared" ca="1" si="0"/>
        <v>0.56402375163667939</v>
      </c>
      <c r="J11" s="20" cm="1">
        <f t="array" aca="1" ref="J11" ca="1">SUM(C11:I11*$C$17:$I$17)/$J$17</f>
        <v>0.55223098373741708</v>
      </c>
      <c r="K11" s="20" cm="1">
        <f t="array" aca="1" ref="K11" ca="1">SUM(C11:I11*$C$20:$I$20)/$K$20</f>
        <v>0.55419644505396093</v>
      </c>
    </row>
    <row r="12" spans="2:11" x14ac:dyDescent="0.3">
      <c r="B12" s="18" t="s">
        <v>78</v>
      </c>
      <c r="C12" s="19">
        <f ca="1">VLOOKUP($B12,XYZTU!$L$2:$N$15,3,FALSE)</f>
        <v>2.5007623096767229E-2</v>
      </c>
      <c r="D12" s="19">
        <f>VLOOKUP($B12,SPEC001!$L$2:$N$15,3,FALSE)</f>
        <v>1.2588959071742588E-2</v>
      </c>
      <c r="E12" s="19">
        <f>VLOOKUP($B12,SPEC002!$L$2:$N$15,3,FALSE)</f>
        <v>1.5390899766167983E-2</v>
      </c>
      <c r="F12" s="19">
        <f>VLOOKUP($B12,SPEC003!$L$2:$N$15,3,FALSE)</f>
        <v>2.3758754981885434E-2</v>
      </c>
      <c r="G12" s="19">
        <f>VLOOKUP($B12,SPEC004!$L$2:$N$15,3,FALSE)</f>
        <v>1.2336069945214766E-2</v>
      </c>
      <c r="H12" s="19">
        <f>VLOOKUP($B12,SPEC005!$L$2:$N$15,3,FALSE)</f>
        <v>1.2336069945214766E-2</v>
      </c>
      <c r="I12" s="19">
        <f t="shared" ca="1" si="0"/>
        <v>1.6903062801165464E-2</v>
      </c>
      <c r="J12" s="20" cm="1">
        <f t="array" aca="1" ref="J12" ca="1">SUM(C12:I12*$C$17:$I$17)/$J$17</f>
        <v>1.8018034359598027E-2</v>
      </c>
      <c r="K12" s="20" cm="1">
        <f t="array" aca="1" ref="K12" ca="1">SUM(C12:I12*$C$20:$I$20)/$K$20</f>
        <v>1.783220576652593E-2</v>
      </c>
    </row>
    <row r="13" spans="2:11" x14ac:dyDescent="0.3">
      <c r="B13" s="22" t="s">
        <v>79</v>
      </c>
      <c r="C13" s="19">
        <f ca="1">VLOOKUP($B13,XYZTU!$L$2:$N$15,3,FALSE)</f>
        <v>0.14379191193862428</v>
      </c>
      <c r="D13" s="19">
        <f>VLOOKUP($B13,SPEC001!$L$2:$N$15,3,FALSE)</f>
        <v>3.8325679801234379E-2</v>
      </c>
      <c r="E13" s="19">
        <f>VLOOKUP($B13,SPEC002!$L$2:$N$15,3,FALSE)</f>
        <v>8.6009374663465907E-2</v>
      </c>
      <c r="F13" s="19">
        <f>VLOOKUP($B13,SPEC003!$L$2:$N$15,3,FALSE)</f>
        <v>6.1117114639798097E-2</v>
      </c>
      <c r="G13" s="19">
        <f>VLOOKUP($B13,SPEC004!$L$2:$N$15,3,FALSE)</f>
        <v>8.6386984044871648E-2</v>
      </c>
      <c r="H13" s="19">
        <f>VLOOKUP($B13,SPEC005!$L$2:$N$15,3,FALSE)</f>
        <v>8.6386984044871648E-2</v>
      </c>
      <c r="I13" s="19">
        <f t="shared" ca="1" si="0"/>
        <v>8.366967485547766E-2</v>
      </c>
      <c r="J13" s="20" cm="1">
        <f t="array" aca="1" ref="J13" ca="1">SUM(C13:I13*$C$17:$I$17)/$J$17</f>
        <v>8.7024334590708047E-2</v>
      </c>
      <c r="K13" s="20" cm="1">
        <f t="array" aca="1" ref="K13" ca="1">SUM(C13:I13*$C$20:$I$20)/$K$20</f>
        <v>8.6465224634836316E-2</v>
      </c>
    </row>
    <row r="14" spans="2:11" x14ac:dyDescent="0.3">
      <c r="B14" s="18" t="s">
        <v>80</v>
      </c>
      <c r="C14" s="19">
        <f ca="1">VLOOKUP($B14,XYZTU!$L$2:$N$15,3,FALSE)</f>
        <v>0</v>
      </c>
      <c r="D14" s="19">
        <f>VLOOKUP($B14,SPEC001!$L$2:$N$15,3,FALSE)</f>
        <v>0</v>
      </c>
      <c r="E14" s="19">
        <f>VLOOKUP($B14,SPEC002!$L$2:$N$15,3,FALSE)</f>
        <v>0</v>
      </c>
      <c r="F14" s="19">
        <f>VLOOKUP($B14,SPEC003!$L$2:$N$15,3,FALSE)</f>
        <v>0</v>
      </c>
      <c r="G14" s="19">
        <f>VLOOKUP($B14,SPEC004!$L$2:$N$15,3,FALSE)</f>
        <v>0</v>
      </c>
      <c r="H14" s="19">
        <f>VLOOKUP($B14,SPEC005!$L$2:$N$15,3,FALSE)</f>
        <v>0</v>
      </c>
      <c r="I14" s="19">
        <f t="shared" ca="1" si="0"/>
        <v>0</v>
      </c>
      <c r="J14" s="20" cm="1">
        <f t="array" aca="1" ref="J14" ca="1">SUM(C14:I14*$C$17:$I$17)/$J$17</f>
        <v>0</v>
      </c>
      <c r="K14" s="20" cm="1">
        <f t="array" aca="1" ref="K14" ca="1">SUM(C14:I14*$C$20:$I$20)/$K$20</f>
        <v>0</v>
      </c>
    </row>
    <row r="15" spans="2:11" x14ac:dyDescent="0.3">
      <c r="B15" s="23" t="s">
        <v>81</v>
      </c>
      <c r="C15" s="19">
        <f ca="1">VLOOKUP($B15,XYZTU!$L$2:$N$15,3,FALSE)</f>
        <v>1</v>
      </c>
      <c r="D15" s="19">
        <f>VLOOKUP($B15,SPEC001!$L$2:$N$15,3,FALSE)</f>
        <v>1.0000000000000002</v>
      </c>
      <c r="E15" s="19">
        <f>VLOOKUP($B15,SPEC002!$L$2:$N$15,3,FALSE)</f>
        <v>1</v>
      </c>
      <c r="F15" s="19">
        <f>VLOOKUP($B15,SPEC003!$L$2:$N$15,3,FALSE)</f>
        <v>1</v>
      </c>
      <c r="G15" s="20">
        <f>VLOOKUP($B15,SPEC004!$L$2:$N$15,3,FALSE)</f>
        <v>0.99999999999999989</v>
      </c>
      <c r="H15" s="21">
        <f>SUM(H4:H14)</f>
        <v>0.99999999999999989</v>
      </c>
      <c r="I15" s="19">
        <f ca="1">SUM(I4:I14)</f>
        <v>1.2156995181964374</v>
      </c>
      <c r="J15" s="19">
        <f ca="1">SUM(J4:J14)</f>
        <v>1.241597223917666</v>
      </c>
      <c r="K15" s="19">
        <f ca="1">SUM(K4:K14)</f>
        <v>1.2372809396307949</v>
      </c>
    </row>
    <row r="16" spans="2:11" ht="15" thickBot="1" x14ac:dyDescent="0.35">
      <c r="B16" s="77" t="s">
        <v>82</v>
      </c>
      <c r="C16" s="78">
        <f ca="1">VLOOKUP($B16,XYZTU!$L$2:$N$15,3,FALSE)</f>
        <v>6.5894866421435896E-2</v>
      </c>
      <c r="D16" s="78">
        <f>SUM(D4,D6,D8,D10,D12,D14)</f>
        <v>3.8040457647960171E-2</v>
      </c>
      <c r="E16" s="78">
        <f>VLOOKUP($B16,SPEC002!$L$2:$N$15,3,FALSE)</f>
        <v>3.7725712639931727E-2</v>
      </c>
      <c r="F16" s="78">
        <f>VLOOKUP($B16,SPEC003!$L$2:$N$15,3,FALSE)</f>
        <v>5.566529352852654E-2</v>
      </c>
      <c r="G16" s="78">
        <f>VLOOKUP($B16,SPEC004!$L$2:$N$15,3,FALSE)</f>
        <v>4.8215530458822792E-2</v>
      </c>
      <c r="H16" s="78">
        <f>VLOOKUP($B16,SPEC004!$L$2:$N$15,3,FALSE)</f>
        <v>4.8215530458822792E-2</v>
      </c>
      <c r="I16" s="63">
        <f ca="1">SUM(I14,I12,I10,I8,I6,I4)</f>
        <v>0.26465908338902067</v>
      </c>
      <c r="J16" s="63">
        <f ca="1">SUM(J14,J12,J10,J8,J6,J4)</f>
        <v>0.29135542672008713</v>
      </c>
      <c r="K16" s="63">
        <f ca="1">SUM(K14,K12,K10,K8,K6,K4)</f>
        <v>0.28690603616490934</v>
      </c>
    </row>
    <row r="17" spans="1:11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65">
        <v>1000</v>
      </c>
      <c r="I17" s="65">
        <f>J17-SUM(C17:H17)</f>
        <v>4000</v>
      </c>
      <c r="J17" s="65">
        <v>25000</v>
      </c>
      <c r="K17" s="66"/>
    </row>
    <row r="18" spans="1:11" x14ac:dyDescent="0.3">
      <c r="A18" s="220"/>
      <c r="B18" s="67" t="s">
        <v>340</v>
      </c>
      <c r="C18" s="62">
        <f>C17/$J$17</f>
        <v>0.24</v>
      </c>
      <c r="D18" s="62">
        <f t="shared" ref="D18:I18" si="1">D17/$J$17</f>
        <v>0.2</v>
      </c>
      <c r="E18" s="62">
        <f t="shared" si="1"/>
        <v>0.16</v>
      </c>
      <c r="F18" s="62">
        <f t="shared" si="1"/>
        <v>0.12</v>
      </c>
      <c r="G18" s="62">
        <f t="shared" si="1"/>
        <v>0.08</v>
      </c>
      <c r="H18" s="62">
        <f t="shared" si="1"/>
        <v>0.04</v>
      </c>
      <c r="I18" s="62">
        <f t="shared" si="1"/>
        <v>0.16</v>
      </c>
      <c r="J18" s="74">
        <f>SUM(C18:I18)</f>
        <v>1</v>
      </c>
      <c r="K18" s="68"/>
    </row>
    <row r="19" spans="1:11" ht="15" thickBot="1" x14ac:dyDescent="0.35">
      <c r="A19" s="220"/>
      <c r="B19" s="69" t="s">
        <v>341</v>
      </c>
      <c r="C19" s="70">
        <f ca="1">C16*C18</f>
        <v>1.5814767941144614E-2</v>
      </c>
      <c r="D19" s="70">
        <f t="shared" ref="D19:I19" si="2">D16*D18</f>
        <v>7.6080915295920343E-3</v>
      </c>
      <c r="E19" s="70">
        <f t="shared" si="2"/>
        <v>6.0361140223890762E-3</v>
      </c>
      <c r="F19" s="70">
        <f t="shared" si="2"/>
        <v>6.6798352234231848E-3</v>
      </c>
      <c r="G19" s="70">
        <f t="shared" si="2"/>
        <v>3.8572424367058233E-3</v>
      </c>
      <c r="H19" s="70">
        <f t="shared" si="2"/>
        <v>1.9286212183529116E-3</v>
      </c>
      <c r="I19" s="70">
        <f t="shared" ca="1" si="2"/>
        <v>4.2345453342243308E-2</v>
      </c>
      <c r="J19" s="71">
        <f ca="1">SUM(C19:I19)</f>
        <v>8.4270125713850952E-2</v>
      </c>
      <c r="K19" s="72"/>
    </row>
    <row r="20" spans="1:11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65">
        <v>2000</v>
      </c>
      <c r="I20" s="65">
        <f>K20-SUM(C20:H20)</f>
        <v>3000</v>
      </c>
      <c r="J20" s="65"/>
      <c r="K20" s="66">
        <v>30000</v>
      </c>
    </row>
    <row r="21" spans="1:11" x14ac:dyDescent="0.3">
      <c r="A21" s="220"/>
      <c r="B21" s="67" t="s">
        <v>340</v>
      </c>
      <c r="C21" s="62">
        <f>C20/$K$20</f>
        <v>0.23333333333333334</v>
      </c>
      <c r="D21" s="62">
        <f t="shared" ref="D21:I21" si="3">D20/$K$20</f>
        <v>0.2</v>
      </c>
      <c r="E21" s="62">
        <f t="shared" si="3"/>
        <v>0.16666666666666666</v>
      </c>
      <c r="F21" s="62">
        <f t="shared" si="3"/>
        <v>0.13333333333333333</v>
      </c>
      <c r="G21" s="62">
        <f t="shared" si="3"/>
        <v>0.1</v>
      </c>
      <c r="H21" s="62">
        <f t="shared" si="3"/>
        <v>6.6666666666666666E-2</v>
      </c>
      <c r="I21" s="62">
        <f t="shared" si="3"/>
        <v>0.1</v>
      </c>
      <c r="J21" s="74"/>
      <c r="K21" s="75">
        <f>SUM(C21:I21)</f>
        <v>0.99999999999999989</v>
      </c>
    </row>
    <row r="22" spans="1:11" ht="15" thickBot="1" x14ac:dyDescent="0.35">
      <c r="A22" s="221"/>
      <c r="B22" s="69" t="s">
        <v>341</v>
      </c>
      <c r="C22" s="70">
        <f ca="1">C21*C16</f>
        <v>1.5375468831668376E-2</v>
      </c>
      <c r="D22" s="70">
        <f t="shared" ref="D22:I22" si="4">D21*D16</f>
        <v>7.6080915295920343E-3</v>
      </c>
      <c r="E22" s="70">
        <f t="shared" si="4"/>
        <v>6.2876187733219542E-3</v>
      </c>
      <c r="F22" s="70">
        <f t="shared" si="4"/>
        <v>7.4220391371368722E-3</v>
      </c>
      <c r="G22" s="70">
        <f t="shared" si="4"/>
        <v>4.8215530458822799E-3</v>
      </c>
      <c r="H22" s="70">
        <f t="shared" si="4"/>
        <v>3.2143686972548528E-3</v>
      </c>
      <c r="I22" s="70">
        <f t="shared" ca="1" si="4"/>
        <v>2.6465908338902069E-2</v>
      </c>
      <c r="J22" s="73"/>
      <c r="K22" s="76">
        <f ca="1">SUM(C22:I22)</f>
        <v>7.119504835375845E-2</v>
      </c>
    </row>
    <row r="25" spans="1:11" x14ac:dyDescent="0.3">
      <c r="B25" s="52"/>
    </row>
    <row r="26" spans="1:11" x14ac:dyDescent="0.3">
      <c r="B26" s="81">
        <f ca="1">SUM(C16:H16)</f>
        <v>0.29375739115549993</v>
      </c>
    </row>
  </sheetData>
  <mergeCells count="2">
    <mergeCell ref="A17:A19"/>
    <mergeCell ref="A20:A2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048D9-38F0-422A-A14C-A6C51686E25F}">
  <sheetPr codeName="Sheet9"/>
  <dimension ref="A2:D101"/>
  <sheetViews>
    <sheetView workbookViewId="0">
      <selection activeCell="H17" sqref="H17"/>
    </sheetView>
  </sheetViews>
  <sheetFormatPr defaultRowHeight="14.4" x14ac:dyDescent="0.3"/>
  <cols>
    <col min="2" max="2" width="15.6640625" bestFit="1" customWidth="1"/>
    <col min="3" max="3" width="17.44140625" bestFit="1" customWidth="1"/>
    <col min="4" max="4" width="17.77734375" bestFit="1" customWidth="1"/>
  </cols>
  <sheetData>
    <row r="2" spans="1:4" x14ac:dyDescent="0.3">
      <c r="A2">
        <v>1</v>
      </c>
      <c r="B2" s="39">
        <v>45812.643796296295</v>
      </c>
      <c r="C2" t="s">
        <v>232</v>
      </c>
      <c r="D2" t="s">
        <v>234</v>
      </c>
    </row>
    <row r="3" spans="1:4" x14ac:dyDescent="0.3">
      <c r="A3">
        <v>2</v>
      </c>
      <c r="B3" s="39">
        <v>45812.644861111112</v>
      </c>
      <c r="C3" t="s">
        <v>232</v>
      </c>
      <c r="D3" t="s">
        <v>234</v>
      </c>
    </row>
    <row r="4" spans="1:4" x14ac:dyDescent="0.3">
      <c r="A4">
        <v>3</v>
      </c>
      <c r="B4" s="39">
        <v>45812.681006944447</v>
      </c>
      <c r="C4" t="s">
        <v>235</v>
      </c>
      <c r="D4" t="s">
        <v>234</v>
      </c>
    </row>
    <row r="5" spans="1:4" x14ac:dyDescent="0.3">
      <c r="A5">
        <v>4</v>
      </c>
      <c r="B5" s="39">
        <v>45816.487118055556</v>
      </c>
      <c r="C5" t="s">
        <v>235</v>
      </c>
    </row>
    <row r="6" spans="1:4" x14ac:dyDescent="0.3">
      <c r="A6">
        <v>5</v>
      </c>
      <c r="B6" s="39">
        <v>45816.488703703704</v>
      </c>
      <c r="C6" t="s">
        <v>244</v>
      </c>
    </row>
    <row r="7" spans="1:4" x14ac:dyDescent="0.3">
      <c r="A7">
        <v>6</v>
      </c>
      <c r="B7" s="39">
        <v>45816.489027777781</v>
      </c>
      <c r="C7" t="s">
        <v>235</v>
      </c>
      <c r="D7" t="s">
        <v>244</v>
      </c>
    </row>
    <row r="8" spans="1:4" x14ac:dyDescent="0.3">
      <c r="A8">
        <v>7</v>
      </c>
      <c r="B8" s="39">
        <v>45816.505891203706</v>
      </c>
      <c r="D8" t="s">
        <v>244</v>
      </c>
    </row>
    <row r="9" spans="1:4" x14ac:dyDescent="0.3">
      <c r="A9">
        <v>8</v>
      </c>
      <c r="B9" s="39">
        <v>45816.506168981483</v>
      </c>
      <c r="D9" t="s">
        <v>244</v>
      </c>
    </row>
    <row r="10" spans="1:4" x14ac:dyDescent="0.3">
      <c r="A10">
        <v>9</v>
      </c>
      <c r="B10" s="39">
        <v>45816.506319444445</v>
      </c>
      <c r="D10" t="s">
        <v>244</v>
      </c>
    </row>
    <row r="11" spans="1:4" x14ac:dyDescent="0.3">
      <c r="A11">
        <v>10</v>
      </c>
      <c r="B11" s="39">
        <v>45816.507037037038</v>
      </c>
      <c r="D11" t="s">
        <v>244</v>
      </c>
    </row>
    <row r="12" spans="1:4" x14ac:dyDescent="0.3">
      <c r="A12">
        <v>11</v>
      </c>
      <c r="B12" s="39">
        <v>45816.507071759261</v>
      </c>
      <c r="D12" t="s">
        <v>244</v>
      </c>
    </row>
    <row r="13" spans="1:4" x14ac:dyDescent="0.3">
      <c r="A13">
        <v>12</v>
      </c>
      <c r="B13" s="39">
        <v>45816.507106481484</v>
      </c>
      <c r="D13" t="s">
        <v>244</v>
      </c>
    </row>
    <row r="14" spans="1:4" x14ac:dyDescent="0.3">
      <c r="A14">
        <v>13</v>
      </c>
      <c r="B14" s="39">
        <v>45816.56821759259</v>
      </c>
      <c r="D14" t="s">
        <v>250</v>
      </c>
    </row>
    <row r="15" spans="1:4" x14ac:dyDescent="0.3">
      <c r="A15">
        <v>14</v>
      </c>
      <c r="B15" s="39">
        <v>45816.568333333336</v>
      </c>
      <c r="D15" t="s">
        <v>251</v>
      </c>
    </row>
    <row r="16" spans="1:4" x14ac:dyDescent="0.3">
      <c r="A16">
        <v>15</v>
      </c>
      <c r="B16" s="39">
        <v>45816.568541666667</v>
      </c>
      <c r="D16" t="s">
        <v>252</v>
      </c>
    </row>
    <row r="17" spans="1:4" x14ac:dyDescent="0.3">
      <c r="A17">
        <v>16</v>
      </c>
      <c r="B17" s="39">
        <v>45816.568611111114</v>
      </c>
      <c r="D17" t="s">
        <v>253</v>
      </c>
    </row>
    <row r="18" spans="1:4" x14ac:dyDescent="0.3">
      <c r="A18">
        <v>17</v>
      </c>
      <c r="B18" s="39">
        <v>45816.568738425929</v>
      </c>
      <c r="D18" t="s">
        <v>254</v>
      </c>
    </row>
    <row r="19" spans="1:4" x14ac:dyDescent="0.3">
      <c r="A19">
        <v>18</v>
      </c>
      <c r="B19" s="39">
        <v>45816.569675925923</v>
      </c>
      <c r="C19" t="s">
        <v>235</v>
      </c>
      <c r="D19" t="s">
        <v>256</v>
      </c>
    </row>
    <row r="20" spans="1:4" x14ac:dyDescent="0.3">
      <c r="A20">
        <v>19</v>
      </c>
      <c r="B20" s="39">
        <v>45816.57104166667</v>
      </c>
      <c r="C20" t="s">
        <v>235</v>
      </c>
      <c r="D20" t="s">
        <v>257</v>
      </c>
    </row>
    <row r="21" spans="1:4" x14ac:dyDescent="0.3">
      <c r="A21">
        <v>20</v>
      </c>
      <c r="B21" s="39">
        <v>45816.574641203704</v>
      </c>
      <c r="C21" t="s">
        <v>235</v>
      </c>
      <c r="D21" t="s">
        <v>264</v>
      </c>
    </row>
    <row r="22" spans="1:4" x14ac:dyDescent="0.3">
      <c r="A22">
        <v>21</v>
      </c>
      <c r="B22" s="39">
        <v>45816.575868055559</v>
      </c>
      <c r="C22" t="s">
        <v>235</v>
      </c>
      <c r="D22" t="s">
        <v>265</v>
      </c>
    </row>
    <row r="23" spans="1:4" x14ac:dyDescent="0.3">
      <c r="A23">
        <v>22</v>
      </c>
      <c r="B23" s="39">
        <v>45816.577094907407</v>
      </c>
      <c r="C23" t="s">
        <v>235</v>
      </c>
      <c r="D23" t="s">
        <v>266</v>
      </c>
    </row>
    <row r="24" spans="1:4" x14ac:dyDescent="0.3">
      <c r="A24">
        <v>23</v>
      </c>
      <c r="B24" s="39">
        <v>45816.577916666669</v>
      </c>
      <c r="C24" t="s">
        <v>235</v>
      </c>
      <c r="D24" t="s">
        <v>267</v>
      </c>
    </row>
    <row r="25" spans="1:4" x14ac:dyDescent="0.3">
      <c r="A25">
        <v>24</v>
      </c>
      <c r="B25" s="39">
        <v>45816.578148148146</v>
      </c>
      <c r="C25" t="s">
        <v>235</v>
      </c>
      <c r="D25" t="s">
        <v>268</v>
      </c>
    </row>
    <row r="26" spans="1:4" x14ac:dyDescent="0.3">
      <c r="A26">
        <v>25</v>
      </c>
      <c r="B26" s="39">
        <v>45816.584699074076</v>
      </c>
      <c r="C26" t="s">
        <v>235</v>
      </c>
      <c r="D26" t="s">
        <v>270</v>
      </c>
    </row>
    <row r="27" spans="1:4" x14ac:dyDescent="0.3">
      <c r="A27">
        <v>26</v>
      </c>
      <c r="B27" s="39">
        <v>45816.586342592593</v>
      </c>
      <c r="C27" t="s">
        <v>235</v>
      </c>
      <c r="D27" t="s">
        <v>271</v>
      </c>
    </row>
    <row r="28" spans="1:4" x14ac:dyDescent="0.3">
      <c r="A28">
        <v>27</v>
      </c>
      <c r="B28" s="39">
        <v>45816.587951388887</v>
      </c>
      <c r="C28" t="s">
        <v>235</v>
      </c>
      <c r="D28" t="s">
        <v>272</v>
      </c>
    </row>
    <row r="29" spans="1:4" x14ac:dyDescent="0.3">
      <c r="A29">
        <v>28</v>
      </c>
      <c r="B29" s="39">
        <v>45816.588645833333</v>
      </c>
      <c r="C29" t="s">
        <v>235</v>
      </c>
      <c r="D29" t="s">
        <v>273</v>
      </c>
    </row>
    <row r="30" spans="1:4" x14ac:dyDescent="0.3">
      <c r="A30">
        <v>29</v>
      </c>
      <c r="B30" s="39">
        <v>45816.707199074073</v>
      </c>
      <c r="C30" t="s">
        <v>274</v>
      </c>
      <c r="D30" t="s">
        <v>275</v>
      </c>
    </row>
    <row r="31" spans="1:4" x14ac:dyDescent="0.3">
      <c r="A31">
        <v>30</v>
      </c>
      <c r="B31" s="39">
        <v>45816.708240740743</v>
      </c>
      <c r="C31" t="s">
        <v>274</v>
      </c>
      <c r="D31" t="s">
        <v>276</v>
      </c>
    </row>
    <row r="32" spans="1:4" x14ac:dyDescent="0.3">
      <c r="A32">
        <v>31</v>
      </c>
      <c r="B32" s="39">
        <v>45816.709270833337</v>
      </c>
      <c r="C32" t="s">
        <v>235</v>
      </c>
      <c r="D32" t="s">
        <v>277</v>
      </c>
    </row>
    <row r="33" spans="1:4" x14ac:dyDescent="0.3">
      <c r="A33">
        <v>32</v>
      </c>
      <c r="B33" s="39">
        <v>45816.710682870369</v>
      </c>
      <c r="C33" t="s">
        <v>235</v>
      </c>
      <c r="D33" t="s">
        <v>278</v>
      </c>
    </row>
    <row r="34" spans="1:4" x14ac:dyDescent="0.3">
      <c r="A34">
        <v>33</v>
      </c>
      <c r="B34" s="39">
        <v>45816.715428240743</v>
      </c>
      <c r="C34" t="s">
        <v>235</v>
      </c>
      <c r="D34" t="s">
        <v>279</v>
      </c>
    </row>
    <row r="35" spans="1:4" x14ac:dyDescent="0.3">
      <c r="A35">
        <v>34</v>
      </c>
      <c r="B35" s="39">
        <v>45816.715856481482</v>
      </c>
      <c r="C35" t="s">
        <v>235</v>
      </c>
      <c r="D35" t="s">
        <v>280</v>
      </c>
    </row>
    <row r="36" spans="1:4" x14ac:dyDescent="0.3">
      <c r="A36">
        <v>35</v>
      </c>
      <c r="B36" s="39">
        <v>45816.716145833336</v>
      </c>
      <c r="C36" t="s">
        <v>235</v>
      </c>
      <c r="D36" t="s">
        <v>281</v>
      </c>
    </row>
    <row r="37" spans="1:4" x14ac:dyDescent="0.3">
      <c r="A37">
        <v>36</v>
      </c>
      <c r="B37" s="39">
        <v>45816.716377314813</v>
      </c>
      <c r="C37" t="s">
        <v>235</v>
      </c>
      <c r="D37" t="s">
        <v>282</v>
      </c>
    </row>
    <row r="38" spans="1:4" x14ac:dyDescent="0.3">
      <c r="A38">
        <v>37</v>
      </c>
      <c r="B38" s="39">
        <v>45816.716597222221</v>
      </c>
      <c r="C38" t="s">
        <v>235</v>
      </c>
      <c r="D38" t="s">
        <v>283</v>
      </c>
    </row>
    <row r="39" spans="1:4" x14ac:dyDescent="0.3">
      <c r="A39">
        <v>38</v>
      </c>
      <c r="B39" s="39">
        <v>45816.717199074075</v>
      </c>
      <c r="C39" t="s">
        <v>235</v>
      </c>
      <c r="D39" t="s">
        <v>284</v>
      </c>
    </row>
    <row r="40" spans="1:4" x14ac:dyDescent="0.3">
      <c r="A40">
        <v>39</v>
      </c>
      <c r="B40" s="39">
        <v>45816.717777777776</v>
      </c>
      <c r="C40" t="s">
        <v>235</v>
      </c>
      <c r="D40" t="s">
        <v>284</v>
      </c>
    </row>
    <row r="41" spans="1:4" x14ac:dyDescent="0.3">
      <c r="A41">
        <v>40</v>
      </c>
      <c r="B41" s="39">
        <v>45816.717928240738</v>
      </c>
      <c r="C41" t="s">
        <v>235</v>
      </c>
      <c r="D41" t="s">
        <v>284</v>
      </c>
    </row>
    <row r="42" spans="1:4" x14ac:dyDescent="0.3">
      <c r="A42">
        <v>41</v>
      </c>
      <c r="B42" s="39">
        <v>45816.720185185186</v>
      </c>
      <c r="C42" t="s">
        <v>235</v>
      </c>
      <c r="D42" t="s">
        <v>284</v>
      </c>
    </row>
    <row r="43" spans="1:4" x14ac:dyDescent="0.3">
      <c r="A43">
        <v>42</v>
      </c>
      <c r="B43" s="39">
        <v>45816.727326388886</v>
      </c>
      <c r="C43" t="s">
        <v>235</v>
      </c>
      <c r="D43" t="s">
        <v>285</v>
      </c>
    </row>
    <row r="44" spans="1:4" x14ac:dyDescent="0.3">
      <c r="A44">
        <v>43</v>
      </c>
      <c r="B44" s="39">
        <v>45816.728750000002</v>
      </c>
      <c r="C44" t="s">
        <v>235</v>
      </c>
      <c r="D44" t="s">
        <v>286</v>
      </c>
    </row>
    <row r="45" spans="1:4" x14ac:dyDescent="0.3">
      <c r="A45">
        <v>44</v>
      </c>
      <c r="B45" s="39">
        <v>45816.729780092595</v>
      </c>
      <c r="C45" t="s">
        <v>274</v>
      </c>
      <c r="D45" t="s">
        <v>286</v>
      </c>
    </row>
    <row r="46" spans="1:4" x14ac:dyDescent="0.3">
      <c r="A46">
        <v>45</v>
      </c>
      <c r="B46" s="39">
        <v>45816.730023148149</v>
      </c>
      <c r="C46" t="s">
        <v>274</v>
      </c>
      <c r="D46" t="s">
        <v>286</v>
      </c>
    </row>
    <row r="47" spans="1:4" x14ac:dyDescent="0.3">
      <c r="A47">
        <v>46</v>
      </c>
      <c r="B47" s="39">
        <v>45816.730196759258</v>
      </c>
      <c r="C47" t="s">
        <v>274</v>
      </c>
      <c r="D47" t="s">
        <v>287</v>
      </c>
    </row>
    <row r="48" spans="1:4" x14ac:dyDescent="0.3">
      <c r="A48">
        <v>47</v>
      </c>
      <c r="B48" s="39">
        <v>45816.730555555558</v>
      </c>
      <c r="C48" t="s">
        <v>274</v>
      </c>
      <c r="D48" t="s">
        <v>288</v>
      </c>
    </row>
    <row r="49" spans="1:4" x14ac:dyDescent="0.3">
      <c r="A49">
        <v>48</v>
      </c>
      <c r="B49" s="39">
        <v>45816.730983796297</v>
      </c>
      <c r="C49" t="s">
        <v>274</v>
      </c>
      <c r="D49" t="s">
        <v>289</v>
      </c>
    </row>
    <row r="50" spans="1:4" x14ac:dyDescent="0.3">
      <c r="A50">
        <v>49</v>
      </c>
      <c r="B50" s="39">
        <v>45816.731539351851</v>
      </c>
      <c r="C50" t="s">
        <v>274</v>
      </c>
      <c r="D50" t="s">
        <v>290</v>
      </c>
    </row>
    <row r="51" spans="1:4" x14ac:dyDescent="0.3">
      <c r="A51">
        <v>50</v>
      </c>
      <c r="B51" s="39">
        <v>45816.746967592589</v>
      </c>
      <c r="C51" t="s">
        <v>291</v>
      </c>
      <c r="D51" t="s">
        <v>292</v>
      </c>
    </row>
    <row r="52" spans="1:4" x14ac:dyDescent="0.3">
      <c r="A52">
        <v>51</v>
      </c>
      <c r="B52" s="39">
        <v>45816.757453703707</v>
      </c>
      <c r="C52" t="s">
        <v>291</v>
      </c>
      <c r="D52" t="s">
        <v>293</v>
      </c>
    </row>
    <row r="53" spans="1:4" x14ac:dyDescent="0.3">
      <c r="A53">
        <v>52</v>
      </c>
      <c r="B53" s="39">
        <v>45816.759560185186</v>
      </c>
      <c r="C53" t="s">
        <v>291</v>
      </c>
      <c r="D53" t="s">
        <v>294</v>
      </c>
    </row>
    <row r="54" spans="1:4" x14ac:dyDescent="0.3">
      <c r="A54">
        <v>53</v>
      </c>
      <c r="B54" s="39">
        <v>45816.766643518517</v>
      </c>
      <c r="C54" t="s">
        <v>291</v>
      </c>
      <c r="D54" t="s">
        <v>295</v>
      </c>
    </row>
    <row r="55" spans="1:4" x14ac:dyDescent="0.3">
      <c r="A55">
        <v>54</v>
      </c>
      <c r="B55" s="39">
        <v>45816.767013888886</v>
      </c>
      <c r="C55" t="s">
        <v>291</v>
      </c>
      <c r="D55" t="s">
        <v>296</v>
      </c>
    </row>
    <row r="56" spans="1:4" x14ac:dyDescent="0.3">
      <c r="A56">
        <v>55</v>
      </c>
      <c r="B56" s="39">
        <v>45816.767777777779</v>
      </c>
      <c r="C56" t="s">
        <v>291</v>
      </c>
      <c r="D56" t="s">
        <v>297</v>
      </c>
    </row>
    <row r="57" spans="1:4" x14ac:dyDescent="0.3">
      <c r="A57">
        <v>56</v>
      </c>
      <c r="B57" s="39">
        <v>45816.767939814818</v>
      </c>
      <c r="C57" t="s">
        <v>291</v>
      </c>
      <c r="D57" t="s">
        <v>298</v>
      </c>
    </row>
    <row r="58" spans="1:4" x14ac:dyDescent="0.3">
      <c r="A58">
        <v>57</v>
      </c>
      <c r="B58" s="39">
        <v>45816.768576388888</v>
      </c>
      <c r="C58" t="s">
        <v>291</v>
      </c>
      <c r="D58" t="s">
        <v>299</v>
      </c>
    </row>
    <row r="59" spans="1:4" x14ac:dyDescent="0.3">
      <c r="A59">
        <v>58</v>
      </c>
      <c r="B59" s="39">
        <v>45816.768877314818</v>
      </c>
      <c r="C59" t="s">
        <v>291</v>
      </c>
      <c r="D59" t="s">
        <v>300</v>
      </c>
    </row>
    <row r="60" spans="1:4" x14ac:dyDescent="0.3">
      <c r="A60">
        <v>59</v>
      </c>
      <c r="B60" s="39">
        <v>45816.769861111112</v>
      </c>
      <c r="C60" t="s">
        <v>291</v>
      </c>
      <c r="D60" t="s">
        <v>301</v>
      </c>
    </row>
    <row r="61" spans="1:4" x14ac:dyDescent="0.3">
      <c r="A61">
        <v>60</v>
      </c>
      <c r="B61" s="39">
        <v>45816.77071759259</v>
      </c>
      <c r="C61" t="s">
        <v>291</v>
      </c>
      <c r="D61" t="s">
        <v>302</v>
      </c>
    </row>
    <row r="62" spans="1:4" x14ac:dyDescent="0.3">
      <c r="A62">
        <v>61</v>
      </c>
      <c r="B62" s="39">
        <v>45816.773263888892</v>
      </c>
      <c r="C62" t="s">
        <v>291</v>
      </c>
      <c r="D62" t="s">
        <v>303</v>
      </c>
    </row>
    <row r="63" spans="1:4" x14ac:dyDescent="0.3">
      <c r="A63">
        <v>62</v>
      </c>
      <c r="B63" s="39">
        <v>45816.773784722223</v>
      </c>
      <c r="C63" t="s">
        <v>291</v>
      </c>
      <c r="D63" t="s">
        <v>304</v>
      </c>
    </row>
    <row r="64" spans="1:4" x14ac:dyDescent="0.3">
      <c r="A64">
        <v>63</v>
      </c>
      <c r="B64" s="39">
        <v>45816.98537037037</v>
      </c>
      <c r="C64" t="s">
        <v>235</v>
      </c>
      <c r="D64" t="s">
        <v>305</v>
      </c>
    </row>
    <row r="65" spans="1:4" x14ac:dyDescent="0.3">
      <c r="A65">
        <v>64</v>
      </c>
      <c r="B65" s="39">
        <v>45816.986030092594</v>
      </c>
      <c r="C65" t="s">
        <v>235</v>
      </c>
      <c r="D65" t="s">
        <v>306</v>
      </c>
    </row>
    <row r="66" spans="1:4" x14ac:dyDescent="0.3">
      <c r="A66">
        <v>65</v>
      </c>
      <c r="B66" s="39">
        <v>45817.422951388886</v>
      </c>
      <c r="C66" t="s">
        <v>235</v>
      </c>
      <c r="D66" t="s">
        <v>307</v>
      </c>
    </row>
    <row r="67" spans="1:4" x14ac:dyDescent="0.3">
      <c r="A67">
        <v>66</v>
      </c>
      <c r="B67" s="39">
        <v>45817.435856481483</v>
      </c>
      <c r="C67" t="s">
        <v>235</v>
      </c>
      <c r="D67" t="s">
        <v>308</v>
      </c>
    </row>
    <row r="68" spans="1:4" x14ac:dyDescent="0.3">
      <c r="A68">
        <v>67</v>
      </c>
      <c r="B68" s="39">
        <v>45817.436851851853</v>
      </c>
      <c r="C68" t="s">
        <v>235</v>
      </c>
      <c r="D68" t="s">
        <v>309</v>
      </c>
    </row>
    <row r="69" spans="1:4" x14ac:dyDescent="0.3">
      <c r="A69">
        <v>68</v>
      </c>
      <c r="B69" s="39">
        <v>45817.437592592592</v>
      </c>
      <c r="C69" t="s">
        <v>235</v>
      </c>
      <c r="D69" t="s">
        <v>310</v>
      </c>
    </row>
    <row r="70" spans="1:4" x14ac:dyDescent="0.3">
      <c r="A70">
        <v>69</v>
      </c>
      <c r="B70" s="39">
        <v>45817.439259259256</v>
      </c>
      <c r="C70" t="s">
        <v>235</v>
      </c>
      <c r="D70" t="s">
        <v>311</v>
      </c>
    </row>
    <row r="71" spans="1:4" x14ac:dyDescent="0.3">
      <c r="A71">
        <v>70</v>
      </c>
      <c r="B71" s="39">
        <v>45817.439409722225</v>
      </c>
      <c r="C71" t="s">
        <v>235</v>
      </c>
      <c r="D71" t="s">
        <v>312</v>
      </c>
    </row>
    <row r="72" spans="1:4" x14ac:dyDescent="0.3">
      <c r="A72">
        <v>71</v>
      </c>
      <c r="B72" s="39">
        <v>45818.005300925928</v>
      </c>
      <c r="C72" t="s">
        <v>235</v>
      </c>
      <c r="D72" t="s">
        <v>322</v>
      </c>
    </row>
    <row r="73" spans="1:4" x14ac:dyDescent="0.3">
      <c r="A73">
        <v>72</v>
      </c>
      <c r="B73" s="39">
        <v>45818.036377314813</v>
      </c>
      <c r="C73" t="s">
        <v>235</v>
      </c>
      <c r="D73" t="s">
        <v>324</v>
      </c>
    </row>
    <row r="74" spans="1:4" x14ac:dyDescent="0.3">
      <c r="A74">
        <v>73</v>
      </c>
      <c r="B74" s="39">
        <v>45818.369189814817</v>
      </c>
      <c r="C74" t="s">
        <v>235</v>
      </c>
      <c r="D74" t="s">
        <v>326</v>
      </c>
    </row>
    <row r="75" spans="1:4" x14ac:dyDescent="0.3">
      <c r="A75">
        <v>74</v>
      </c>
      <c r="B75" s="39">
        <v>45818.398993055554</v>
      </c>
      <c r="C75" t="s">
        <v>235</v>
      </c>
      <c r="D75" t="s">
        <v>327</v>
      </c>
    </row>
    <row r="76" spans="1:4" x14ac:dyDescent="0.3">
      <c r="A76">
        <v>75</v>
      </c>
      <c r="B76" s="39">
        <v>45818.403298611112</v>
      </c>
      <c r="C76" t="s">
        <v>235</v>
      </c>
      <c r="D76" t="s">
        <v>328</v>
      </c>
    </row>
    <row r="77" spans="1:4" x14ac:dyDescent="0.3">
      <c r="A77">
        <v>76</v>
      </c>
      <c r="B77" s="39">
        <v>45818.407129629632</v>
      </c>
      <c r="C77" t="s">
        <v>235</v>
      </c>
      <c r="D77" t="s">
        <v>329</v>
      </c>
    </row>
    <row r="78" spans="1:4" x14ac:dyDescent="0.3">
      <c r="A78">
        <v>77</v>
      </c>
      <c r="B78" s="39">
        <v>45818.408726851849</v>
      </c>
      <c r="C78" t="s">
        <v>235</v>
      </c>
      <c r="D78" t="s">
        <v>330</v>
      </c>
    </row>
    <row r="79" spans="1:4" x14ac:dyDescent="0.3">
      <c r="A79">
        <v>78</v>
      </c>
      <c r="B79" s="39">
        <v>45818.409050925926</v>
      </c>
      <c r="C79" t="s">
        <v>235</v>
      </c>
      <c r="D79" t="s">
        <v>331</v>
      </c>
    </row>
    <row r="80" spans="1:4" x14ac:dyDescent="0.3">
      <c r="A80">
        <v>79</v>
      </c>
      <c r="B80" s="39">
        <v>45818.409120370372</v>
      </c>
      <c r="C80" t="s">
        <v>235</v>
      </c>
      <c r="D80" t="s">
        <v>332</v>
      </c>
    </row>
    <row r="81" spans="1:4" x14ac:dyDescent="0.3">
      <c r="A81">
        <v>80</v>
      </c>
      <c r="B81" s="39">
        <v>45818.409432870372</v>
      </c>
      <c r="C81" t="s">
        <v>235</v>
      </c>
      <c r="D81" t="s">
        <v>333</v>
      </c>
    </row>
    <row r="82" spans="1:4" x14ac:dyDescent="0.3">
      <c r="A82">
        <v>81</v>
      </c>
      <c r="B82" s="39">
        <v>45819.428206018521</v>
      </c>
      <c r="C82" t="s">
        <v>343</v>
      </c>
      <c r="D82" t="s">
        <v>344</v>
      </c>
    </row>
    <row r="83" spans="1:4" x14ac:dyDescent="0.3">
      <c r="A83">
        <v>82</v>
      </c>
      <c r="B83" s="39">
        <v>45819.428252314814</v>
      </c>
      <c r="C83" t="s">
        <v>343</v>
      </c>
      <c r="D83" t="s">
        <v>345</v>
      </c>
    </row>
    <row r="84" spans="1:4" x14ac:dyDescent="0.3">
      <c r="A84">
        <v>83</v>
      </c>
      <c r="B84" s="39">
        <v>45819.428263888891</v>
      </c>
      <c r="C84" t="s">
        <v>343</v>
      </c>
      <c r="D84" t="s">
        <v>346</v>
      </c>
    </row>
    <row r="85" spans="1:4" x14ac:dyDescent="0.3">
      <c r="A85">
        <v>84</v>
      </c>
      <c r="B85" s="39">
        <v>45819.428287037037</v>
      </c>
      <c r="C85" t="s">
        <v>343</v>
      </c>
      <c r="D85" t="s">
        <v>347</v>
      </c>
    </row>
    <row r="86" spans="1:4" x14ac:dyDescent="0.3">
      <c r="A86">
        <v>85</v>
      </c>
      <c r="B86" s="39">
        <v>45819.441655092596</v>
      </c>
      <c r="C86" t="s">
        <v>343</v>
      </c>
      <c r="D86" t="s">
        <v>349</v>
      </c>
    </row>
    <row r="87" spans="1:4" x14ac:dyDescent="0.3">
      <c r="A87">
        <v>86</v>
      </c>
      <c r="B87" s="39">
        <v>45819.444351851853</v>
      </c>
      <c r="C87" t="s">
        <v>343</v>
      </c>
      <c r="D87" t="s">
        <v>350</v>
      </c>
    </row>
    <row r="88" spans="1:4" x14ac:dyDescent="0.3">
      <c r="A88">
        <v>87</v>
      </c>
      <c r="B88" s="39">
        <v>45819.446087962962</v>
      </c>
      <c r="C88" t="s">
        <v>343</v>
      </c>
      <c r="D88" t="s">
        <v>351</v>
      </c>
    </row>
    <row r="89" spans="1:4" x14ac:dyDescent="0.3">
      <c r="A89">
        <v>88</v>
      </c>
      <c r="B89" s="39">
        <v>45819.44667824074</v>
      </c>
      <c r="C89" t="s">
        <v>343</v>
      </c>
      <c r="D89" t="s">
        <v>352</v>
      </c>
    </row>
    <row r="90" spans="1:4" x14ac:dyDescent="0.3">
      <c r="A90">
        <v>89</v>
      </c>
      <c r="B90" s="39">
        <v>45819.447627314818</v>
      </c>
      <c r="C90" t="s">
        <v>343</v>
      </c>
      <c r="D90" t="s">
        <v>353</v>
      </c>
    </row>
    <row r="91" spans="1:4" x14ac:dyDescent="0.3">
      <c r="A91">
        <v>90</v>
      </c>
      <c r="B91" s="39">
        <v>45819.447997685187</v>
      </c>
      <c r="C91" t="s">
        <v>343</v>
      </c>
      <c r="D91" t="s">
        <v>354</v>
      </c>
    </row>
    <row r="92" spans="1:4" x14ac:dyDescent="0.3">
      <c r="A92">
        <v>91</v>
      </c>
      <c r="B92" s="39">
        <v>45819.448599537034</v>
      </c>
      <c r="C92" t="s">
        <v>343</v>
      </c>
      <c r="D92" t="s">
        <v>355</v>
      </c>
    </row>
    <row r="93" spans="1:4" x14ac:dyDescent="0.3">
      <c r="A93">
        <v>92</v>
      </c>
      <c r="B93" s="39">
        <v>45819.449143518519</v>
      </c>
      <c r="C93" t="s">
        <v>343</v>
      </c>
      <c r="D93" t="s">
        <v>356</v>
      </c>
    </row>
    <row r="94" spans="1:4" x14ac:dyDescent="0.3">
      <c r="A94">
        <v>93</v>
      </c>
      <c r="B94" s="39">
        <v>45819.450289351851</v>
      </c>
      <c r="C94" t="s">
        <v>343</v>
      </c>
      <c r="D94" t="s">
        <v>357</v>
      </c>
    </row>
    <row r="95" spans="1:4" x14ac:dyDescent="0.3">
      <c r="A95">
        <v>94</v>
      </c>
      <c r="B95" s="39">
        <v>45819.462060185186</v>
      </c>
      <c r="C95" t="s">
        <v>343</v>
      </c>
      <c r="D95" t="s">
        <v>358</v>
      </c>
    </row>
    <row r="96" spans="1:4" x14ac:dyDescent="0.3">
      <c r="A96">
        <v>95</v>
      </c>
      <c r="B96" s="39">
        <v>45819.462766203702</v>
      </c>
      <c r="C96" t="s">
        <v>343</v>
      </c>
      <c r="D96" t="s">
        <v>359</v>
      </c>
    </row>
    <row r="97" spans="1:4" x14ac:dyDescent="0.3">
      <c r="A97">
        <v>96</v>
      </c>
      <c r="B97" s="39">
        <v>45819.48704861111</v>
      </c>
      <c r="C97" t="s">
        <v>343</v>
      </c>
      <c r="D97" t="s">
        <v>360</v>
      </c>
    </row>
    <row r="98" spans="1:4" x14ac:dyDescent="0.3">
      <c r="A98">
        <v>97</v>
      </c>
      <c r="B98" s="39">
        <v>45819.495717592596</v>
      </c>
      <c r="C98" t="s">
        <v>343</v>
      </c>
      <c r="D98" t="s">
        <v>361</v>
      </c>
    </row>
    <row r="99" spans="1:4" x14ac:dyDescent="0.3">
      <c r="A99">
        <v>98</v>
      </c>
      <c r="B99" s="39">
        <v>45819.496979166666</v>
      </c>
      <c r="C99" t="s">
        <v>343</v>
      </c>
      <c r="D99" t="s">
        <v>362</v>
      </c>
    </row>
    <row r="100" spans="1:4" x14ac:dyDescent="0.3">
      <c r="A100">
        <v>99</v>
      </c>
      <c r="B100" s="39">
        <v>45819.525000000001</v>
      </c>
      <c r="C100" t="s">
        <v>343</v>
      </c>
      <c r="D100" t="s">
        <v>363</v>
      </c>
    </row>
    <row r="101" spans="1:4" x14ac:dyDescent="0.3">
      <c r="A101">
        <v>100</v>
      </c>
      <c r="B101" s="39">
        <v>45819.526365740741</v>
      </c>
      <c r="C101" t="s">
        <v>343</v>
      </c>
      <c r="D101" t="s">
        <v>366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76E0-386D-4C69-9B59-C1DF57A99158}">
  <sheetPr codeName="Sheet12"/>
  <dimension ref="A2:D39"/>
  <sheetViews>
    <sheetView topLeftCell="A16" workbookViewId="0"/>
  </sheetViews>
  <sheetFormatPr defaultRowHeight="14.4" x14ac:dyDescent="0.3"/>
  <cols>
    <col min="2" max="2" width="15.6640625" bestFit="1" customWidth="1"/>
  </cols>
  <sheetData>
    <row r="2" spans="1:4" x14ac:dyDescent="0.3">
      <c r="A2">
        <v>1</v>
      </c>
      <c r="B2" s="39">
        <v>45819.991863425923</v>
      </c>
      <c r="C2" t="s">
        <v>235</v>
      </c>
      <c r="D2" t="s">
        <v>377</v>
      </c>
    </row>
    <row r="3" spans="1:4" x14ac:dyDescent="0.3">
      <c r="A3">
        <v>2</v>
      </c>
      <c r="B3" s="39">
        <v>45819.995370370372</v>
      </c>
      <c r="C3" t="s">
        <v>235</v>
      </c>
      <c r="D3" t="s">
        <v>378</v>
      </c>
    </row>
    <row r="4" spans="1:4" x14ac:dyDescent="0.3">
      <c r="A4">
        <v>3</v>
      </c>
      <c r="B4" s="39">
        <v>45820.008935185186</v>
      </c>
      <c r="C4" t="s">
        <v>235</v>
      </c>
      <c r="D4" t="s">
        <v>379</v>
      </c>
    </row>
    <row r="5" spans="1:4" x14ac:dyDescent="0.3">
      <c r="A5">
        <v>4</v>
      </c>
      <c r="B5" s="39">
        <v>45820.465300925927</v>
      </c>
      <c r="C5" t="s">
        <v>380</v>
      </c>
      <c r="D5" t="s">
        <v>381</v>
      </c>
    </row>
    <row r="6" spans="1:4" x14ac:dyDescent="0.3">
      <c r="A6">
        <v>5</v>
      </c>
      <c r="B6" s="39">
        <v>45820.780081018522</v>
      </c>
      <c r="C6" t="s">
        <v>382</v>
      </c>
      <c r="D6" t="s">
        <v>383</v>
      </c>
    </row>
    <row r="7" spans="1:4" x14ac:dyDescent="0.3">
      <c r="A7">
        <v>6</v>
      </c>
      <c r="B7" s="39">
        <v>45820.781226851854</v>
      </c>
      <c r="C7" t="s">
        <v>382</v>
      </c>
      <c r="D7" t="s">
        <v>384</v>
      </c>
    </row>
    <row r="8" spans="1:4" x14ac:dyDescent="0.3">
      <c r="A8">
        <v>7</v>
      </c>
      <c r="B8" s="39">
        <v>45820.78193287037</v>
      </c>
      <c r="C8" t="s">
        <v>382</v>
      </c>
      <c r="D8" t="s">
        <v>385</v>
      </c>
    </row>
    <row r="9" spans="1:4" x14ac:dyDescent="0.3">
      <c r="A9">
        <v>8</v>
      </c>
      <c r="B9" s="39">
        <v>45820.832800925928</v>
      </c>
      <c r="C9" t="s">
        <v>382</v>
      </c>
      <c r="D9" t="s">
        <v>387</v>
      </c>
    </row>
    <row r="10" spans="1:4" x14ac:dyDescent="0.3">
      <c r="A10">
        <v>9</v>
      </c>
      <c r="B10" s="39">
        <v>45820.839386574073</v>
      </c>
      <c r="C10" t="s">
        <v>388</v>
      </c>
      <c r="D10" t="s">
        <v>395</v>
      </c>
    </row>
    <row r="11" spans="1:4" x14ac:dyDescent="0.3">
      <c r="A11">
        <v>10</v>
      </c>
      <c r="B11" s="39">
        <v>45820.8518287037</v>
      </c>
      <c r="C11" t="s">
        <v>388</v>
      </c>
      <c r="D11" t="s">
        <v>397</v>
      </c>
    </row>
    <row r="12" spans="1:4" x14ac:dyDescent="0.3">
      <c r="A12">
        <v>11</v>
      </c>
      <c r="B12" s="39">
        <v>45820.851863425924</v>
      </c>
      <c r="C12" t="s">
        <v>388</v>
      </c>
      <c r="D12" t="s">
        <v>398</v>
      </c>
    </row>
    <row r="13" spans="1:4" x14ac:dyDescent="0.3">
      <c r="A13">
        <v>12</v>
      </c>
      <c r="B13" s="39">
        <v>45820.85297453704</v>
      </c>
      <c r="C13" t="s">
        <v>388</v>
      </c>
      <c r="D13" t="s">
        <v>399</v>
      </c>
    </row>
    <row r="14" spans="1:4" x14ac:dyDescent="0.3">
      <c r="A14">
        <v>13</v>
      </c>
      <c r="B14" s="39">
        <v>45820.86822916667</v>
      </c>
      <c r="C14" t="s">
        <v>388</v>
      </c>
      <c r="D14" t="s">
        <v>400</v>
      </c>
    </row>
    <row r="15" spans="1:4" x14ac:dyDescent="0.3">
      <c r="A15">
        <v>14</v>
      </c>
      <c r="B15" s="39">
        <v>45820.868263888886</v>
      </c>
      <c r="C15" t="s">
        <v>388</v>
      </c>
      <c r="D15" t="s">
        <v>401</v>
      </c>
    </row>
    <row r="16" spans="1:4" x14ac:dyDescent="0.3">
      <c r="A16">
        <v>15</v>
      </c>
      <c r="B16" s="39">
        <v>45820.868518518517</v>
      </c>
      <c r="C16" t="s">
        <v>388</v>
      </c>
      <c r="D16" t="s">
        <v>402</v>
      </c>
    </row>
    <row r="17" spans="1:4" x14ac:dyDescent="0.3">
      <c r="A17">
        <v>16</v>
      </c>
      <c r="B17" s="39">
        <v>45820.943460648145</v>
      </c>
      <c r="C17" t="s">
        <v>388</v>
      </c>
      <c r="D17" t="s">
        <v>404</v>
      </c>
    </row>
    <row r="18" spans="1:4" x14ac:dyDescent="0.3">
      <c r="A18">
        <v>17</v>
      </c>
      <c r="B18" s="39">
        <v>45820.943495370368</v>
      </c>
      <c r="C18" t="s">
        <v>388</v>
      </c>
      <c r="D18" t="s">
        <v>405</v>
      </c>
    </row>
    <row r="19" spans="1:4" x14ac:dyDescent="0.3">
      <c r="A19">
        <v>18</v>
      </c>
      <c r="B19" s="39">
        <v>45821.040763888886</v>
      </c>
      <c r="C19" t="s">
        <v>388</v>
      </c>
      <c r="D19" t="s">
        <v>407</v>
      </c>
    </row>
    <row r="20" spans="1:4" x14ac:dyDescent="0.3">
      <c r="A20">
        <v>19</v>
      </c>
      <c r="B20" s="39">
        <v>45821.040798611109</v>
      </c>
      <c r="C20" t="s">
        <v>388</v>
      </c>
      <c r="D20" t="s">
        <v>408</v>
      </c>
    </row>
    <row r="21" spans="1:4" x14ac:dyDescent="0.3">
      <c r="A21">
        <v>20</v>
      </c>
      <c r="B21" s="39">
        <v>45821.044907407406</v>
      </c>
      <c r="C21" t="s">
        <v>388</v>
      </c>
      <c r="D21" t="s">
        <v>418</v>
      </c>
    </row>
    <row r="22" spans="1:4" x14ac:dyDescent="0.3">
      <c r="A22">
        <v>21</v>
      </c>
      <c r="B22" s="39">
        <v>45821.045138888891</v>
      </c>
      <c r="C22" t="s">
        <v>388</v>
      </c>
      <c r="D22" t="s">
        <v>419</v>
      </c>
    </row>
    <row r="23" spans="1:4" x14ac:dyDescent="0.3">
      <c r="A23">
        <v>22</v>
      </c>
      <c r="B23" s="39">
        <v>45821.045162037037</v>
      </c>
      <c r="C23" t="s">
        <v>388</v>
      </c>
      <c r="D23" t="s">
        <v>420</v>
      </c>
    </row>
    <row r="24" spans="1:4" x14ac:dyDescent="0.3">
      <c r="A24">
        <v>23</v>
      </c>
      <c r="B24" s="39">
        <v>45821.351180555554</v>
      </c>
      <c r="C24" t="s">
        <v>388</v>
      </c>
      <c r="D24" t="s">
        <v>423</v>
      </c>
    </row>
    <row r="25" spans="1:4" x14ac:dyDescent="0.3">
      <c r="A25">
        <v>24</v>
      </c>
      <c r="B25" s="39">
        <v>45821.35119212963</v>
      </c>
      <c r="C25" t="s">
        <v>388</v>
      </c>
      <c r="D25" t="s">
        <v>424</v>
      </c>
    </row>
    <row r="26" spans="1:4" x14ac:dyDescent="0.3">
      <c r="A26">
        <v>25</v>
      </c>
      <c r="B26" s="39">
        <v>45821.357685185183</v>
      </c>
      <c r="C26" t="s">
        <v>388</v>
      </c>
      <c r="D26" t="s">
        <v>425</v>
      </c>
    </row>
    <row r="27" spans="1:4" x14ac:dyDescent="0.3">
      <c r="A27">
        <v>26</v>
      </c>
      <c r="B27" s="39">
        <v>45821.357731481483</v>
      </c>
      <c r="C27" t="s">
        <v>388</v>
      </c>
      <c r="D27" t="s">
        <v>426</v>
      </c>
    </row>
    <row r="28" spans="1:4" x14ac:dyDescent="0.3">
      <c r="A28">
        <v>27</v>
      </c>
      <c r="B28" s="39">
        <v>45821.41547453704</v>
      </c>
      <c r="C28" t="s">
        <v>388</v>
      </c>
      <c r="D28" t="s">
        <v>428</v>
      </c>
    </row>
    <row r="29" spans="1:4" x14ac:dyDescent="0.3">
      <c r="A29">
        <v>28</v>
      </c>
      <c r="B29" s="39">
        <v>45821.415520833332</v>
      </c>
      <c r="C29" t="s">
        <v>388</v>
      </c>
      <c r="D29" t="s">
        <v>429</v>
      </c>
    </row>
    <row r="30" spans="1:4" x14ac:dyDescent="0.3">
      <c r="A30">
        <v>29</v>
      </c>
      <c r="B30" s="39">
        <v>45821.423402777778</v>
      </c>
      <c r="C30" t="s">
        <v>388</v>
      </c>
      <c r="D30" t="s">
        <v>430</v>
      </c>
    </row>
    <row r="31" spans="1:4" x14ac:dyDescent="0.3">
      <c r="A31">
        <v>30</v>
      </c>
      <c r="B31" s="39">
        <v>45821.423437500001</v>
      </c>
      <c r="C31" t="s">
        <v>388</v>
      </c>
      <c r="D31" t="s">
        <v>431</v>
      </c>
    </row>
    <row r="32" spans="1:4" x14ac:dyDescent="0.3">
      <c r="A32">
        <v>31</v>
      </c>
      <c r="B32" s="39">
        <v>45823.60601851852</v>
      </c>
      <c r="C32" t="s">
        <v>388</v>
      </c>
      <c r="D32" t="s">
        <v>434</v>
      </c>
    </row>
    <row r="33" spans="1:4" x14ac:dyDescent="0.3">
      <c r="A33">
        <v>32</v>
      </c>
      <c r="B33" s="39">
        <v>45823.606053240743</v>
      </c>
      <c r="C33" t="s">
        <v>388</v>
      </c>
      <c r="D33" t="s">
        <v>435</v>
      </c>
    </row>
    <row r="34" spans="1:4" x14ac:dyDescent="0.3">
      <c r="A34">
        <v>33</v>
      </c>
      <c r="B34" s="39">
        <v>45823.606527777774</v>
      </c>
      <c r="C34" t="s">
        <v>388</v>
      </c>
      <c r="D34" t="s">
        <v>436</v>
      </c>
    </row>
    <row r="35" spans="1:4" x14ac:dyDescent="0.3">
      <c r="A35">
        <v>34</v>
      </c>
      <c r="B35" s="39">
        <v>45823.609143518515</v>
      </c>
      <c r="C35" t="s">
        <v>388</v>
      </c>
      <c r="D35" t="s">
        <v>437</v>
      </c>
    </row>
    <row r="36" spans="1:4" x14ac:dyDescent="0.3">
      <c r="A36">
        <v>35</v>
      </c>
      <c r="B36" s="39">
        <v>45823.681851851848</v>
      </c>
      <c r="C36" t="s">
        <v>388</v>
      </c>
      <c r="D36" t="s">
        <v>440</v>
      </c>
    </row>
    <row r="37" spans="1:4" x14ac:dyDescent="0.3">
      <c r="A37">
        <v>36</v>
      </c>
      <c r="B37" s="39">
        <v>45823.681886574072</v>
      </c>
      <c r="C37" t="s">
        <v>388</v>
      </c>
      <c r="D37" t="s">
        <v>441</v>
      </c>
    </row>
    <row r="38" spans="1:4" x14ac:dyDescent="0.3">
      <c r="A38">
        <v>37</v>
      </c>
      <c r="B38" s="39">
        <v>45823.696030092593</v>
      </c>
      <c r="C38" t="s">
        <v>388</v>
      </c>
      <c r="D38" t="s">
        <v>451</v>
      </c>
    </row>
    <row r="39" spans="1:4" x14ac:dyDescent="0.3">
      <c r="A39">
        <v>38</v>
      </c>
      <c r="B39" s="39">
        <v>45823.696076388886</v>
      </c>
      <c r="C39" t="s">
        <v>388</v>
      </c>
      <c r="D39" t="s">
        <v>452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4CD3-A617-4DA5-B025-FB2CB618F388}">
  <sheetPr codeName="Sheet29"/>
  <dimension ref="A2:M28"/>
  <sheetViews>
    <sheetView topLeftCell="A8"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348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5.5284255269917447E-2</v>
      </c>
      <c r="D4" s="154">
        <v>1.7891155547187627E-2</v>
      </c>
      <c r="E4" s="154">
        <v>2.8930953580090481E-2</v>
      </c>
      <c r="F4" s="154">
        <v>6.6264037833310294E-2</v>
      </c>
      <c r="G4" s="154">
        <v>4.1192770435471024E-2</v>
      </c>
      <c r="H4" s="155">
        <v>4.1192770435471024E-2</v>
      </c>
      <c r="I4" s="19">
        <v>4.1792657183574659E-2</v>
      </c>
      <c r="J4" s="20">
        <v>4.1057047088657893E-2</v>
      </c>
      <c r="K4" s="20">
        <v>4.1179648771144016E-2</v>
      </c>
      <c r="M4" s="142">
        <v>0.97319542991999997</v>
      </c>
    </row>
    <row r="5" spans="2:13" ht="28.8" x14ac:dyDescent="0.3">
      <c r="B5" s="156" t="s">
        <v>71</v>
      </c>
      <c r="C5" s="154">
        <v>6.9731030838244293E-2</v>
      </c>
      <c r="D5" s="154">
        <v>8.2515861791120859E-2</v>
      </c>
      <c r="E5" s="154">
        <v>0.10299299363679988</v>
      </c>
      <c r="F5" s="154">
        <v>3.2030004814093606E-2</v>
      </c>
      <c r="G5" s="154">
        <v>5.9711574696014534E-2</v>
      </c>
      <c r="H5" s="155">
        <v>5.9711574696014534E-2</v>
      </c>
      <c r="I5" s="19">
        <v>6.7782173412047939E-2</v>
      </c>
      <c r="J5" s="20">
        <v>7.1571636028431432E-2</v>
      </c>
      <c r="K5" s="20">
        <v>7.094005892570085E-2</v>
      </c>
    </row>
    <row r="6" spans="2:13" ht="28.8" x14ac:dyDescent="0.3">
      <c r="B6" s="153" t="s">
        <v>72</v>
      </c>
      <c r="C6" s="154">
        <v>5.2981662804290871E-3</v>
      </c>
      <c r="D6" s="154">
        <v>1.8759789138904684E-3</v>
      </c>
      <c r="E6" s="154">
        <v>7.0827422362762394E-3</v>
      </c>
      <c r="F6" s="154">
        <v>8.7593767308324893E-3</v>
      </c>
      <c r="G6" s="154">
        <v>2.1751405171391088E-3</v>
      </c>
      <c r="H6" s="155">
        <v>2.1751405171391088E-3</v>
      </c>
      <c r="I6" s="19">
        <v>4.5610908659510828E-3</v>
      </c>
      <c r="J6" s="20">
        <v>4.821911056194038E-3</v>
      </c>
      <c r="K6" s="20">
        <v>4.7784410244868791E-3</v>
      </c>
    </row>
    <row r="7" spans="2:13" x14ac:dyDescent="0.3">
      <c r="B7" s="156" t="s">
        <v>73</v>
      </c>
      <c r="C7" s="154">
        <v>4.661533588995357E-2</v>
      </c>
      <c r="D7" s="154">
        <v>6.0682105664943864E-2</v>
      </c>
      <c r="E7" s="154">
        <v>8.4073845472314696E-2</v>
      </c>
      <c r="F7" s="154">
        <v>6.3968379757714827E-2</v>
      </c>
      <c r="G7" s="154">
        <v>6.6464908197438416E-2</v>
      </c>
      <c r="H7" s="155">
        <v>6.6464908197438416E-2</v>
      </c>
      <c r="I7" s="19">
        <v>6.4711580529967297E-2</v>
      </c>
      <c r="J7" s="20">
        <v>6.278176446156114E-2</v>
      </c>
      <c r="K7" s="20">
        <v>6.3103400472962159E-2</v>
      </c>
    </row>
    <row r="8" spans="2:13" ht="28.8" x14ac:dyDescent="0.3">
      <c r="B8" s="153" t="s">
        <v>74</v>
      </c>
      <c r="C8" s="154">
        <v>2.1145818962609229E-2</v>
      </c>
      <c r="D8" s="154">
        <v>3.138112565156962E-2</v>
      </c>
      <c r="E8" s="154">
        <v>1.6904275637822784E-2</v>
      </c>
      <c r="F8" s="154">
        <v>8.1709591128366316E-2</v>
      </c>
      <c r="G8" s="154">
        <v>0.10494236185970882</v>
      </c>
      <c r="H8" s="155">
        <v>0.10494236185970882</v>
      </c>
      <c r="I8" s="19">
        <v>6.0170922516630941E-2</v>
      </c>
      <c r="J8" s="20">
        <v>4.6081487744621757E-2</v>
      </c>
      <c r="K8" s="20">
        <v>4.8429726873289961E-2</v>
      </c>
    </row>
    <row r="9" spans="2:13" x14ac:dyDescent="0.3">
      <c r="B9" s="156" t="s">
        <v>75</v>
      </c>
      <c r="C9" s="154">
        <v>6.6210692680157279E-2</v>
      </c>
      <c r="D9" s="154">
        <v>3.8820562460104929E-2</v>
      </c>
      <c r="E9" s="154">
        <v>3.8028561792604845E-2</v>
      </c>
      <c r="F9" s="154">
        <v>3.8033110505093309E-2</v>
      </c>
      <c r="G9" s="154">
        <v>4.5734419247815024E-2</v>
      </c>
      <c r="H9" s="155">
        <v>4.5734419247815024E-2</v>
      </c>
      <c r="I9" s="19">
        <v>4.5426960988931737E-2</v>
      </c>
      <c r="J9" s="20">
        <v>4.7059665950653577E-2</v>
      </c>
      <c r="K9" s="20">
        <v>4.6787548457033284E-2</v>
      </c>
    </row>
    <row r="10" spans="2:13" ht="28.8" x14ac:dyDescent="0.3">
      <c r="B10" s="153" t="s">
        <v>76</v>
      </c>
      <c r="C10" s="154">
        <v>0.11840427911444283</v>
      </c>
      <c r="D10" s="154">
        <v>1.7050869108515394E-2</v>
      </c>
      <c r="E10" s="154">
        <v>7.0253743621011541E-2</v>
      </c>
      <c r="F10" s="154">
        <v>6.1394097338759931E-3</v>
      </c>
      <c r="G10" s="154">
        <v>8.2333189074761753E-2</v>
      </c>
      <c r="H10" s="155">
        <v>8.2333189074761753E-2</v>
      </c>
      <c r="I10" s="19">
        <v>6.2752446621228211E-2</v>
      </c>
      <c r="J10" s="20">
        <v>6.3724903104964245E-2</v>
      </c>
      <c r="K10" s="20">
        <v>6.3562827024341573E-2</v>
      </c>
    </row>
    <row r="11" spans="2:13" x14ac:dyDescent="0.3">
      <c r="B11" s="156" t="s">
        <v>77</v>
      </c>
      <c r="C11" s="154">
        <v>0.50568867780882121</v>
      </c>
      <c r="D11" s="154">
        <v>0.39788556718674978</v>
      </c>
      <c r="E11" s="154">
        <v>0.54934206183896706</v>
      </c>
      <c r="F11" s="154">
        <v>0.64007577754113432</v>
      </c>
      <c r="G11" s="154">
        <v>0.51533188755770054</v>
      </c>
      <c r="H11" s="155">
        <v>0.51533188755770054</v>
      </c>
      <c r="I11" s="19">
        <v>0.52060930991517884</v>
      </c>
      <c r="J11" s="20">
        <v>0.51078353540399057</v>
      </c>
      <c r="K11" s="20">
        <v>0.51242116448918862</v>
      </c>
    </row>
    <row r="12" spans="2:13" ht="43.2" x14ac:dyDescent="0.3">
      <c r="B12" s="153" t="s">
        <v>78</v>
      </c>
      <c r="C12" s="154">
        <v>2.0784069174461975E-2</v>
      </c>
      <c r="D12" s="154">
        <v>1.2441722039041418E-2</v>
      </c>
      <c r="E12" s="154">
        <v>1.8882617494948128E-2</v>
      </c>
      <c r="F12" s="154">
        <v>2.2013537294509476E-2</v>
      </c>
      <c r="G12" s="154">
        <v>1.3243907503835852E-2</v>
      </c>
      <c r="H12" s="155">
        <v>1.3243907503835852E-2</v>
      </c>
      <c r="I12" s="19">
        <v>1.6768293501772117E-2</v>
      </c>
      <c r="J12" s="20">
        <v>1.7411560144955835E-2</v>
      </c>
      <c r="K12" s="20">
        <v>1.730434903775855E-2</v>
      </c>
    </row>
    <row r="13" spans="2:13" ht="28.8" x14ac:dyDescent="0.3">
      <c r="B13" s="156" t="s">
        <v>79</v>
      </c>
      <c r="C13" s="154">
        <v>9.0837673980962944E-2</v>
      </c>
      <c r="D13" s="154">
        <v>0.33945505163687606</v>
      </c>
      <c r="E13" s="154">
        <v>8.3508204689164298E-2</v>
      </c>
      <c r="F13" s="154">
        <v>4.1006774661069369E-2</v>
      </c>
      <c r="G13" s="154">
        <v>6.8869840910115027E-2</v>
      </c>
      <c r="H13" s="155">
        <v>6.8869840910115027E-2</v>
      </c>
      <c r="I13" s="19">
        <v>0.11542456446471712</v>
      </c>
      <c r="J13" s="20">
        <v>0.13470648901596949</v>
      </c>
      <c r="K13" s="20">
        <v>0.13149283492409408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0.99999999999999989</v>
      </c>
      <c r="D15" s="154">
        <v>0.99999999999999989</v>
      </c>
      <c r="E15" s="154">
        <v>1</v>
      </c>
      <c r="F15" s="154">
        <v>1</v>
      </c>
      <c r="G15" s="158">
        <v>1</v>
      </c>
      <c r="H15" s="159">
        <v>1</v>
      </c>
      <c r="I15" s="19">
        <v>1</v>
      </c>
      <c r="J15" s="19">
        <v>1</v>
      </c>
      <c r="K15" s="19">
        <v>1</v>
      </c>
    </row>
    <row r="16" spans="2:13" ht="43.8" thickBot="1" x14ac:dyDescent="0.35">
      <c r="B16" s="160" t="s">
        <v>82</v>
      </c>
      <c r="C16" s="161">
        <v>0.22091658880186058</v>
      </c>
      <c r="D16" s="161">
        <v>8.0640851260204538E-2</v>
      </c>
      <c r="E16" s="161">
        <v>0.14205433257014916</v>
      </c>
      <c r="F16" s="161">
        <v>0.18488595272089459</v>
      </c>
      <c r="G16" s="161">
        <v>0.24388736939091654</v>
      </c>
      <c r="H16" s="162">
        <v>0.24388736939091654</v>
      </c>
      <c r="I16" s="63">
        <v>0.186045410689157</v>
      </c>
      <c r="J16" s="63">
        <v>0.17309690913939377</v>
      </c>
      <c r="K16" s="63">
        <v>0.17525499273102099</v>
      </c>
      <c r="M16" s="143">
        <v>4.4673360981300601</v>
      </c>
    </row>
    <row r="17" spans="1:13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20"/>
      <c r="B18" s="67" t="s">
        <v>340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20"/>
      <c r="B19" s="69" t="s">
        <v>341</v>
      </c>
      <c r="C19" s="70">
        <v>5.3019981312446535E-2</v>
      </c>
      <c r="D19" s="70">
        <v>1.612817025204091E-2</v>
      </c>
      <c r="E19" s="70">
        <v>2.2728693211223866E-2</v>
      </c>
      <c r="F19" s="70">
        <v>2.2186314326507351E-2</v>
      </c>
      <c r="G19" s="70">
        <v>1.9510989551273325E-2</v>
      </c>
      <c r="H19" s="109">
        <v>9.7554947756366625E-3</v>
      </c>
      <c r="I19" s="20">
        <v>2.9767265710265122E-2</v>
      </c>
      <c r="J19" s="110">
        <v>0.17309690913939377</v>
      </c>
      <c r="K19" s="43"/>
    </row>
    <row r="20" spans="1:13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20"/>
      <c r="B21" s="67" t="s">
        <v>340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21"/>
      <c r="B22" s="69" t="s">
        <v>341</v>
      </c>
      <c r="C22" s="70">
        <v>5.1547204053767469E-2</v>
      </c>
      <c r="D22" s="70">
        <v>1.612817025204091E-2</v>
      </c>
      <c r="E22" s="70">
        <v>2.3675722095024859E-2</v>
      </c>
      <c r="F22" s="70">
        <v>2.4651460362785944E-2</v>
      </c>
      <c r="G22" s="70">
        <v>2.4388736939091656E-2</v>
      </c>
      <c r="H22" s="109">
        <v>1.6259157959394435E-2</v>
      </c>
      <c r="I22" s="20">
        <v>1.8604541068915702E-2</v>
      </c>
      <c r="J22" s="43"/>
      <c r="K22" s="110">
        <v>0.17525499273102099</v>
      </c>
      <c r="L22" s="81"/>
    </row>
    <row r="23" spans="1:13" x14ac:dyDescent="0.3">
      <c r="M23" s="81"/>
    </row>
    <row r="25" spans="1:13" x14ac:dyDescent="0.3">
      <c r="B25" s="52"/>
      <c r="D25" s="142"/>
      <c r="I25" s="81"/>
    </row>
    <row r="26" spans="1:13" x14ac:dyDescent="0.3">
      <c r="B26" s="81">
        <v>1.1162724641349417</v>
      </c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B30AA-A18A-4DC1-85DE-88C67962B050}">
  <sheetPr codeName="Sheet14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348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5.5284255269917447E-2</v>
      </c>
      <c r="D4" s="154">
        <v>1.7891155547187627E-2</v>
      </c>
      <c r="E4" s="154">
        <v>2.8930953580090474E-2</v>
      </c>
      <c r="F4" s="154">
        <v>6.6264037833310294E-2</v>
      </c>
      <c r="G4" s="154">
        <v>4.1192770435471017E-2</v>
      </c>
      <c r="H4" s="155">
        <v>4.1192770435471017E-2</v>
      </c>
      <c r="I4" s="19">
        <v>4.1792657183574645E-2</v>
      </c>
      <c r="J4" s="20">
        <v>4.1057047088657893E-2</v>
      </c>
      <c r="K4" s="20">
        <v>4.1179648771144016E-2</v>
      </c>
      <c r="M4" s="142">
        <v>0.97319542991999997</v>
      </c>
    </row>
    <row r="5" spans="2:13" ht="28.8" x14ac:dyDescent="0.3">
      <c r="B5" s="156" t="s">
        <v>71</v>
      </c>
      <c r="C5" s="154">
        <v>6.9056169451488444E-2</v>
      </c>
      <c r="D5" s="154">
        <v>8.2399455065349222E-2</v>
      </c>
      <c r="E5" s="154">
        <v>0.10202729829664312</v>
      </c>
      <c r="F5" s="154">
        <v>3.0883257479829718E-2</v>
      </c>
      <c r="G5" s="154">
        <v>5.958226427094334E-2</v>
      </c>
      <c r="H5" s="155">
        <v>5.958226427094334E-2</v>
      </c>
      <c r="I5" s="19">
        <v>6.725511813919953E-2</v>
      </c>
      <c r="J5" s="20">
        <v>7.0994420921254658E-2</v>
      </c>
      <c r="K5" s="20">
        <v>7.0371203790912149E-2</v>
      </c>
    </row>
    <row r="6" spans="2:13" ht="28.8" x14ac:dyDescent="0.3">
      <c r="B6" s="153" t="s">
        <v>72</v>
      </c>
      <c r="C6" s="154">
        <v>5.9730276671849415E-3</v>
      </c>
      <c r="D6" s="154">
        <v>1.9923856396620956E-3</v>
      </c>
      <c r="E6" s="154">
        <v>8.0484375764329572E-3</v>
      </c>
      <c r="F6" s="154">
        <v>9.9061240650963785E-3</v>
      </c>
      <c r="G6" s="154">
        <v>2.3044509422102902E-3</v>
      </c>
      <c r="H6" s="155">
        <v>2.3044509422102902E-3</v>
      </c>
      <c r="I6" s="19">
        <v>5.0881461387994919E-3</v>
      </c>
      <c r="J6" s="20">
        <v>5.3991261633707975E-3</v>
      </c>
      <c r="K6" s="20">
        <v>5.3472961592755794E-3</v>
      </c>
    </row>
    <row r="7" spans="2:13" x14ac:dyDescent="0.3">
      <c r="B7" s="156" t="s">
        <v>73</v>
      </c>
      <c r="C7" s="154">
        <v>4.661533588995357E-2</v>
      </c>
      <c r="D7" s="154">
        <v>5.6492605515242184E-2</v>
      </c>
      <c r="E7" s="154">
        <v>7.9664612264726806E-2</v>
      </c>
      <c r="F7" s="154">
        <v>6.3968379757714827E-2</v>
      </c>
      <c r="G7" s="154">
        <v>6.2909350642494213E-2</v>
      </c>
      <c r="H7" s="155">
        <v>6.2909350642494213E-2</v>
      </c>
      <c r="I7" s="19">
        <v>6.2093272452104303E-2</v>
      </c>
      <c r="J7" s="20">
        <v>6.0392790919355357E-2</v>
      </c>
      <c r="K7" s="20">
        <v>6.0676204508146848E-2</v>
      </c>
    </row>
    <row r="8" spans="2:13" ht="28.8" x14ac:dyDescent="0.3">
      <c r="B8" s="153" t="s">
        <v>74</v>
      </c>
      <c r="C8" s="154">
        <v>2.1145818962609229E-2</v>
      </c>
      <c r="D8" s="154">
        <v>3.138112565156962E-2</v>
      </c>
      <c r="E8" s="154">
        <v>1.6904275637822784E-2</v>
      </c>
      <c r="F8" s="154">
        <v>8.1709591128366316E-2</v>
      </c>
      <c r="G8" s="154">
        <v>0.1049423618597088</v>
      </c>
      <c r="H8" s="155">
        <v>0.1049423618597088</v>
      </c>
      <c r="I8" s="19">
        <v>6.017092251663092E-2</v>
      </c>
      <c r="J8" s="20">
        <v>4.6081487744621744E-2</v>
      </c>
      <c r="K8" s="20">
        <v>4.8429726873289933E-2</v>
      </c>
    </row>
    <row r="9" spans="2:13" x14ac:dyDescent="0.3">
      <c r="B9" s="156" t="s">
        <v>75</v>
      </c>
      <c r="C9" s="154">
        <v>6.5980058522596863E-2</v>
      </c>
      <c r="D9" s="154">
        <v>3.8772687625846736E-2</v>
      </c>
      <c r="E9" s="154">
        <v>3.7933074348508455E-2</v>
      </c>
      <c r="F9" s="154">
        <v>3.7998745845760552E-2</v>
      </c>
      <c r="G9" s="154">
        <v>4.5577562753320817E-2</v>
      </c>
      <c r="H9" s="155">
        <v>4.5577562753320817E-2</v>
      </c>
      <c r="I9" s="19">
        <v>4.530661530822571E-2</v>
      </c>
      <c r="J9" s="20">
        <v>4.6937258947559832E-2</v>
      </c>
      <c r="K9" s="20">
        <v>4.6665485007670801E-2</v>
      </c>
    </row>
    <row r="10" spans="2:13" ht="28.8" x14ac:dyDescent="0.3">
      <c r="B10" s="153" t="s">
        <v>76</v>
      </c>
      <c r="C10" s="154">
        <v>0.11863491327200326</v>
      </c>
      <c r="D10" s="154">
        <v>1.7098743942773584E-2</v>
      </c>
      <c r="E10" s="154">
        <v>7.0349231065107917E-2</v>
      </c>
      <c r="F10" s="154">
        <v>6.1737743932087485E-3</v>
      </c>
      <c r="G10" s="154">
        <v>8.2490045569255946E-2</v>
      </c>
      <c r="H10" s="155">
        <v>8.2490045569255946E-2</v>
      </c>
      <c r="I10" s="19">
        <v>6.2872792301934224E-2</v>
      </c>
      <c r="J10" s="20">
        <v>6.3847310108058011E-2</v>
      </c>
      <c r="K10" s="20">
        <v>6.3684890473704042E-2</v>
      </c>
    </row>
    <row r="11" spans="2:13" x14ac:dyDescent="0.3">
      <c r="B11" s="156" t="s">
        <v>77</v>
      </c>
      <c r="C11" s="154">
        <v>0.50568867780882121</v>
      </c>
      <c r="D11" s="154">
        <v>0.39788556718674978</v>
      </c>
      <c r="E11" s="154">
        <v>0.54934206183896706</v>
      </c>
      <c r="F11" s="154">
        <v>0.64007577754113432</v>
      </c>
      <c r="G11" s="154">
        <v>0.51533188755770043</v>
      </c>
      <c r="H11" s="155">
        <v>0.51533188755770043</v>
      </c>
      <c r="I11" s="19">
        <v>0.52060930991517884</v>
      </c>
      <c r="J11" s="20">
        <v>0.51078353540399057</v>
      </c>
      <c r="K11" s="20">
        <v>0.51242116448918862</v>
      </c>
    </row>
    <row r="12" spans="2:13" ht="43.2" x14ac:dyDescent="0.3">
      <c r="B12" s="153" t="s">
        <v>78</v>
      </c>
      <c r="C12" s="154">
        <v>2.0784069174461975E-2</v>
      </c>
      <c r="D12" s="154">
        <v>1.6631222188743099E-2</v>
      </c>
      <c r="E12" s="154">
        <v>2.3291850702536001E-2</v>
      </c>
      <c r="F12" s="154">
        <v>2.2013537294509476E-2</v>
      </c>
      <c r="G12" s="154">
        <v>1.6799465058780043E-2</v>
      </c>
      <c r="H12" s="155">
        <v>1.6799465058780043E-2</v>
      </c>
      <c r="I12" s="19">
        <v>1.9386601579635107E-2</v>
      </c>
      <c r="J12" s="20">
        <v>1.9800533687161614E-2</v>
      </c>
      <c r="K12" s="20">
        <v>1.9731545002573864E-2</v>
      </c>
    </row>
    <row r="13" spans="2:13" ht="28.8" x14ac:dyDescent="0.3">
      <c r="B13" s="156" t="s">
        <v>79</v>
      </c>
      <c r="C13" s="154">
        <v>9.0837673980962944E-2</v>
      </c>
      <c r="D13" s="154">
        <v>0.33945505163687606</v>
      </c>
      <c r="E13" s="154">
        <v>8.3508204689164284E-2</v>
      </c>
      <c r="F13" s="154">
        <v>4.1006774661069369E-2</v>
      </c>
      <c r="G13" s="154">
        <v>6.8869840910115027E-2</v>
      </c>
      <c r="H13" s="155">
        <v>6.8869840910115027E-2</v>
      </c>
      <c r="I13" s="19">
        <v>0.11542456446471712</v>
      </c>
      <c r="J13" s="20">
        <v>0.13470648901596946</v>
      </c>
      <c r="K13" s="20">
        <v>0.13149283492409408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0.99999999999999989</v>
      </c>
      <c r="D15" s="154">
        <v>1</v>
      </c>
      <c r="E15" s="154">
        <v>0.99999999999999989</v>
      </c>
      <c r="F15" s="154">
        <v>1</v>
      </c>
      <c r="G15" s="158">
        <v>1</v>
      </c>
      <c r="H15" s="159">
        <v>1</v>
      </c>
      <c r="I15" s="19">
        <v>1</v>
      </c>
      <c r="J15" s="19">
        <v>1</v>
      </c>
      <c r="K15" s="19">
        <v>1</v>
      </c>
    </row>
    <row r="16" spans="2:13" ht="43.8" thickBot="1" x14ac:dyDescent="0.35">
      <c r="B16" s="160" t="s">
        <v>82</v>
      </c>
      <c r="C16" s="161">
        <v>0.22182208434617684</v>
      </c>
      <c r="D16" s="161">
        <v>8.4994632969936035E-2</v>
      </c>
      <c r="E16" s="161">
        <v>0.14752474856199013</v>
      </c>
      <c r="F16" s="161">
        <v>0.18606706471449119</v>
      </c>
      <c r="G16" s="161">
        <v>0.24772909386542608</v>
      </c>
      <c r="H16" s="162">
        <v>0.24772909386542608</v>
      </c>
      <c r="I16" s="63">
        <v>0.18931111972057438</v>
      </c>
      <c r="J16" s="63">
        <v>0.17618550479187006</v>
      </c>
      <c r="K16" s="63">
        <v>0.17837310727998743</v>
      </c>
      <c r="M16" s="143">
        <v>4.4673360981300601</v>
      </c>
    </row>
    <row r="17" spans="1:13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20"/>
      <c r="B18" s="67" t="s">
        <v>340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20"/>
      <c r="B19" s="69" t="s">
        <v>341</v>
      </c>
      <c r="C19" s="70">
        <v>5.3237300243082437E-2</v>
      </c>
      <c r="D19" s="70">
        <v>1.6998926593987208E-2</v>
      </c>
      <c r="E19" s="70">
        <v>2.3603959769918421E-2</v>
      </c>
      <c r="F19" s="70">
        <v>2.2328047765738941E-2</v>
      </c>
      <c r="G19" s="70">
        <v>1.9818327509234086E-2</v>
      </c>
      <c r="H19" s="109">
        <v>9.9091637546170428E-3</v>
      </c>
      <c r="I19" s="20">
        <v>3.02897791552919E-2</v>
      </c>
      <c r="J19" s="110">
        <v>0.17618550479187003</v>
      </c>
      <c r="K19" s="43"/>
    </row>
    <row r="20" spans="1:13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20"/>
      <c r="B21" s="67" t="s">
        <v>340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21"/>
      <c r="B22" s="69" t="s">
        <v>341</v>
      </c>
      <c r="C22" s="70">
        <v>5.1758486347441263E-2</v>
      </c>
      <c r="D22" s="70">
        <v>1.6998926593987208E-2</v>
      </c>
      <c r="E22" s="70">
        <v>2.458745809366502E-2</v>
      </c>
      <c r="F22" s="70">
        <v>2.480894196193216E-2</v>
      </c>
      <c r="G22" s="70">
        <v>2.477290938654261E-2</v>
      </c>
      <c r="H22" s="109">
        <v>1.6515272924361737E-2</v>
      </c>
      <c r="I22" s="20">
        <v>1.8931111972057438E-2</v>
      </c>
      <c r="J22" s="43"/>
      <c r="K22" s="110">
        <v>0.1783731072799874</v>
      </c>
      <c r="L22" s="81"/>
    </row>
    <row r="23" spans="1:13" x14ac:dyDescent="0.3">
      <c r="M23" s="81"/>
    </row>
    <row r="25" spans="1:13" x14ac:dyDescent="0.3">
      <c r="B25" s="52"/>
      <c r="D25" s="142"/>
      <c r="I25" s="81"/>
    </row>
    <row r="26" spans="1:13" x14ac:dyDescent="0.3">
      <c r="B26" s="81">
        <v>1.1358667183234463</v>
      </c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050A9-44CA-452A-930B-1CCF924EE9EC}">
  <sheetPr codeName="Sheet15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348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5.5284255269917447E-2</v>
      </c>
      <c r="D4" s="154">
        <v>1.7891155547187627E-2</v>
      </c>
      <c r="E4" s="154">
        <v>2.8930953580090474E-2</v>
      </c>
      <c r="F4" s="154">
        <v>6.6264037833310294E-2</v>
      </c>
      <c r="G4" s="154">
        <v>4.1192770435471017E-2</v>
      </c>
      <c r="H4" s="155">
        <v>4.1192770435471017E-2</v>
      </c>
      <c r="I4" s="19">
        <v>4.1792657183574645E-2</v>
      </c>
      <c r="J4" s="20">
        <v>4.1057047088657893E-2</v>
      </c>
      <c r="K4" s="20">
        <v>4.1179648771144016E-2</v>
      </c>
      <c r="M4" s="142">
        <v>0.97319542991999997</v>
      </c>
    </row>
    <row r="5" spans="2:13" ht="28.8" x14ac:dyDescent="0.3">
      <c r="B5" s="156" t="s">
        <v>71</v>
      </c>
      <c r="C5" s="154">
        <v>6.9056169451488444E-2</v>
      </c>
      <c r="D5" s="154">
        <v>8.0243624579648634E-2</v>
      </c>
      <c r="E5" s="154">
        <v>0.10107576869765715</v>
      </c>
      <c r="F5" s="154">
        <v>3.0883257479829718E-2</v>
      </c>
      <c r="G5" s="154">
        <v>5.76611495015521E-2</v>
      </c>
      <c r="H5" s="155">
        <v>5.76611495015521E-2</v>
      </c>
      <c r="I5" s="19">
        <v>6.60968532019547E-2</v>
      </c>
      <c r="J5" s="20">
        <v>6.9995153925990677E-2</v>
      </c>
      <c r="K5" s="20">
        <v>6.9345437138651336E-2</v>
      </c>
    </row>
    <row r="6" spans="2:13" ht="28.8" x14ac:dyDescent="0.3">
      <c r="B6" s="153" t="s">
        <v>72</v>
      </c>
      <c r="C6" s="154">
        <v>5.9730276671849415E-3</v>
      </c>
      <c r="D6" s="154">
        <v>4.14821612536268E-3</v>
      </c>
      <c r="E6" s="154">
        <v>8.9999671754189339E-3</v>
      </c>
      <c r="F6" s="154">
        <v>9.9061240650963785E-3</v>
      </c>
      <c r="G6" s="154">
        <v>4.2255657116015422E-3</v>
      </c>
      <c r="H6" s="155">
        <v>4.2255657116015422E-3</v>
      </c>
      <c r="I6" s="19">
        <v>6.2464110760443352E-3</v>
      </c>
      <c r="J6" s="20">
        <v>6.3983931586347968E-3</v>
      </c>
      <c r="K6" s="20">
        <v>6.3730628115363855E-3</v>
      </c>
    </row>
    <row r="7" spans="2:13" x14ac:dyDescent="0.3">
      <c r="B7" s="156" t="s">
        <v>73</v>
      </c>
      <c r="C7" s="154">
        <v>4.661533588995357E-2</v>
      </c>
      <c r="D7" s="154">
        <v>5.6492605515242184E-2</v>
      </c>
      <c r="E7" s="154">
        <v>7.9664612264726806E-2</v>
      </c>
      <c r="F7" s="154">
        <v>6.3968379757714827E-2</v>
      </c>
      <c r="G7" s="154">
        <v>6.2909350642494213E-2</v>
      </c>
      <c r="H7" s="155">
        <v>6.2909350642494213E-2</v>
      </c>
      <c r="I7" s="19">
        <v>6.2093272452104303E-2</v>
      </c>
      <c r="J7" s="20">
        <v>6.0392790919355357E-2</v>
      </c>
      <c r="K7" s="20">
        <v>6.0676204508146848E-2</v>
      </c>
    </row>
    <row r="8" spans="2:13" ht="28.8" x14ac:dyDescent="0.3">
      <c r="B8" s="153" t="s">
        <v>74</v>
      </c>
      <c r="C8" s="154">
        <v>2.1145818962609229E-2</v>
      </c>
      <c r="D8" s="154">
        <v>3.138112565156962E-2</v>
      </c>
      <c r="E8" s="154">
        <v>1.6904275637822784E-2</v>
      </c>
      <c r="F8" s="154">
        <v>8.1709591128366316E-2</v>
      </c>
      <c r="G8" s="154">
        <v>0.1049423618597088</v>
      </c>
      <c r="H8" s="155">
        <v>0.1049423618597088</v>
      </c>
      <c r="I8" s="19">
        <v>6.017092251663092E-2</v>
      </c>
      <c r="J8" s="20">
        <v>4.6081487744621744E-2</v>
      </c>
      <c r="K8" s="20">
        <v>4.8429726873289933E-2</v>
      </c>
    </row>
    <row r="9" spans="2:13" x14ac:dyDescent="0.3">
      <c r="B9" s="156" t="s">
        <v>75</v>
      </c>
      <c r="C9" s="154">
        <v>6.5980058522596863E-2</v>
      </c>
      <c r="D9" s="154">
        <v>3.8772687625846736E-2</v>
      </c>
      <c r="E9" s="154">
        <v>3.7933074348508455E-2</v>
      </c>
      <c r="F9" s="154">
        <v>3.7998745845760552E-2</v>
      </c>
      <c r="G9" s="154">
        <v>4.5577562753320817E-2</v>
      </c>
      <c r="H9" s="155">
        <v>4.5577562753320817E-2</v>
      </c>
      <c r="I9" s="19">
        <v>4.530661530822571E-2</v>
      </c>
      <c r="J9" s="20">
        <v>4.6937258947559832E-2</v>
      </c>
      <c r="K9" s="20">
        <v>4.6665485007670801E-2</v>
      </c>
    </row>
    <row r="10" spans="2:13" ht="28.8" x14ac:dyDescent="0.3">
      <c r="B10" s="153" t="s">
        <v>76</v>
      </c>
      <c r="C10" s="154">
        <v>0.11863491327200326</v>
      </c>
      <c r="D10" s="154">
        <v>1.7098743942773584E-2</v>
      </c>
      <c r="E10" s="154">
        <v>7.0349231065107917E-2</v>
      </c>
      <c r="F10" s="154">
        <v>6.1737743932087485E-3</v>
      </c>
      <c r="G10" s="154">
        <v>8.2490045569255946E-2</v>
      </c>
      <c r="H10" s="155">
        <v>8.2490045569255946E-2</v>
      </c>
      <c r="I10" s="19">
        <v>6.2872792301934224E-2</v>
      </c>
      <c r="J10" s="20">
        <v>6.3847310108058011E-2</v>
      </c>
      <c r="K10" s="20">
        <v>6.3684890473704042E-2</v>
      </c>
    </row>
    <row r="11" spans="2:13" x14ac:dyDescent="0.3">
      <c r="B11" s="156" t="s">
        <v>77</v>
      </c>
      <c r="C11" s="154">
        <v>0.50568867780882121</v>
      </c>
      <c r="D11" s="154">
        <v>0.39788556718674978</v>
      </c>
      <c r="E11" s="154">
        <v>0.54934206183896706</v>
      </c>
      <c r="F11" s="154">
        <v>0.64007577754113432</v>
      </c>
      <c r="G11" s="154">
        <v>0.51533188755770043</v>
      </c>
      <c r="H11" s="155">
        <v>0.51533188755770043</v>
      </c>
      <c r="I11" s="19">
        <v>0.52060930991517884</v>
      </c>
      <c r="J11" s="20">
        <v>0.51078353540399057</v>
      </c>
      <c r="K11" s="20">
        <v>0.51242116448918862</v>
      </c>
    </row>
    <row r="12" spans="2:13" ht="43.2" x14ac:dyDescent="0.3">
      <c r="B12" s="153" t="s">
        <v>78</v>
      </c>
      <c r="C12" s="154">
        <v>2.0784069174461975E-2</v>
      </c>
      <c r="D12" s="154">
        <v>1.6631222188743099E-2</v>
      </c>
      <c r="E12" s="154">
        <v>2.3291850702536001E-2</v>
      </c>
      <c r="F12" s="154">
        <v>2.2013537294509476E-2</v>
      </c>
      <c r="G12" s="154">
        <v>1.6799465058780043E-2</v>
      </c>
      <c r="H12" s="155">
        <v>1.6799465058780043E-2</v>
      </c>
      <c r="I12" s="19">
        <v>1.9386601579635107E-2</v>
      </c>
      <c r="J12" s="20">
        <v>1.9800533687161614E-2</v>
      </c>
      <c r="K12" s="20">
        <v>1.9731545002573864E-2</v>
      </c>
    </row>
    <row r="13" spans="2:13" ht="28.8" x14ac:dyDescent="0.3">
      <c r="B13" s="156" t="s">
        <v>79</v>
      </c>
      <c r="C13" s="154">
        <v>9.0837673980962944E-2</v>
      </c>
      <c r="D13" s="154">
        <v>0.33945505163687606</v>
      </c>
      <c r="E13" s="154">
        <v>8.3508204689164284E-2</v>
      </c>
      <c r="F13" s="154">
        <v>4.1006774661069369E-2</v>
      </c>
      <c r="G13" s="154">
        <v>6.8869840910115027E-2</v>
      </c>
      <c r="H13" s="155">
        <v>6.8869840910115027E-2</v>
      </c>
      <c r="I13" s="19">
        <v>0.11542456446471712</v>
      </c>
      <c r="J13" s="20">
        <v>0.13470648901596946</v>
      </c>
      <c r="K13" s="20">
        <v>0.13149283492409408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0.99999999999999989</v>
      </c>
      <c r="D15" s="154">
        <v>1</v>
      </c>
      <c r="E15" s="154">
        <v>0.99999999999999989</v>
      </c>
      <c r="F15" s="154">
        <v>1</v>
      </c>
      <c r="G15" s="158">
        <v>1</v>
      </c>
      <c r="H15" s="159">
        <v>1</v>
      </c>
      <c r="I15" s="19">
        <v>1</v>
      </c>
      <c r="J15" s="19">
        <v>1</v>
      </c>
      <c r="K15" s="19">
        <v>1</v>
      </c>
    </row>
    <row r="16" spans="2:13" ht="43.8" thickBot="1" x14ac:dyDescent="0.35">
      <c r="B16" s="160" t="s">
        <v>82</v>
      </c>
      <c r="C16" s="161">
        <v>0.22182208434617684</v>
      </c>
      <c r="D16" s="161">
        <v>8.7150463455636595E-2</v>
      </c>
      <c r="E16" s="161">
        <v>0.14847627816097611</v>
      </c>
      <c r="F16" s="161">
        <v>0.18606706471449119</v>
      </c>
      <c r="G16" s="161">
        <v>0.24965020863481732</v>
      </c>
      <c r="H16" s="162">
        <v>0.24965020863481732</v>
      </c>
      <c r="I16" s="63">
        <v>0.19046938465781924</v>
      </c>
      <c r="J16" s="63">
        <v>0.17718477178713407</v>
      </c>
      <c r="K16" s="63">
        <v>0.17939887393224824</v>
      </c>
      <c r="M16" s="143">
        <v>4.4673360981300601</v>
      </c>
    </row>
    <row r="17" spans="1:13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20"/>
      <c r="B18" s="67" t="s">
        <v>340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20"/>
      <c r="B19" s="69" t="s">
        <v>341</v>
      </c>
      <c r="C19" s="70">
        <v>5.3237300243082437E-2</v>
      </c>
      <c r="D19" s="70">
        <v>1.743009269112732E-2</v>
      </c>
      <c r="E19" s="70">
        <v>2.375620450575618E-2</v>
      </c>
      <c r="F19" s="70">
        <v>2.2328047765738941E-2</v>
      </c>
      <c r="G19" s="70">
        <v>1.9972016690785386E-2</v>
      </c>
      <c r="H19" s="109">
        <v>9.986008345392693E-3</v>
      </c>
      <c r="I19" s="20">
        <v>3.0475101545251078E-2</v>
      </c>
      <c r="J19" s="110">
        <v>0.17718477178713404</v>
      </c>
      <c r="K19" s="43"/>
    </row>
    <row r="20" spans="1:13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20"/>
      <c r="B21" s="67" t="s">
        <v>340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21"/>
      <c r="B22" s="69" t="s">
        <v>341</v>
      </c>
      <c r="C22" s="70">
        <v>5.1758486347441263E-2</v>
      </c>
      <c r="D22" s="70">
        <v>1.743009269112732E-2</v>
      </c>
      <c r="E22" s="70">
        <v>2.4746046360162685E-2</v>
      </c>
      <c r="F22" s="70">
        <v>2.480894196193216E-2</v>
      </c>
      <c r="G22" s="70">
        <v>2.4965020863481735E-2</v>
      </c>
      <c r="H22" s="109">
        <v>1.6643347242321156E-2</v>
      </c>
      <c r="I22" s="20">
        <v>1.9046938465781926E-2</v>
      </c>
      <c r="J22" s="43"/>
      <c r="K22" s="110">
        <v>0.17939887393224827</v>
      </c>
      <c r="L22" s="81"/>
    </row>
    <row r="23" spans="1:13" x14ac:dyDescent="0.3">
      <c r="M23" s="81"/>
    </row>
    <row r="25" spans="1:13" x14ac:dyDescent="0.3">
      <c r="B25" s="52"/>
      <c r="D25" s="142"/>
      <c r="I25" s="81"/>
    </row>
    <row r="26" spans="1:13" x14ac:dyDescent="0.3">
      <c r="B26" s="81">
        <v>1.1428163079469154</v>
      </c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0A5EB-969B-4F87-A7E9-F09816741A08}">
  <sheetPr codeName="Sheet17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348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0</v>
      </c>
      <c r="D4" s="154">
        <v>0</v>
      </c>
      <c r="E4" s="154">
        <v>0</v>
      </c>
      <c r="F4" s="154">
        <v>0</v>
      </c>
      <c r="G4" s="154">
        <v>0</v>
      </c>
      <c r="H4" s="155">
        <v>0</v>
      </c>
      <c r="I4" s="19">
        <v>0</v>
      </c>
      <c r="J4" s="20">
        <v>0</v>
      </c>
      <c r="K4" s="20">
        <v>0</v>
      </c>
      <c r="M4" s="142"/>
    </row>
    <row r="5" spans="2:13" ht="28.8" x14ac:dyDescent="0.3">
      <c r="B5" s="156" t="s">
        <v>71</v>
      </c>
      <c r="C5" s="154">
        <v>0.11291641463570543</v>
      </c>
      <c r="D5" s="154">
        <v>0.17157386264617694</v>
      </c>
      <c r="E5" s="154">
        <v>0.18177381792178424</v>
      </c>
      <c r="F5" s="154">
        <v>0.15568321649605968</v>
      </c>
      <c r="G5" s="154">
        <v>0.14764364212402231</v>
      </c>
      <c r="H5" s="155">
        <v>0.14764364212402231</v>
      </c>
      <c r="I5" s="19">
        <v>0.15287243265796183</v>
      </c>
      <c r="J5" s="20">
        <v>0.15135733516897393</v>
      </c>
      <c r="K5" s="20">
        <v>0.15160985141713854</v>
      </c>
    </row>
    <row r="6" spans="2:13" ht="28.8" x14ac:dyDescent="0.3">
      <c r="B6" s="153" t="s">
        <v>72</v>
      </c>
      <c r="C6" s="154">
        <v>0</v>
      </c>
      <c r="D6" s="154">
        <v>0</v>
      </c>
      <c r="E6" s="154">
        <v>0</v>
      </c>
      <c r="F6" s="154">
        <v>0</v>
      </c>
      <c r="G6" s="154">
        <v>0</v>
      </c>
      <c r="H6" s="155">
        <v>0</v>
      </c>
      <c r="I6" s="19">
        <v>0</v>
      </c>
      <c r="J6" s="20">
        <v>0</v>
      </c>
      <c r="K6" s="20">
        <v>0</v>
      </c>
    </row>
    <row r="7" spans="2:13" x14ac:dyDescent="0.3">
      <c r="B7" s="156" t="s">
        <v>73</v>
      </c>
      <c r="C7" s="154">
        <v>0.14830773819231408</v>
      </c>
      <c r="D7" s="154">
        <v>0.20187946574197788</v>
      </c>
      <c r="E7" s="154">
        <v>0.12230511291709746</v>
      </c>
      <c r="F7" s="154">
        <v>0.13786512539745061</v>
      </c>
      <c r="G7" s="154">
        <v>0.12454621959671297</v>
      </c>
      <c r="H7" s="155">
        <v>0.12454621959671297</v>
      </c>
      <c r="I7" s="19">
        <v>0.14324164690704433</v>
      </c>
      <c r="J7" s="20">
        <v>0.14994659328571325</v>
      </c>
      <c r="K7" s="20">
        <v>0.14882910222260179</v>
      </c>
    </row>
    <row r="8" spans="2:13" ht="28.8" x14ac:dyDescent="0.3">
      <c r="B8" s="153" t="s">
        <v>74</v>
      </c>
      <c r="C8" s="154">
        <v>0</v>
      </c>
      <c r="D8" s="154">
        <v>0</v>
      </c>
      <c r="E8" s="154">
        <v>0</v>
      </c>
      <c r="F8" s="154">
        <v>0</v>
      </c>
      <c r="G8" s="154">
        <v>0</v>
      </c>
      <c r="H8" s="155">
        <v>0</v>
      </c>
      <c r="I8" s="19">
        <v>0</v>
      </c>
      <c r="J8" s="20">
        <v>0</v>
      </c>
      <c r="K8" s="20">
        <v>0</v>
      </c>
    </row>
    <row r="9" spans="2:13" x14ac:dyDescent="0.3">
      <c r="B9" s="156" t="s">
        <v>75</v>
      </c>
      <c r="C9" s="154">
        <v>4.8989858726083586E-2</v>
      </c>
      <c r="D9" s="154">
        <v>1.5023214038348966E-2</v>
      </c>
      <c r="E9" s="154">
        <v>2.0293188253143024E-2</v>
      </c>
      <c r="F9" s="154">
        <v>6.8253977347876435E-3</v>
      </c>
      <c r="G9" s="154">
        <v>3.8414573776443021E-2</v>
      </c>
      <c r="H9" s="155">
        <v>3.8414573776443021E-2</v>
      </c>
      <c r="I9" s="19">
        <v>2.7993467717541545E-2</v>
      </c>
      <c r="J9" s="20">
        <v>2.7916870438587062E-2</v>
      </c>
      <c r="K9" s="20">
        <v>2.7929636651746147E-2</v>
      </c>
    </row>
    <row r="10" spans="2:13" ht="28.8" x14ac:dyDescent="0.3">
      <c r="B10" s="153" t="s">
        <v>76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5">
        <v>0</v>
      </c>
      <c r="I10" s="19">
        <v>0</v>
      </c>
      <c r="J10" s="20">
        <v>0</v>
      </c>
      <c r="K10" s="20">
        <v>0</v>
      </c>
    </row>
    <row r="11" spans="2:13" x14ac:dyDescent="0.3">
      <c r="B11" s="156" t="s">
        <v>77</v>
      </c>
      <c r="C11" s="154">
        <v>0.55075982832319936</v>
      </c>
      <c r="D11" s="154">
        <v>0.5738268978984481</v>
      </c>
      <c r="E11" s="154">
        <v>0.56647951837499877</v>
      </c>
      <c r="F11" s="154">
        <v>0.63802830948523026</v>
      </c>
      <c r="G11" s="154">
        <v>0.58401950430678851</v>
      </c>
      <c r="H11" s="155">
        <v>0.58401950430678851</v>
      </c>
      <c r="I11" s="19">
        <v>0.58285559378257557</v>
      </c>
      <c r="J11" s="20">
        <v>0.57748709397751163</v>
      </c>
      <c r="K11" s="20">
        <v>0.57838184394502223</v>
      </c>
    </row>
    <row r="12" spans="2:13" ht="43.2" x14ac:dyDescent="0.3">
      <c r="B12" s="153" t="s">
        <v>78</v>
      </c>
      <c r="C12" s="154">
        <v>0</v>
      </c>
      <c r="D12" s="154">
        <v>0</v>
      </c>
      <c r="E12" s="154">
        <v>0</v>
      </c>
      <c r="F12" s="154">
        <v>0</v>
      </c>
      <c r="G12" s="154">
        <v>0</v>
      </c>
      <c r="H12" s="155">
        <v>0</v>
      </c>
      <c r="I12" s="19">
        <v>0</v>
      </c>
      <c r="J12" s="20">
        <v>0</v>
      </c>
      <c r="K12" s="20">
        <v>0</v>
      </c>
    </row>
    <row r="13" spans="2:13" ht="28.8" x14ac:dyDescent="0.3">
      <c r="B13" s="156" t="s">
        <v>79</v>
      </c>
      <c r="C13" s="154">
        <v>0.13902616012269772</v>
      </c>
      <c r="D13" s="154">
        <v>3.7696559675048154E-2</v>
      </c>
      <c r="E13" s="154">
        <v>0.10914836253297641</v>
      </c>
      <c r="F13" s="154">
        <v>6.1597950886471728E-2</v>
      </c>
      <c r="G13" s="154">
        <v>0.10537606019603313</v>
      </c>
      <c r="H13" s="155">
        <v>0.10537606019603313</v>
      </c>
      <c r="I13" s="19">
        <v>9.3036858934876718E-2</v>
      </c>
      <c r="J13" s="20">
        <v>9.329210712921418E-2</v>
      </c>
      <c r="K13" s="20">
        <v>9.3249565763491263E-2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1</v>
      </c>
      <c r="D15" s="154">
        <v>1</v>
      </c>
      <c r="E15" s="154">
        <v>0.99999999999999989</v>
      </c>
      <c r="F15" s="154">
        <v>0.99999999999999989</v>
      </c>
      <c r="G15" s="158">
        <v>1</v>
      </c>
      <c r="H15" s="159">
        <v>1</v>
      </c>
      <c r="I15" s="19">
        <v>0.99999999999999989</v>
      </c>
      <c r="J15" s="19">
        <v>1</v>
      </c>
      <c r="K15" s="19">
        <v>1</v>
      </c>
    </row>
    <row r="16" spans="2:13" ht="43.8" thickBot="1" x14ac:dyDescent="0.35">
      <c r="B16" s="160" t="s">
        <v>82</v>
      </c>
      <c r="C16" s="161">
        <v>0</v>
      </c>
      <c r="D16" s="161">
        <v>0</v>
      </c>
      <c r="E16" s="161">
        <v>0</v>
      </c>
      <c r="F16" s="161">
        <v>0</v>
      </c>
      <c r="G16" s="161">
        <v>0</v>
      </c>
      <c r="H16" s="162">
        <v>0</v>
      </c>
      <c r="I16" s="63">
        <v>0</v>
      </c>
      <c r="J16" s="63">
        <v>0</v>
      </c>
      <c r="K16" s="63">
        <v>0</v>
      </c>
      <c r="M16" s="143"/>
    </row>
    <row r="17" spans="1:13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20"/>
      <c r="B18" s="67" t="s">
        <v>340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20"/>
      <c r="B19" s="69" t="s">
        <v>341</v>
      </c>
      <c r="C19" s="70">
        <v>0</v>
      </c>
      <c r="D19" s="70">
        <v>0</v>
      </c>
      <c r="E19" s="70">
        <v>0</v>
      </c>
      <c r="F19" s="70">
        <v>0</v>
      </c>
      <c r="G19" s="70">
        <v>0</v>
      </c>
      <c r="H19" s="109">
        <v>0</v>
      </c>
      <c r="I19" s="20">
        <v>0</v>
      </c>
      <c r="J19" s="110">
        <v>0</v>
      </c>
      <c r="K19" s="43"/>
    </row>
    <row r="20" spans="1:13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20"/>
      <c r="B21" s="67" t="s">
        <v>340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21"/>
      <c r="B22" s="69" t="s">
        <v>341</v>
      </c>
      <c r="C22" s="70">
        <v>0</v>
      </c>
      <c r="D22" s="70">
        <v>0</v>
      </c>
      <c r="E22" s="70">
        <v>0</v>
      </c>
      <c r="F22" s="70">
        <v>0</v>
      </c>
      <c r="G22" s="70">
        <v>0</v>
      </c>
      <c r="H22" s="109">
        <v>0</v>
      </c>
      <c r="I22" s="20">
        <v>0</v>
      </c>
      <c r="J22" s="43"/>
      <c r="K22" s="110">
        <v>0</v>
      </c>
      <c r="L22" s="81"/>
    </row>
    <row r="23" spans="1:13" x14ac:dyDescent="0.3">
      <c r="A23" s="81">
        <v>0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0D9E-99CA-4AA4-A9EC-FE865B1193AD}">
  <sheetPr codeName="Sheet18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348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0</v>
      </c>
      <c r="D4" s="154">
        <v>0</v>
      </c>
      <c r="E4" s="154">
        <v>0</v>
      </c>
      <c r="F4" s="154">
        <v>0</v>
      </c>
      <c r="G4" s="154">
        <v>0</v>
      </c>
      <c r="H4" s="155">
        <v>0</v>
      </c>
      <c r="I4" s="19">
        <v>0</v>
      </c>
      <c r="J4" s="20">
        <v>0</v>
      </c>
      <c r="K4" s="20">
        <v>0</v>
      </c>
      <c r="M4" s="142"/>
    </row>
    <row r="5" spans="2:13" ht="28.8" x14ac:dyDescent="0.3">
      <c r="B5" s="156" t="s">
        <v>71</v>
      </c>
      <c r="C5" s="154">
        <v>0.17161051342630268</v>
      </c>
      <c r="D5" s="154">
        <v>0.18897567681129981</v>
      </c>
      <c r="E5" s="154">
        <v>0.22070531151490522</v>
      </c>
      <c r="F5" s="154">
        <v>0.21917470157286176</v>
      </c>
      <c r="G5" s="154">
        <v>0.17600825192962644</v>
      </c>
      <c r="H5" s="155">
        <v>0.17600825192962644</v>
      </c>
      <c r="I5" s="19">
        <v>0.19208045119743708</v>
      </c>
      <c r="J5" s="20">
        <v>0.19244933503884595</v>
      </c>
      <c r="K5" s="20">
        <v>0.1923878543986112</v>
      </c>
    </row>
    <row r="6" spans="2:13" ht="28.8" x14ac:dyDescent="0.3">
      <c r="B6" s="153" t="s">
        <v>72</v>
      </c>
      <c r="C6" s="154">
        <v>0</v>
      </c>
      <c r="D6" s="154">
        <v>0</v>
      </c>
      <c r="E6" s="154">
        <v>0</v>
      </c>
      <c r="F6" s="154">
        <v>0</v>
      </c>
      <c r="G6" s="154">
        <v>0</v>
      </c>
      <c r="H6" s="155">
        <v>0</v>
      </c>
      <c r="I6" s="19">
        <v>0</v>
      </c>
      <c r="J6" s="20">
        <v>0</v>
      </c>
      <c r="K6" s="20">
        <v>0</v>
      </c>
    </row>
    <row r="7" spans="2:13" x14ac:dyDescent="0.3">
      <c r="B7" s="156" t="s">
        <v>73</v>
      </c>
      <c r="C7" s="154">
        <v>0.12184444218027218</v>
      </c>
      <c r="D7" s="154">
        <v>0.1575660308451077</v>
      </c>
      <c r="E7" s="154">
        <v>9.9696392880311194E-2</v>
      </c>
      <c r="F7" s="154">
        <v>8.2761003667113892E-2</v>
      </c>
      <c r="G7" s="154">
        <v>9.7064788243824515E-2</v>
      </c>
      <c r="H7" s="155">
        <v>9.7064788243824515E-2</v>
      </c>
      <c r="I7" s="19">
        <v>0.10933290767674232</v>
      </c>
      <c r="J7" s="20">
        <v>0.11577965541072803</v>
      </c>
      <c r="K7" s="20">
        <v>0.11470519745506375</v>
      </c>
    </row>
    <row r="8" spans="2:13" ht="28.8" x14ac:dyDescent="0.3">
      <c r="B8" s="153" t="s">
        <v>74</v>
      </c>
      <c r="C8" s="154">
        <v>0</v>
      </c>
      <c r="D8" s="154">
        <v>0</v>
      </c>
      <c r="E8" s="154">
        <v>0</v>
      </c>
      <c r="F8" s="154">
        <v>0</v>
      </c>
      <c r="G8" s="154">
        <v>0</v>
      </c>
      <c r="H8" s="155">
        <v>0</v>
      </c>
      <c r="I8" s="19">
        <v>0</v>
      </c>
      <c r="J8" s="20">
        <v>0</v>
      </c>
      <c r="K8" s="20">
        <v>0</v>
      </c>
    </row>
    <row r="9" spans="2:13" x14ac:dyDescent="0.3">
      <c r="B9" s="156" t="s">
        <v>75</v>
      </c>
      <c r="C9" s="154">
        <v>3.6056394979870461E-2</v>
      </c>
      <c r="D9" s="154">
        <v>3.1729083420083085E-2</v>
      </c>
      <c r="E9" s="154">
        <v>3.3371637369424771E-2</v>
      </c>
      <c r="F9" s="154">
        <v>4.2556523294551334E-2</v>
      </c>
      <c r="G9" s="154">
        <v>3.0113635965529507E-2</v>
      </c>
      <c r="H9" s="155">
        <v>3.0113635965529507E-2</v>
      </c>
      <c r="I9" s="19">
        <v>3.3990151832498115E-2</v>
      </c>
      <c r="J9" s="20">
        <v>3.449765686270289E-2</v>
      </c>
      <c r="K9" s="20">
        <v>3.4413072691002092E-2</v>
      </c>
    </row>
    <row r="10" spans="2:13" ht="28.8" x14ac:dyDescent="0.3">
      <c r="B10" s="153" t="s">
        <v>76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5">
        <v>0</v>
      </c>
      <c r="I10" s="19">
        <v>0</v>
      </c>
      <c r="J10" s="20">
        <v>0</v>
      </c>
      <c r="K10" s="20">
        <v>0</v>
      </c>
    </row>
    <row r="11" spans="2:13" x14ac:dyDescent="0.3">
      <c r="B11" s="156" t="s">
        <v>77</v>
      </c>
      <c r="C11" s="154">
        <v>0.5266967374749304</v>
      </c>
      <c r="D11" s="154">
        <v>0.58340352912227511</v>
      </c>
      <c r="E11" s="154">
        <v>0.56021728357189282</v>
      </c>
      <c r="F11" s="154">
        <v>0.59439065682567493</v>
      </c>
      <c r="G11" s="154">
        <v>0.61042633981614791</v>
      </c>
      <c r="H11" s="155">
        <v>0.61042633981614791</v>
      </c>
      <c r="I11" s="19">
        <v>0.58092681443784489</v>
      </c>
      <c r="J11" s="20">
        <v>0.570249018097015</v>
      </c>
      <c r="K11" s="20">
        <v>0.57202865082048682</v>
      </c>
    </row>
    <row r="12" spans="2:13" ht="43.2" x14ac:dyDescent="0.3">
      <c r="B12" s="153" t="s">
        <v>78</v>
      </c>
      <c r="C12" s="154">
        <v>0</v>
      </c>
      <c r="D12" s="154">
        <v>0</v>
      </c>
      <c r="E12" s="154">
        <v>0</v>
      </c>
      <c r="F12" s="154">
        <v>0</v>
      </c>
      <c r="G12" s="154">
        <v>0</v>
      </c>
      <c r="H12" s="155">
        <v>0</v>
      </c>
      <c r="I12" s="19">
        <v>0</v>
      </c>
      <c r="J12" s="20">
        <v>0</v>
      </c>
      <c r="K12" s="20">
        <v>0</v>
      </c>
    </row>
    <row r="13" spans="2:13" ht="28.8" x14ac:dyDescent="0.3">
      <c r="B13" s="156" t="s">
        <v>79</v>
      </c>
      <c r="C13" s="154">
        <v>0.14379191193862428</v>
      </c>
      <c r="D13" s="154">
        <v>3.8325679801234379E-2</v>
      </c>
      <c r="E13" s="154">
        <v>8.6009374663465907E-2</v>
      </c>
      <c r="F13" s="154">
        <v>6.1117114639798097E-2</v>
      </c>
      <c r="G13" s="154">
        <v>8.6386984044871648E-2</v>
      </c>
      <c r="H13" s="155">
        <v>8.6386984044871648E-2</v>
      </c>
      <c r="I13" s="19">
        <v>8.366967485547766E-2</v>
      </c>
      <c r="J13" s="20">
        <v>8.7024334590708047E-2</v>
      </c>
      <c r="K13" s="20">
        <v>8.6465224634836316E-2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1</v>
      </c>
      <c r="D15" s="154">
        <v>1</v>
      </c>
      <c r="E15" s="154">
        <v>0.99999999999999989</v>
      </c>
      <c r="F15" s="154">
        <v>1</v>
      </c>
      <c r="G15" s="158">
        <v>1</v>
      </c>
      <c r="H15" s="159">
        <v>1</v>
      </c>
      <c r="I15" s="19">
        <v>1</v>
      </c>
      <c r="J15" s="19">
        <v>0.99999999999999989</v>
      </c>
      <c r="K15" s="19">
        <v>1.0000000000000002</v>
      </c>
    </row>
    <row r="16" spans="2:13" ht="43.8" thickBot="1" x14ac:dyDescent="0.35">
      <c r="B16" s="160" t="s">
        <v>82</v>
      </c>
      <c r="C16" s="161">
        <v>0</v>
      </c>
      <c r="D16" s="161">
        <v>0</v>
      </c>
      <c r="E16" s="161">
        <v>0</v>
      </c>
      <c r="F16" s="161">
        <v>0</v>
      </c>
      <c r="G16" s="161">
        <v>0</v>
      </c>
      <c r="H16" s="162">
        <v>0</v>
      </c>
      <c r="I16" s="63">
        <v>0</v>
      </c>
      <c r="J16" s="63">
        <v>0</v>
      </c>
      <c r="K16" s="63">
        <v>0</v>
      </c>
      <c r="M16" s="143"/>
    </row>
    <row r="17" spans="1:13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20"/>
      <c r="B18" s="67" t="s">
        <v>340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20"/>
      <c r="B19" s="69" t="s">
        <v>341</v>
      </c>
      <c r="C19" s="70">
        <v>0</v>
      </c>
      <c r="D19" s="70">
        <v>0</v>
      </c>
      <c r="E19" s="70">
        <v>0</v>
      </c>
      <c r="F19" s="70">
        <v>0</v>
      </c>
      <c r="G19" s="70">
        <v>0</v>
      </c>
      <c r="H19" s="109">
        <v>0</v>
      </c>
      <c r="I19" s="20">
        <v>0</v>
      </c>
      <c r="J19" s="110">
        <v>0</v>
      </c>
      <c r="K19" s="43"/>
    </row>
    <row r="20" spans="1:13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20"/>
      <c r="B21" s="67" t="s">
        <v>340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21"/>
      <c r="B22" s="69" t="s">
        <v>341</v>
      </c>
      <c r="C22" s="70">
        <v>0</v>
      </c>
      <c r="D22" s="70">
        <v>0</v>
      </c>
      <c r="E22" s="70">
        <v>0</v>
      </c>
      <c r="F22" s="70">
        <v>0</v>
      </c>
      <c r="G22" s="70">
        <v>0</v>
      </c>
      <c r="H22" s="109">
        <v>0</v>
      </c>
      <c r="I22" s="20">
        <v>0</v>
      </c>
      <c r="J22" s="43"/>
      <c r="K22" s="110">
        <v>0</v>
      </c>
      <c r="L22" s="81"/>
    </row>
    <row r="23" spans="1:13" x14ac:dyDescent="0.3">
      <c r="A23" s="81">
        <v>0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0B77E-2504-45C0-B7B1-FC3E0C6A8753}">
  <sheetPr codeName="Sheet19"/>
  <dimension ref="A2:M28"/>
  <sheetViews>
    <sheetView workbookViewId="0">
      <selection sqref="A1:XFD100"/>
    </sheetView>
  </sheetViews>
  <sheetFormatPr defaultRowHeight="14.4" x14ac:dyDescent="0.3"/>
  <cols>
    <col min="1" max="1" width="29" bestFit="1" customWidth="1"/>
    <col min="2" max="2" width="39" customWidth="1"/>
    <col min="3" max="3" width="14.77734375" bestFit="1" customWidth="1"/>
    <col min="4" max="6" width="13.44140625" customWidth="1"/>
    <col min="7" max="8" width="12" bestFit="1" customWidth="1"/>
    <col min="9" max="9" width="9.77734375" bestFit="1" customWidth="1"/>
    <col min="10" max="11" width="8.109375" bestFit="1" customWidth="1"/>
  </cols>
  <sheetData>
    <row r="2" spans="2:13" ht="15" thickBot="1" x14ac:dyDescent="0.35"/>
    <row r="3" spans="2:13" x14ac:dyDescent="0.3">
      <c r="B3" s="149" t="s">
        <v>69</v>
      </c>
      <c r="C3" s="150" t="s">
        <v>223</v>
      </c>
      <c r="D3" s="150" t="s">
        <v>58</v>
      </c>
      <c r="E3" s="150" t="s">
        <v>217</v>
      </c>
      <c r="F3" s="150" t="s">
        <v>218</v>
      </c>
      <c r="G3" s="151" t="s">
        <v>219</v>
      </c>
      <c r="H3" s="152" t="s">
        <v>220</v>
      </c>
      <c r="I3" s="16" t="s">
        <v>348</v>
      </c>
      <c r="J3" s="16">
        <v>2023</v>
      </c>
      <c r="K3" s="17">
        <v>2024</v>
      </c>
    </row>
    <row r="4" spans="2:13" ht="28.8" x14ac:dyDescent="0.3">
      <c r="B4" s="153" t="s">
        <v>70</v>
      </c>
      <c r="C4" s="154">
        <v>1.8954904663315345E-2</v>
      </c>
      <c r="D4" s="154">
        <v>6.1513715565281353E-3</v>
      </c>
      <c r="E4" s="154">
        <v>2.0355552003686931E-3</v>
      </c>
      <c r="F4" s="154">
        <v>6.0203099964227834E-3</v>
      </c>
      <c r="G4" s="154">
        <v>1.7561975843012841E-2</v>
      </c>
      <c r="H4" s="155">
        <v>1.7561975843012841E-2</v>
      </c>
      <c r="I4" s="19">
        <v>1.1381015517110106E-2</v>
      </c>
      <c r="J4" s="20">
        <v>1.0755977046030192E-2</v>
      </c>
      <c r="K4" s="20">
        <v>1.0860150124543513E-2</v>
      </c>
      <c r="M4" s="142"/>
    </row>
    <row r="5" spans="2:13" ht="28.8" x14ac:dyDescent="0.3">
      <c r="B5" s="156" t="s">
        <v>71</v>
      </c>
      <c r="C5" s="154">
        <v>0.13822840432838709</v>
      </c>
      <c r="D5" s="154">
        <v>0.17012858308732864</v>
      </c>
      <c r="E5" s="154">
        <v>0.20531680089803345</v>
      </c>
      <c r="F5" s="154">
        <v>0.19612629817056507</v>
      </c>
      <c r="G5" s="154">
        <v>0.14639694107721035</v>
      </c>
      <c r="H5" s="155">
        <v>0.14639694107721035</v>
      </c>
      <c r="I5" s="19">
        <v>0.16709899477312251</v>
      </c>
      <c r="J5" s="20">
        <v>0.16788984967339665</v>
      </c>
      <c r="K5" s="20">
        <v>0.16775804052335094</v>
      </c>
    </row>
    <row r="6" spans="2:13" ht="28.8" x14ac:dyDescent="0.3">
      <c r="B6" s="153" t="s">
        <v>72</v>
      </c>
      <c r="C6" s="154">
        <v>1.4427204434600226E-2</v>
      </c>
      <c r="D6" s="154">
        <v>1.2695722167443038E-2</v>
      </c>
      <c r="E6" s="154">
        <v>1.3352955416503082E-2</v>
      </c>
      <c r="F6" s="154">
        <v>1.7028093405873954E-2</v>
      </c>
      <c r="G6" s="154">
        <v>1.2049335009403235E-2</v>
      </c>
      <c r="H6" s="155">
        <v>1.2049335009403235E-2</v>
      </c>
      <c r="I6" s="19">
        <v>1.3600440907204463E-2</v>
      </c>
      <c r="J6" s="20">
        <v>1.3803508319419131E-2</v>
      </c>
      <c r="K6" s="20">
        <v>1.3769663750716685E-2</v>
      </c>
    </row>
    <row r="7" spans="2:13" x14ac:dyDescent="0.3">
      <c r="B7" s="156" t="s">
        <v>73</v>
      </c>
      <c r="C7" s="154">
        <v>0.12155291017081921</v>
      </c>
      <c r="D7" s="154">
        <v>0.15730948707658282</v>
      </c>
      <c r="E7" s="154">
        <v>9.9426568331670767E-2</v>
      </c>
      <c r="F7" s="154">
        <v>8.2416915225706502E-2</v>
      </c>
      <c r="G7" s="154">
        <v>9.6821306087334177E-2</v>
      </c>
      <c r="H7" s="155">
        <v>9.6821306087334177E-2</v>
      </c>
      <c r="I7" s="19">
        <v>0.10905808216324127</v>
      </c>
      <c r="J7" s="20">
        <v>0.11550072649306398</v>
      </c>
      <c r="K7" s="20">
        <v>0.11442695243809353</v>
      </c>
    </row>
    <row r="8" spans="2:13" ht="28.8" x14ac:dyDescent="0.3">
      <c r="B8" s="153" t="s">
        <v>74</v>
      </c>
      <c r="C8" s="154">
        <v>2.9153200945297248E-4</v>
      </c>
      <c r="D8" s="154">
        <v>2.5654376852488785E-4</v>
      </c>
      <c r="E8" s="154">
        <v>2.6982454864042172E-4</v>
      </c>
      <c r="F8" s="154">
        <v>3.4408844140738768E-4</v>
      </c>
      <c r="G8" s="154">
        <v>2.4348215649033422E-4</v>
      </c>
      <c r="H8" s="155">
        <v>2.4348215649033422E-4</v>
      </c>
      <c r="I8" s="19">
        <v>2.7482551350105643E-4</v>
      </c>
      <c r="J8" s="20">
        <v>2.7892891766405408E-4</v>
      </c>
      <c r="K8" s="20">
        <v>2.7824501697022117E-4</v>
      </c>
    </row>
    <row r="9" spans="2:13" x14ac:dyDescent="0.3">
      <c r="B9" s="156" t="s">
        <v>75</v>
      </c>
      <c r="C9" s="154">
        <v>3.6056394979870461E-2</v>
      </c>
      <c r="D9" s="154">
        <v>3.1729083420083085E-2</v>
      </c>
      <c r="E9" s="154">
        <v>3.3371637369424771E-2</v>
      </c>
      <c r="F9" s="154">
        <v>4.2556523294551334E-2</v>
      </c>
      <c r="G9" s="154">
        <v>3.0113635965529507E-2</v>
      </c>
      <c r="H9" s="155">
        <v>3.0113635965529507E-2</v>
      </c>
      <c r="I9" s="19">
        <v>3.3990151832498115E-2</v>
      </c>
      <c r="J9" s="20">
        <v>3.449765686270289E-2</v>
      </c>
      <c r="K9" s="20">
        <v>3.4413072691002092E-2</v>
      </c>
    </row>
    <row r="10" spans="2:13" ht="28.8" x14ac:dyDescent="0.3">
      <c r="B10" s="153" t="s">
        <v>76</v>
      </c>
      <c r="C10" s="154">
        <v>0</v>
      </c>
      <c r="D10" s="154">
        <v>0</v>
      </c>
      <c r="E10" s="154">
        <v>0</v>
      </c>
      <c r="F10" s="154">
        <v>0</v>
      </c>
      <c r="G10" s="154">
        <v>0</v>
      </c>
      <c r="H10" s="155">
        <v>0</v>
      </c>
      <c r="I10" s="19">
        <v>0</v>
      </c>
      <c r="J10" s="20">
        <v>0</v>
      </c>
      <c r="K10" s="20">
        <v>0</v>
      </c>
    </row>
    <row r="11" spans="2:13" x14ac:dyDescent="0.3">
      <c r="B11" s="156" t="s">
        <v>77</v>
      </c>
      <c r="C11" s="154">
        <v>0.5266967374749304</v>
      </c>
      <c r="D11" s="154">
        <v>0.58340352912227511</v>
      </c>
      <c r="E11" s="154">
        <v>0.56021728357189282</v>
      </c>
      <c r="F11" s="154">
        <v>0.59439065682567493</v>
      </c>
      <c r="G11" s="154">
        <v>0.61042633981614791</v>
      </c>
      <c r="H11" s="155">
        <v>0.61042633981614791</v>
      </c>
      <c r="I11" s="19">
        <v>0.58092681443784489</v>
      </c>
      <c r="J11" s="20">
        <v>0.570249018097015</v>
      </c>
      <c r="K11" s="20">
        <v>0.57202865082048682</v>
      </c>
    </row>
    <row r="12" spans="2:13" ht="43.2" x14ac:dyDescent="0.3">
      <c r="B12" s="153" t="s">
        <v>78</v>
      </c>
      <c r="C12" s="154">
        <v>0</v>
      </c>
      <c r="D12" s="154">
        <v>0</v>
      </c>
      <c r="E12" s="154">
        <v>0</v>
      </c>
      <c r="F12" s="154">
        <v>0</v>
      </c>
      <c r="G12" s="154">
        <v>0</v>
      </c>
      <c r="H12" s="155">
        <v>0</v>
      </c>
      <c r="I12" s="19">
        <v>0</v>
      </c>
      <c r="J12" s="20">
        <v>0</v>
      </c>
      <c r="K12" s="20">
        <v>0</v>
      </c>
    </row>
    <row r="13" spans="2:13" ht="28.8" x14ac:dyDescent="0.3">
      <c r="B13" s="156" t="s">
        <v>79</v>
      </c>
      <c r="C13" s="154">
        <v>0.14379191193862428</v>
      </c>
      <c r="D13" s="154">
        <v>3.8325679801234379E-2</v>
      </c>
      <c r="E13" s="154">
        <v>8.6009374663465907E-2</v>
      </c>
      <c r="F13" s="154">
        <v>6.1117114639798097E-2</v>
      </c>
      <c r="G13" s="154">
        <v>8.6386984044871648E-2</v>
      </c>
      <c r="H13" s="155">
        <v>8.6386984044871648E-2</v>
      </c>
      <c r="I13" s="19">
        <v>8.366967485547766E-2</v>
      </c>
      <c r="J13" s="20">
        <v>8.7024334590708047E-2</v>
      </c>
      <c r="K13" s="20">
        <v>8.6465224634836316E-2</v>
      </c>
    </row>
    <row r="14" spans="2:13" ht="57.6" x14ac:dyDescent="0.3">
      <c r="B14" s="153" t="s">
        <v>80</v>
      </c>
      <c r="C14" s="154">
        <v>0</v>
      </c>
      <c r="D14" s="154">
        <v>0</v>
      </c>
      <c r="E14" s="154">
        <v>0</v>
      </c>
      <c r="F14" s="154">
        <v>0</v>
      </c>
      <c r="G14" s="154">
        <v>0</v>
      </c>
      <c r="H14" s="155">
        <v>0</v>
      </c>
      <c r="I14" s="19">
        <v>0</v>
      </c>
      <c r="J14" s="20">
        <v>0</v>
      </c>
      <c r="K14" s="20">
        <v>0</v>
      </c>
    </row>
    <row r="15" spans="2:13" ht="28.8" x14ac:dyDescent="0.3">
      <c r="B15" s="157" t="s">
        <v>81</v>
      </c>
      <c r="C15" s="154">
        <v>1</v>
      </c>
      <c r="D15" s="154">
        <v>1.0000000000000002</v>
      </c>
      <c r="E15" s="154">
        <v>0.99999999999999989</v>
      </c>
      <c r="F15" s="154">
        <v>1</v>
      </c>
      <c r="G15" s="158">
        <v>1</v>
      </c>
      <c r="H15" s="159">
        <v>1</v>
      </c>
      <c r="I15" s="19">
        <v>1</v>
      </c>
      <c r="J15" s="19">
        <v>1</v>
      </c>
      <c r="K15" s="19">
        <v>1.0000000000000002</v>
      </c>
    </row>
    <row r="16" spans="2:13" ht="43.8" thickBot="1" x14ac:dyDescent="0.35">
      <c r="B16" s="160" t="s">
        <v>82</v>
      </c>
      <c r="C16" s="161">
        <v>3.3673641107368542E-2</v>
      </c>
      <c r="D16" s="161">
        <v>1.9103637492496061E-2</v>
      </c>
      <c r="E16" s="161">
        <v>1.5658335165512197E-2</v>
      </c>
      <c r="F16" s="161">
        <v>2.3392491843704125E-2</v>
      </c>
      <c r="G16" s="161">
        <v>2.9854793008906408E-2</v>
      </c>
      <c r="H16" s="162">
        <v>2.9854793008906408E-2</v>
      </c>
      <c r="I16" s="63">
        <v>2.5256281937815626E-2</v>
      </c>
      <c r="J16" s="63">
        <v>2.4838414283113376E-2</v>
      </c>
      <c r="K16" s="63">
        <v>2.4908058892230418E-2</v>
      </c>
      <c r="M16" s="143"/>
    </row>
    <row r="17" spans="1:13" x14ac:dyDescent="0.3">
      <c r="A17" s="219">
        <v>2023</v>
      </c>
      <c r="B17" s="64" t="s">
        <v>339</v>
      </c>
      <c r="C17" s="65">
        <v>6000</v>
      </c>
      <c r="D17" s="65">
        <v>5000</v>
      </c>
      <c r="E17" s="65">
        <v>4000</v>
      </c>
      <c r="F17" s="65">
        <v>3000</v>
      </c>
      <c r="G17" s="65">
        <v>2000</v>
      </c>
      <c r="H17" s="107">
        <v>1000</v>
      </c>
      <c r="I17" s="43">
        <v>4000</v>
      </c>
      <c r="J17" s="43">
        <v>25000</v>
      </c>
      <c r="K17" s="43"/>
    </row>
    <row r="18" spans="1:13" x14ac:dyDescent="0.3">
      <c r="A18" s="220"/>
      <c r="B18" s="67" t="s">
        <v>340</v>
      </c>
      <c r="C18" s="62">
        <v>0.24</v>
      </c>
      <c r="D18" s="62">
        <v>0.2</v>
      </c>
      <c r="E18" s="62">
        <v>0.16</v>
      </c>
      <c r="F18" s="62">
        <v>0.12</v>
      </c>
      <c r="G18" s="62">
        <v>0.08</v>
      </c>
      <c r="H18" s="108">
        <v>0.04</v>
      </c>
      <c r="I18" s="62">
        <v>0.16</v>
      </c>
      <c r="J18" s="74">
        <v>1</v>
      </c>
      <c r="K18" s="43"/>
    </row>
    <row r="19" spans="1:13" ht="15" thickBot="1" x14ac:dyDescent="0.35">
      <c r="A19" s="220"/>
      <c r="B19" s="69" t="s">
        <v>341</v>
      </c>
      <c r="C19" s="70">
        <v>8.0816738657684493E-3</v>
      </c>
      <c r="D19" s="70">
        <v>3.8207274984992123E-3</v>
      </c>
      <c r="E19" s="70">
        <v>2.5053336264819516E-3</v>
      </c>
      <c r="F19" s="70">
        <v>2.8070990212444948E-3</v>
      </c>
      <c r="G19" s="70">
        <v>2.3883834407125125E-3</v>
      </c>
      <c r="H19" s="109">
        <v>1.1941917203562562E-3</v>
      </c>
      <c r="I19" s="20">
        <v>4.0410051100505003E-3</v>
      </c>
      <c r="J19" s="110">
        <v>2.483841428311338E-2</v>
      </c>
      <c r="K19" s="43"/>
    </row>
    <row r="20" spans="1:13" x14ac:dyDescent="0.3">
      <c r="A20" s="220">
        <v>2024</v>
      </c>
      <c r="B20" s="64" t="s">
        <v>339</v>
      </c>
      <c r="C20" s="65">
        <v>7000</v>
      </c>
      <c r="D20" s="65">
        <v>6000</v>
      </c>
      <c r="E20" s="65">
        <v>5000</v>
      </c>
      <c r="F20" s="65">
        <v>4000</v>
      </c>
      <c r="G20" s="65">
        <v>3000</v>
      </c>
      <c r="H20" s="107">
        <v>2000</v>
      </c>
      <c r="I20" s="43">
        <v>3000</v>
      </c>
      <c r="J20" s="43"/>
      <c r="K20" s="43">
        <v>30000</v>
      </c>
    </row>
    <row r="21" spans="1:13" x14ac:dyDescent="0.3">
      <c r="A21" s="220"/>
      <c r="B21" s="67" t="s">
        <v>340</v>
      </c>
      <c r="C21" s="62">
        <v>0.23333333333333334</v>
      </c>
      <c r="D21" s="62">
        <v>0.2</v>
      </c>
      <c r="E21" s="62">
        <v>0.16666666666666666</v>
      </c>
      <c r="F21" s="62">
        <v>0.13333333333333333</v>
      </c>
      <c r="G21" s="62">
        <v>0.1</v>
      </c>
      <c r="H21" s="108">
        <v>6.6666666666666666E-2</v>
      </c>
      <c r="I21" s="62">
        <v>0.1</v>
      </c>
      <c r="J21" s="74"/>
      <c r="K21" s="74">
        <v>0.99999999999999989</v>
      </c>
    </row>
    <row r="22" spans="1:13" ht="15" thickBot="1" x14ac:dyDescent="0.35">
      <c r="A22" s="221"/>
      <c r="B22" s="69" t="s">
        <v>341</v>
      </c>
      <c r="C22" s="70">
        <v>7.8571829250526602E-3</v>
      </c>
      <c r="D22" s="70">
        <v>3.8207274984992123E-3</v>
      </c>
      <c r="E22" s="70">
        <v>2.6097225275853661E-3</v>
      </c>
      <c r="F22" s="70">
        <v>3.1189989124938834E-3</v>
      </c>
      <c r="G22" s="70">
        <v>2.985479300890641E-3</v>
      </c>
      <c r="H22" s="109">
        <v>1.9903195339270939E-3</v>
      </c>
      <c r="I22" s="20">
        <v>2.5256281937815627E-3</v>
      </c>
      <c r="J22" s="43"/>
      <c r="K22" s="110">
        <v>2.4908058892230418E-2</v>
      </c>
      <c r="L22" s="81"/>
    </row>
    <row r="23" spans="1:13" x14ac:dyDescent="0.3">
      <c r="A23" s="81">
        <v>0.15153769162689373</v>
      </c>
      <c r="M23" s="81"/>
    </row>
    <row r="25" spans="1:13" x14ac:dyDescent="0.3">
      <c r="B25" s="52"/>
      <c r="D25" s="142"/>
      <c r="I25" s="81"/>
    </row>
    <row r="26" spans="1:13" x14ac:dyDescent="0.3">
      <c r="C26" s="81"/>
      <c r="D26" s="143"/>
      <c r="E26" s="81"/>
    </row>
    <row r="27" spans="1:13" x14ac:dyDescent="0.3">
      <c r="C27" s="142"/>
    </row>
    <row r="28" spans="1:13" x14ac:dyDescent="0.3">
      <c r="B28" s="81"/>
      <c r="D28" s="81"/>
    </row>
  </sheetData>
  <mergeCells count="2">
    <mergeCell ref="A17:A19"/>
    <mergeCell ref="A20:A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XYZTU</vt:lpstr>
      <vt:lpstr>SPEC001</vt:lpstr>
      <vt:lpstr>SPEC002</vt:lpstr>
      <vt:lpstr>SPEC003</vt:lpstr>
      <vt:lpstr>SPEC004</vt:lpstr>
      <vt:lpstr>SPEC005</vt:lpstr>
      <vt:lpstr>RESUME</vt:lpstr>
      <vt:lpstr>CALCULATE</vt:lpstr>
      <vt:lpstr>CATEGORY SPESIFICATION</vt:lpstr>
      <vt:lpstr>HISTORY_UNDO</vt:lpstr>
      <vt:lpstr>SIMULATION_PROCESS</vt:lpstr>
      <vt:lpstr>RESUME (2)</vt:lpstr>
      <vt:lpstr>HISTORY_CHANGE</vt:lpstr>
      <vt:lpstr>Before Multiple_30900924</vt:lpstr>
      <vt:lpstr>Before Multiple_35891809</vt:lpstr>
      <vt:lpstr>Before Multiple_36576555</vt:lpstr>
      <vt:lpstr>Before Multiple_52354902</vt:lpstr>
      <vt:lpstr>Before Multiple_58886039</vt:lpstr>
      <vt:lpstr>Before Multiple_60119848</vt:lpstr>
      <vt:lpstr>CALCULATE!Print_Area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Hype AMD</dc:creator>
  <cp:lastModifiedBy>MyBook Hype AMD</cp:lastModifiedBy>
  <dcterms:created xsi:type="dcterms:W3CDTF">2015-06-05T18:17:20Z</dcterms:created>
  <dcterms:modified xsi:type="dcterms:W3CDTF">2025-06-15T13:01:37Z</dcterms:modified>
</cp:coreProperties>
</file>