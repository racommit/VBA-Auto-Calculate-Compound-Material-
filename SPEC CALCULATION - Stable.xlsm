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Book Hype AMD\Documents\PKL\MACRO\Simulasi test\"/>
    </mc:Choice>
  </mc:AlternateContent>
  <xr:revisionPtr revIDLastSave="0" documentId="13_ncr:1_{1D2385DE-1303-41C0-B3DE-7E87395DF27E}" xr6:coauthVersionLast="47" xr6:coauthVersionMax="47" xr10:uidLastSave="{00000000-0000-0000-0000-000000000000}"/>
  <bookViews>
    <workbookView xWindow="-108" yWindow="-108" windowWidth="23256" windowHeight="12456" tabRatio="723" activeTab="6" xr2:uid="{00000000-000D-0000-FFFF-FFFF00000000}"/>
  </bookViews>
  <sheets>
    <sheet name="XYZTU" sheetId="57" r:id="rId1"/>
    <sheet name="SPEC001" sheetId="1" r:id="rId2"/>
    <sheet name="SPEC002" sheetId="2" r:id="rId3"/>
    <sheet name="SPEC003" sheetId="3" r:id="rId4"/>
    <sheet name="SPEC004" sheetId="7" r:id="rId5"/>
    <sheet name="SPEC005" sheetId="218" r:id="rId6"/>
    <sheet name="RESUME" sheetId="8" r:id="rId7"/>
    <sheet name="CALCULATE" sheetId="58" r:id="rId8"/>
    <sheet name="CATEGORY SPESIFICATION" sheetId="9" r:id="rId9"/>
    <sheet name="HISTORY_UNDO" sheetId="60" r:id="rId10"/>
    <sheet name="SIMULATION_PROCESS" sheetId="85" r:id="rId11"/>
    <sheet name="RESUME (2)" sheetId="191" r:id="rId12"/>
    <sheet name="TEMP_SPEC005" sheetId="59" state="veryHidden" r:id="rId13"/>
    <sheet name="HISTORY_CHANGE" sheetId="200" r:id="rId14"/>
    <sheet name="Before Multiple_86264562" sheetId="247" r:id="rId15"/>
    <sheet name="Before Multiple_86376812" sheetId="248" r:id="rId16"/>
    <sheet name="Before Multiple_35387941" sheetId="249" r:id="rId17"/>
    <sheet name="Before Multiple_40177324" sheetId="250" r:id="rId18"/>
  </sheets>
  <functionGroups builtInGroupCount="19"/>
  <definedNames>
    <definedName name="_xlpm.col_match" hidden="1" xlm="1">#NAME?</definedName>
    <definedName name="_xlpm.headers" hidden="1" xlm="1">#NAME?</definedName>
    <definedName name="_xlpm.range" hidden="1" xlm="1">#NAME?</definedName>
    <definedName name="_xlpm.value" hidden="1" xlm="1">#NAME?</definedName>
    <definedName name="_xlnm.Print_Area" localSheetId="7">CALCULATE!$B$1:$K$38</definedName>
  </definedNames>
  <calcPr calcId="191029"/>
  <customWorkbookViews>
    <customWorkbookView name="App Layout" guid="{5C7B38D6-29D9-4C20-A92E-817BB499D35F}" maximized="1" xWindow="-9" yWindow="-9" windowWidth="1938" windowHeight="1038" activeSheetId="5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6" i="218" l="1"/>
  <c r="I275" i="218"/>
  <c r="I274" i="218"/>
  <c r="I273" i="218"/>
  <c r="I272" i="218"/>
  <c r="I271" i="218"/>
  <c r="I270" i="218"/>
  <c r="I269" i="218"/>
  <c r="I268" i="218"/>
  <c r="I267" i="218"/>
  <c r="I266" i="218"/>
  <c r="I265" i="218"/>
  <c r="I264" i="218"/>
  <c r="I263" i="218"/>
  <c r="I262" i="218"/>
  <c r="I261" i="218"/>
  <c r="I260" i="218"/>
  <c r="I259" i="218"/>
  <c r="I258" i="218"/>
  <c r="I257" i="218"/>
  <c r="I256" i="218"/>
  <c r="I255" i="218"/>
  <c r="I254" i="218"/>
  <c r="I253" i="218"/>
  <c r="I252" i="218"/>
  <c r="I251" i="218"/>
  <c r="I250" i="218"/>
  <c r="I249" i="218"/>
  <c r="I248" i="218"/>
  <c r="I247" i="218"/>
  <c r="I246" i="218"/>
  <c r="I245" i="218"/>
  <c r="I244" i="218"/>
  <c r="I243" i="218"/>
  <c r="I242" i="218"/>
  <c r="I241" i="218"/>
  <c r="I240" i="218"/>
  <c r="I239" i="218"/>
  <c r="I238" i="218"/>
  <c r="I237" i="218"/>
  <c r="I236" i="218"/>
  <c r="I235" i="218"/>
  <c r="I234" i="218"/>
  <c r="I233" i="218"/>
  <c r="I232" i="218"/>
  <c r="I231" i="218"/>
  <c r="I230" i="218"/>
  <c r="I229" i="218"/>
  <c r="I228" i="218"/>
  <c r="I227" i="218"/>
  <c r="I226" i="218"/>
  <c r="I225" i="218"/>
  <c r="I224" i="218"/>
  <c r="I223" i="218"/>
  <c r="I222" i="218"/>
  <c r="I221" i="218"/>
  <c r="I220" i="218"/>
  <c r="I219" i="218"/>
  <c r="I218" i="218"/>
  <c r="I217" i="218"/>
  <c r="I216" i="218"/>
  <c r="I215" i="218"/>
  <c r="I214" i="218"/>
  <c r="I213" i="218"/>
  <c r="I212" i="218"/>
  <c r="I211" i="218"/>
  <c r="I210" i="218"/>
  <c r="I209" i="218"/>
  <c r="I208" i="218"/>
  <c r="I207" i="218"/>
  <c r="I206" i="218"/>
  <c r="I205" i="218"/>
  <c r="I204" i="218"/>
  <c r="I203" i="218"/>
  <c r="I202" i="218"/>
  <c r="I201" i="218"/>
  <c r="I200" i="218"/>
  <c r="I199" i="218"/>
  <c r="I198" i="218"/>
  <c r="I197" i="218"/>
  <c r="I196" i="218"/>
  <c r="I195" i="218"/>
  <c r="I194" i="218"/>
  <c r="I192" i="218"/>
  <c r="I191" i="218"/>
  <c r="I190" i="218"/>
  <c r="I189" i="218"/>
  <c r="I187" i="218"/>
  <c r="I186" i="218"/>
  <c r="I185" i="218"/>
  <c r="I184" i="218"/>
  <c r="I183" i="218"/>
  <c r="I182" i="218"/>
  <c r="I181" i="218"/>
  <c r="I179" i="218"/>
  <c r="I178" i="218"/>
  <c r="I177" i="218"/>
  <c r="I176" i="218"/>
  <c r="I175" i="218"/>
  <c r="I174" i="218"/>
  <c r="I173" i="218"/>
  <c r="I172" i="218"/>
  <c r="I171" i="218"/>
  <c r="I168" i="218"/>
  <c r="I167" i="218"/>
  <c r="I164" i="218"/>
  <c r="I158" i="218"/>
  <c r="I154" i="218"/>
  <c r="I153" i="218"/>
  <c r="I152" i="218"/>
  <c r="I151" i="218"/>
  <c r="I148" i="218"/>
  <c r="I147" i="218"/>
  <c r="I145" i="218"/>
  <c r="I144" i="218"/>
  <c r="I143" i="218"/>
  <c r="I142" i="218"/>
  <c r="I138" i="218"/>
  <c r="I137" i="218"/>
  <c r="I130" i="218"/>
  <c r="I129" i="218"/>
  <c r="I127" i="218"/>
  <c r="I126" i="218"/>
  <c r="I125" i="218"/>
  <c r="I124" i="218"/>
  <c r="I123" i="218"/>
  <c r="I122" i="218"/>
  <c r="I121" i="218"/>
  <c r="I120" i="218"/>
  <c r="I119" i="218"/>
  <c r="I118" i="218"/>
  <c r="I117" i="218"/>
  <c r="I116" i="218"/>
  <c r="I115" i="218"/>
  <c r="I114" i="218"/>
  <c r="I113" i="218"/>
  <c r="I112" i="218"/>
  <c r="I110" i="218"/>
  <c r="I109" i="218"/>
  <c r="I108" i="218"/>
  <c r="I107" i="218"/>
  <c r="I106" i="218"/>
  <c r="I105" i="218"/>
  <c r="I104" i="218"/>
  <c r="I103" i="218"/>
  <c r="I102" i="218"/>
  <c r="I101" i="218"/>
  <c r="I98" i="218"/>
  <c r="I97" i="218"/>
  <c r="I96" i="218"/>
  <c r="I95" i="218"/>
  <c r="I94" i="218"/>
  <c r="I92" i="218"/>
  <c r="I90" i="218"/>
  <c r="I89" i="218"/>
  <c r="I83" i="218"/>
  <c r="I82" i="218"/>
  <c r="I81" i="218"/>
  <c r="I80" i="218"/>
  <c r="I79" i="218"/>
  <c r="I78" i="218"/>
  <c r="I77" i="218"/>
  <c r="I76" i="218"/>
  <c r="I75" i="218"/>
  <c r="I74" i="218"/>
  <c r="I73" i="218"/>
  <c r="I72" i="218"/>
  <c r="I71" i="218"/>
  <c r="I70" i="218"/>
  <c r="I69" i="218"/>
  <c r="I68" i="218"/>
  <c r="I67" i="218"/>
  <c r="I66" i="218"/>
  <c r="I65" i="218"/>
  <c r="I64" i="218"/>
  <c r="I63" i="218"/>
  <c r="I62" i="218"/>
  <c r="I61" i="218"/>
  <c r="I60" i="218"/>
  <c r="I59" i="218"/>
  <c r="I58" i="218"/>
  <c r="I57" i="218"/>
  <c r="I56" i="218"/>
  <c r="I55" i="218"/>
  <c r="I54" i="218"/>
  <c r="I53" i="218"/>
  <c r="I52" i="218"/>
  <c r="I51" i="218"/>
  <c r="I50" i="218"/>
  <c r="I49" i="218"/>
  <c r="I48" i="218"/>
  <c r="I47" i="218"/>
  <c r="I46" i="218"/>
  <c r="I45" i="218"/>
  <c r="I44" i="218"/>
  <c r="I37" i="218"/>
  <c r="I36" i="218"/>
  <c r="I35" i="218"/>
  <c r="I34" i="218"/>
  <c r="I33" i="218"/>
  <c r="I32" i="218"/>
  <c r="I31" i="218"/>
  <c r="I30" i="218"/>
  <c r="I29" i="218"/>
  <c r="I28" i="218"/>
  <c r="I22" i="218"/>
  <c r="I21" i="218"/>
  <c r="I20" i="218"/>
  <c r="I19" i="218"/>
  <c r="I18" i="218"/>
  <c r="I15" i="218"/>
  <c r="I14" i="218"/>
  <c r="I13" i="218"/>
  <c r="I12" i="218"/>
  <c r="I9" i="218"/>
  <c r="I8" i="218"/>
  <c r="I5" i="218"/>
  <c r="I3" i="218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2" i="1"/>
  <c r="I191" i="1"/>
  <c r="I190" i="1"/>
  <c r="I189" i="1"/>
  <c r="I187" i="1"/>
  <c r="I186" i="1"/>
  <c r="I185" i="1"/>
  <c r="I184" i="1"/>
  <c r="I183" i="1"/>
  <c r="I182" i="1"/>
  <c r="I181" i="1"/>
  <c r="I179" i="1"/>
  <c r="I178" i="1"/>
  <c r="I177" i="1"/>
  <c r="I176" i="1"/>
  <c r="I175" i="1"/>
  <c r="I174" i="1"/>
  <c r="I173" i="1"/>
  <c r="I172" i="1"/>
  <c r="I171" i="1"/>
  <c r="I168" i="1"/>
  <c r="I167" i="1"/>
  <c r="I164" i="1"/>
  <c r="I158" i="1"/>
  <c r="I154" i="1"/>
  <c r="I153" i="1"/>
  <c r="I152" i="1"/>
  <c r="I151" i="1"/>
  <c r="I148" i="1"/>
  <c r="I147" i="1"/>
  <c r="I145" i="1"/>
  <c r="I144" i="1"/>
  <c r="I143" i="1"/>
  <c r="I142" i="1"/>
  <c r="I138" i="1"/>
  <c r="I137" i="1"/>
  <c r="I130" i="1"/>
  <c r="I129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0" i="1"/>
  <c r="I109" i="1"/>
  <c r="I108" i="1"/>
  <c r="I107" i="1"/>
  <c r="I106" i="1"/>
  <c r="I105" i="1"/>
  <c r="I104" i="1"/>
  <c r="I103" i="1"/>
  <c r="I102" i="1"/>
  <c r="I101" i="1"/>
  <c r="I98" i="1"/>
  <c r="I97" i="1"/>
  <c r="I96" i="1"/>
  <c r="I95" i="1"/>
  <c r="I94" i="1"/>
  <c r="I92" i="1"/>
  <c r="I90" i="1"/>
  <c r="I89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2" i="1"/>
  <c r="I21" i="1"/>
  <c r="I20" i="1"/>
  <c r="I19" i="1"/>
  <c r="I18" i="1"/>
  <c r="I15" i="1"/>
  <c r="I14" i="1"/>
  <c r="I13" i="1"/>
  <c r="I12" i="1"/>
  <c r="I9" i="1"/>
  <c r="I8" i="1"/>
  <c r="I5" i="1"/>
  <c r="I3" i="1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2" i="2"/>
  <c r="I191" i="2"/>
  <c r="I190" i="2"/>
  <c r="I189" i="2"/>
  <c r="I187" i="2"/>
  <c r="I186" i="2"/>
  <c r="I185" i="2"/>
  <c r="I184" i="2"/>
  <c r="I183" i="2"/>
  <c r="I182" i="2"/>
  <c r="I181" i="2"/>
  <c r="I179" i="2"/>
  <c r="I178" i="2"/>
  <c r="I177" i="2"/>
  <c r="I176" i="2"/>
  <c r="I175" i="2"/>
  <c r="I174" i="2"/>
  <c r="I173" i="2"/>
  <c r="I172" i="2"/>
  <c r="I171" i="2"/>
  <c r="I168" i="2"/>
  <c r="I164" i="2"/>
  <c r="I158" i="2"/>
  <c r="I154" i="2"/>
  <c r="I153" i="2"/>
  <c r="I152" i="2"/>
  <c r="I151" i="2"/>
  <c r="I149" i="2"/>
  <c r="I148" i="2"/>
  <c r="I147" i="2"/>
  <c r="I145" i="2"/>
  <c r="I144" i="2"/>
  <c r="I143" i="2"/>
  <c r="I142" i="2"/>
  <c r="I138" i="2"/>
  <c r="I137" i="2"/>
  <c r="I130" i="2"/>
  <c r="I129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0" i="2"/>
  <c r="I109" i="2"/>
  <c r="I108" i="2"/>
  <c r="I107" i="2"/>
  <c r="I106" i="2"/>
  <c r="I105" i="2"/>
  <c r="I104" i="2"/>
  <c r="I103" i="2"/>
  <c r="I102" i="2"/>
  <c r="I101" i="2"/>
  <c r="I98" i="2"/>
  <c r="I97" i="2"/>
  <c r="I96" i="2"/>
  <c r="I95" i="2"/>
  <c r="I94" i="2"/>
  <c r="I92" i="2"/>
  <c r="I90" i="2"/>
  <c r="I89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37" i="2"/>
  <c r="I36" i="2"/>
  <c r="I35" i="2"/>
  <c r="I34" i="2"/>
  <c r="I33" i="2"/>
  <c r="I32" i="2"/>
  <c r="I31" i="2"/>
  <c r="I22" i="2"/>
  <c r="I21" i="2"/>
  <c r="I20" i="2"/>
  <c r="I19" i="2"/>
  <c r="I18" i="2"/>
  <c r="I15" i="2"/>
  <c r="I14" i="2"/>
  <c r="I13" i="2"/>
  <c r="I12" i="2"/>
  <c r="I9" i="2"/>
  <c r="I8" i="2"/>
  <c r="I5" i="2"/>
  <c r="I3" i="2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1" i="3"/>
  <c r="I190" i="3"/>
  <c r="I189" i="3"/>
  <c r="I188" i="3"/>
  <c r="I187" i="3"/>
  <c r="I186" i="3"/>
  <c r="I184" i="3"/>
  <c r="I183" i="3"/>
  <c r="I182" i="3"/>
  <c r="I181" i="3"/>
  <c r="I180" i="3"/>
  <c r="I178" i="3"/>
  <c r="I176" i="3"/>
  <c r="I175" i="3"/>
  <c r="I174" i="3"/>
  <c r="I173" i="3"/>
  <c r="I172" i="3"/>
  <c r="I171" i="3"/>
  <c r="I170" i="3"/>
  <c r="I169" i="3"/>
  <c r="I168" i="3"/>
  <c r="I167" i="3"/>
  <c r="I163" i="3"/>
  <c r="I162" i="3"/>
  <c r="I161" i="3"/>
  <c r="I157" i="3"/>
  <c r="I156" i="3"/>
  <c r="I155" i="3"/>
  <c r="I154" i="3"/>
  <c r="I151" i="3"/>
  <c r="I150" i="3"/>
  <c r="I147" i="3"/>
  <c r="I146" i="3"/>
  <c r="I145" i="3"/>
  <c r="I144" i="3"/>
  <c r="I143" i="3"/>
  <c r="I142" i="3"/>
  <c r="I141" i="3"/>
  <c r="I137" i="3"/>
  <c r="I136" i="3"/>
  <c r="I135" i="3"/>
  <c r="I129" i="3"/>
  <c r="I128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09" i="3"/>
  <c r="I108" i="3"/>
  <c r="I107" i="3"/>
  <c r="I106" i="3"/>
  <c r="I105" i="3"/>
  <c r="I104" i="3"/>
  <c r="I103" i="3"/>
  <c r="I102" i="3"/>
  <c r="I101" i="3"/>
  <c r="I100" i="3"/>
  <c r="I97" i="3"/>
  <c r="I96" i="3"/>
  <c r="I95" i="3"/>
  <c r="I94" i="3"/>
  <c r="I93" i="3"/>
  <c r="I92" i="3"/>
  <c r="I91" i="3"/>
  <c r="I89" i="3"/>
  <c r="I88" i="3"/>
  <c r="I87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9" i="3"/>
  <c r="I8" i="3"/>
  <c r="I7" i="3"/>
  <c r="I5" i="3"/>
  <c r="I3" i="3"/>
  <c r="I273" i="57"/>
  <c r="I272" i="57"/>
  <c r="I271" i="57"/>
  <c r="I270" i="57"/>
  <c r="I269" i="57"/>
  <c r="I268" i="57"/>
  <c r="I267" i="57"/>
  <c r="I266" i="57"/>
  <c r="I265" i="57"/>
  <c r="I264" i="57"/>
  <c r="I263" i="57"/>
  <c r="I262" i="57"/>
  <c r="I261" i="57"/>
  <c r="I260" i="57"/>
  <c r="I259" i="57"/>
  <c r="I258" i="57"/>
  <c r="I257" i="57"/>
  <c r="I256" i="57"/>
  <c r="I255" i="57"/>
  <c r="I254" i="57"/>
  <c r="I253" i="57"/>
  <c r="I252" i="57"/>
  <c r="I251" i="57"/>
  <c r="I250" i="57"/>
  <c r="I249" i="57"/>
  <c r="I248" i="57"/>
  <c r="I247" i="57"/>
  <c r="I246" i="57"/>
  <c r="I245" i="57"/>
  <c r="I244" i="57"/>
  <c r="I243" i="57"/>
  <c r="I242" i="57"/>
  <c r="I241" i="57"/>
  <c r="I240" i="57"/>
  <c r="I239" i="57"/>
  <c r="I238" i="57"/>
  <c r="I237" i="57"/>
  <c r="I236" i="57"/>
  <c r="I235" i="57"/>
  <c r="I234" i="57"/>
  <c r="I233" i="57"/>
  <c r="I232" i="57"/>
  <c r="I231" i="57"/>
  <c r="I230" i="57"/>
  <c r="I229" i="57"/>
  <c r="I228" i="57"/>
  <c r="I227" i="57"/>
  <c r="I226" i="57"/>
  <c r="I225" i="57"/>
  <c r="I224" i="57"/>
  <c r="I223" i="57"/>
  <c r="I222" i="57"/>
  <c r="I221" i="57"/>
  <c r="I220" i="57"/>
  <c r="I219" i="57"/>
  <c r="I218" i="57"/>
  <c r="I217" i="57"/>
  <c r="I216" i="57"/>
  <c r="I215" i="57"/>
  <c r="I214" i="57"/>
  <c r="I213" i="57"/>
  <c r="I212" i="57"/>
  <c r="I211" i="57"/>
  <c r="I210" i="57"/>
  <c r="I209" i="57"/>
  <c r="I208" i="57"/>
  <c r="I207" i="57"/>
  <c r="I206" i="57"/>
  <c r="I205" i="57"/>
  <c r="I204" i="57"/>
  <c r="I203" i="57"/>
  <c r="I202" i="57"/>
  <c r="I201" i="57"/>
  <c r="I200" i="57"/>
  <c r="I199" i="57"/>
  <c r="I198" i="57"/>
  <c r="I197" i="57"/>
  <c r="I196" i="57"/>
  <c r="I195" i="57"/>
  <c r="I194" i="57"/>
  <c r="I193" i="57"/>
  <c r="I191" i="57"/>
  <c r="I190" i="57"/>
  <c r="I189" i="57"/>
  <c r="I188" i="57"/>
  <c r="I187" i="57"/>
  <c r="I185" i="57"/>
  <c r="I184" i="57"/>
  <c r="I183" i="57"/>
  <c r="I182" i="57"/>
  <c r="I181" i="57"/>
  <c r="I179" i="57"/>
  <c r="I178" i="57"/>
  <c r="I176" i="57"/>
  <c r="I175" i="57"/>
  <c r="I174" i="57"/>
  <c r="I173" i="57"/>
  <c r="I172" i="57"/>
  <c r="I171" i="57"/>
  <c r="I170" i="57"/>
  <c r="I168" i="57"/>
  <c r="I167" i="57"/>
  <c r="I163" i="57"/>
  <c r="I157" i="57"/>
  <c r="I156" i="57"/>
  <c r="I155" i="57"/>
  <c r="I154" i="57"/>
  <c r="I153" i="57"/>
  <c r="I152" i="57"/>
  <c r="I151" i="57"/>
  <c r="I150" i="57"/>
  <c r="I147" i="57"/>
  <c r="I146" i="57"/>
  <c r="I144" i="57"/>
  <c r="I143" i="57"/>
  <c r="I142" i="57"/>
  <c r="I141" i="57"/>
  <c r="I137" i="57"/>
  <c r="I136" i="57"/>
  <c r="I135" i="57"/>
  <c r="I131" i="57"/>
  <c r="I129" i="57"/>
  <c r="I128" i="57"/>
  <c r="I126" i="57"/>
  <c r="I125" i="57"/>
  <c r="I124" i="57"/>
  <c r="I123" i="57"/>
  <c r="I122" i="57"/>
  <c r="I121" i="57"/>
  <c r="I120" i="57"/>
  <c r="I119" i="57"/>
  <c r="I118" i="57"/>
  <c r="I117" i="57"/>
  <c r="I116" i="57"/>
  <c r="I115" i="57"/>
  <c r="I114" i="57"/>
  <c r="I113" i="57"/>
  <c r="I112" i="57"/>
  <c r="I111" i="57"/>
  <c r="I109" i="57"/>
  <c r="I108" i="57"/>
  <c r="I107" i="57"/>
  <c r="I106" i="57"/>
  <c r="I105" i="57"/>
  <c r="I104" i="57"/>
  <c r="I103" i="57"/>
  <c r="I102" i="57"/>
  <c r="I101" i="57"/>
  <c r="I100" i="57"/>
  <c r="I97" i="57"/>
  <c r="I96" i="57"/>
  <c r="I95" i="57"/>
  <c r="I94" i="57"/>
  <c r="I93" i="57"/>
  <c r="I92" i="57"/>
  <c r="I91" i="57"/>
  <c r="I90" i="57"/>
  <c r="I89" i="57"/>
  <c r="I88" i="57"/>
  <c r="I87" i="57"/>
  <c r="I82" i="57"/>
  <c r="I81" i="57"/>
  <c r="I80" i="57"/>
  <c r="I79" i="57"/>
  <c r="I78" i="57"/>
  <c r="I77" i="57"/>
  <c r="I76" i="57"/>
  <c r="I75" i="57"/>
  <c r="I74" i="57"/>
  <c r="I73" i="57"/>
  <c r="I72" i="57"/>
  <c r="I71" i="57"/>
  <c r="I70" i="57"/>
  <c r="I69" i="57"/>
  <c r="I68" i="57"/>
  <c r="I67" i="57"/>
  <c r="I66" i="57"/>
  <c r="I65" i="57"/>
  <c r="I64" i="57"/>
  <c r="I63" i="57"/>
  <c r="I62" i="57"/>
  <c r="I61" i="57"/>
  <c r="I60" i="57"/>
  <c r="I59" i="57"/>
  <c r="I58" i="57"/>
  <c r="I57" i="57"/>
  <c r="I56" i="57"/>
  <c r="I55" i="57"/>
  <c r="I54" i="57"/>
  <c r="I53" i="57"/>
  <c r="I52" i="57"/>
  <c r="I51" i="57"/>
  <c r="I50" i="57"/>
  <c r="I49" i="57"/>
  <c r="I48" i="57"/>
  <c r="I47" i="57"/>
  <c r="I46" i="57"/>
  <c r="I45" i="57"/>
  <c r="I44" i="57"/>
  <c r="I43" i="57"/>
  <c r="I42" i="57"/>
  <c r="I41" i="57"/>
  <c r="I36" i="57"/>
  <c r="I35" i="57"/>
  <c r="I34" i="57"/>
  <c r="I33" i="57"/>
  <c r="I32" i="57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3" i="57"/>
  <c r="I9" i="57"/>
  <c r="I8" i="57"/>
  <c r="I7" i="57"/>
  <c r="I5" i="57"/>
  <c r="I3" i="57"/>
  <c r="I2" i="57"/>
  <c r="I1" i="57"/>
  <c r="I5" i="7"/>
  <c r="I8" i="7"/>
  <c r="I9" i="7"/>
  <c r="I12" i="7"/>
  <c r="I13" i="7"/>
  <c r="I14" i="7"/>
  <c r="I15" i="7"/>
  <c r="I18" i="7"/>
  <c r="I19" i="7"/>
  <c r="I20" i="7"/>
  <c r="I21" i="7"/>
  <c r="I22" i="7"/>
  <c r="I27" i="7"/>
  <c r="I28" i="7"/>
  <c r="I29" i="7"/>
  <c r="I30" i="7"/>
  <c r="I31" i="7"/>
  <c r="I32" i="7"/>
  <c r="I33" i="7"/>
  <c r="I34" i="7"/>
  <c r="I35" i="7"/>
  <c r="I36" i="7"/>
  <c r="I37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9" i="7"/>
  <c r="I90" i="7"/>
  <c r="I92" i="7"/>
  <c r="I94" i="7"/>
  <c r="I95" i="7"/>
  <c r="I96" i="7"/>
  <c r="I97" i="7"/>
  <c r="I98" i="7"/>
  <c r="I101" i="7"/>
  <c r="I102" i="7"/>
  <c r="I103" i="7"/>
  <c r="I104" i="7"/>
  <c r="I105" i="7"/>
  <c r="I106" i="7"/>
  <c r="I107" i="7"/>
  <c r="I108" i="7"/>
  <c r="I109" i="7"/>
  <c r="I110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9" i="7"/>
  <c r="I130" i="7"/>
  <c r="I137" i="7"/>
  <c r="I138" i="7"/>
  <c r="I142" i="7"/>
  <c r="I143" i="7"/>
  <c r="I144" i="7"/>
  <c r="I145" i="7"/>
  <c r="I147" i="7"/>
  <c r="I148" i="7"/>
  <c r="I151" i="7"/>
  <c r="I152" i="7"/>
  <c r="I153" i="7"/>
  <c r="I154" i="7"/>
  <c r="I158" i="7"/>
  <c r="I164" i="7"/>
  <c r="I167" i="7"/>
  <c r="I168" i="7"/>
  <c r="I171" i="7"/>
  <c r="I172" i="7"/>
  <c r="I173" i="7"/>
  <c r="I174" i="7"/>
  <c r="I175" i="7"/>
  <c r="I176" i="7"/>
  <c r="I177" i="7"/>
  <c r="I178" i="7"/>
  <c r="I179" i="7"/>
  <c r="I181" i="7"/>
  <c r="I182" i="7"/>
  <c r="I183" i="7"/>
  <c r="I184" i="7"/>
  <c r="I185" i="7"/>
  <c r="I186" i="7"/>
  <c r="I187" i="7"/>
  <c r="I189" i="7"/>
  <c r="I190" i="7"/>
  <c r="I191" i="7"/>
  <c r="I192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3" i="7"/>
  <c r="C21" i="8"/>
  <c r="I275" i="57"/>
  <c r="I274" i="57"/>
  <c r="U3" i="218"/>
  <c r="U5" i="218"/>
  <c r="U8" i="218"/>
  <c r="U9" i="218"/>
  <c r="U12" i="218"/>
  <c r="U13" i="218"/>
  <c r="U14" i="218"/>
  <c r="U18" i="218"/>
  <c r="U19" i="218"/>
  <c r="U20" i="218"/>
  <c r="U21" i="218"/>
  <c r="U22" i="218"/>
  <c r="U29" i="218"/>
  <c r="U30" i="218"/>
  <c r="U31" i="218"/>
  <c r="U32" i="218"/>
  <c r="U33" i="218"/>
  <c r="U34" i="218"/>
  <c r="U35" i="218"/>
  <c r="U36" i="218"/>
  <c r="U37" i="218"/>
  <c r="U40" i="218"/>
  <c r="U50" i="218"/>
  <c r="U51" i="218"/>
  <c r="U52" i="218"/>
  <c r="U53" i="218"/>
  <c r="U54" i="218"/>
  <c r="U55" i="218"/>
  <c r="U56" i="218"/>
  <c r="U57" i="218"/>
  <c r="U58" i="218"/>
  <c r="U59" i="218"/>
  <c r="U60" i="218"/>
  <c r="U61" i="218"/>
  <c r="U62" i="218"/>
  <c r="U63" i="218"/>
  <c r="U64" i="218"/>
  <c r="U65" i="218"/>
  <c r="U66" i="218"/>
  <c r="U67" i="218"/>
  <c r="U68" i="218"/>
  <c r="U69" i="218"/>
  <c r="U70" i="218"/>
  <c r="U71" i="218"/>
  <c r="U72" i="218"/>
  <c r="U73" i="218"/>
  <c r="U74" i="218"/>
  <c r="U75" i="218"/>
  <c r="U76" i="218"/>
  <c r="U77" i="218"/>
  <c r="U78" i="218"/>
  <c r="U79" i="218"/>
  <c r="U80" i="218"/>
  <c r="U81" i="218"/>
  <c r="U82" i="218"/>
  <c r="U83" i="218"/>
  <c r="U84" i="218"/>
  <c r="U85" i="218"/>
  <c r="U86" i="218"/>
  <c r="U87" i="218"/>
  <c r="U95" i="218"/>
  <c r="U97" i="218"/>
  <c r="U101" i="218"/>
  <c r="U102" i="218"/>
  <c r="U106" i="218"/>
  <c r="U108" i="218"/>
  <c r="U109" i="218"/>
  <c r="U112" i="218"/>
  <c r="U113" i="218"/>
  <c r="U114" i="218"/>
  <c r="U117" i="218"/>
  <c r="U118" i="218"/>
  <c r="U119" i="218"/>
  <c r="U120" i="218"/>
  <c r="U125" i="218"/>
  <c r="U126" i="218"/>
  <c r="U127" i="218"/>
  <c r="U129" i="218"/>
  <c r="U130" i="218"/>
  <c r="U131" i="218"/>
  <c r="U132" i="218"/>
  <c r="U134" i="218"/>
  <c r="U135" i="218"/>
  <c r="U142" i="218"/>
  <c r="U143" i="218"/>
  <c r="U147" i="218"/>
  <c r="U148" i="218"/>
  <c r="U149" i="218"/>
  <c r="U150" i="218"/>
  <c r="U152" i="218"/>
  <c r="U153" i="218"/>
  <c r="U156" i="218"/>
  <c r="U157" i="218"/>
  <c r="U158" i="218"/>
  <c r="U159" i="218"/>
  <c r="U163" i="218"/>
  <c r="U169" i="218"/>
  <c r="U172" i="218"/>
  <c r="U173" i="218"/>
  <c r="U176" i="218"/>
  <c r="U177" i="218"/>
  <c r="U178" i="218"/>
  <c r="U179" i="218"/>
  <c r="U180" i="218"/>
  <c r="U181" i="218"/>
  <c r="U182" i="218"/>
  <c r="U184" i="218"/>
  <c r="U186" i="218"/>
  <c r="U187" i="218"/>
  <c r="U188" i="218"/>
  <c r="U189" i="218"/>
  <c r="U190" i="218"/>
  <c r="U191" i="218"/>
  <c r="U192" i="218"/>
  <c r="U194" i="218"/>
  <c r="U195" i="218"/>
  <c r="U196" i="218"/>
  <c r="U197" i="218"/>
  <c r="U199" i="218"/>
  <c r="U200" i="218"/>
  <c r="U201" i="218"/>
  <c r="U202" i="218"/>
  <c r="U203" i="218"/>
  <c r="U204" i="218"/>
  <c r="U205" i="218"/>
  <c r="U206" i="218"/>
  <c r="U207" i="218"/>
  <c r="U208" i="218"/>
  <c r="U209" i="218"/>
  <c r="U210" i="218"/>
  <c r="U211" i="218"/>
  <c r="U212" i="218"/>
  <c r="U213" i="218"/>
  <c r="U214" i="218"/>
  <c r="U215" i="218"/>
  <c r="U216" i="218"/>
  <c r="U217" i="218"/>
  <c r="U218" i="218"/>
  <c r="U219" i="218"/>
  <c r="U220" i="218"/>
  <c r="U221" i="218"/>
  <c r="U222" i="218"/>
  <c r="U223" i="218"/>
  <c r="U224" i="218"/>
  <c r="U225" i="218"/>
  <c r="U226" i="218"/>
  <c r="U227" i="218"/>
  <c r="U228" i="218"/>
  <c r="U229" i="218"/>
  <c r="U230" i="218"/>
  <c r="U231" i="218"/>
  <c r="U232" i="218"/>
  <c r="U233" i="218"/>
  <c r="U234" i="218"/>
  <c r="U235" i="218"/>
  <c r="U236" i="218"/>
  <c r="U237" i="218"/>
  <c r="U238" i="218"/>
  <c r="U239" i="218"/>
  <c r="U240" i="218"/>
  <c r="U241" i="218"/>
  <c r="U242" i="218"/>
  <c r="U243" i="218"/>
  <c r="U244" i="218"/>
  <c r="U245" i="218"/>
  <c r="U246" i="218"/>
  <c r="U247" i="218"/>
  <c r="U248" i="218"/>
  <c r="U249" i="218"/>
  <c r="U250" i="218"/>
  <c r="U251" i="218"/>
  <c r="U252" i="218"/>
  <c r="U253" i="218"/>
  <c r="U254" i="218"/>
  <c r="U255" i="218"/>
  <c r="U256" i="218"/>
  <c r="U257" i="218"/>
  <c r="U258" i="218"/>
  <c r="U259" i="218"/>
  <c r="U260" i="218"/>
  <c r="U261" i="218"/>
  <c r="U262" i="218"/>
  <c r="U263" i="218"/>
  <c r="U264" i="218"/>
  <c r="U265" i="218"/>
  <c r="U266" i="218"/>
  <c r="U267" i="218"/>
  <c r="U268" i="218"/>
  <c r="U269" i="218"/>
  <c r="U270" i="218"/>
  <c r="U271" i="218"/>
  <c r="U272" i="218"/>
  <c r="U273" i="218"/>
  <c r="U274" i="218"/>
  <c r="U275" i="218"/>
  <c r="U276" i="218"/>
  <c r="U277" i="218"/>
  <c r="U278" i="218"/>
  <c r="U279" i="218"/>
  <c r="U280" i="218"/>
  <c r="U281" i="218"/>
  <c r="I21" i="8"/>
  <c r="D72" i="3"/>
  <c r="F72" i="3" s="1"/>
  <c r="D74" i="218"/>
  <c r="F75" i="3"/>
  <c r="F74" i="3"/>
  <c r="L187" i="218"/>
  <c r="F77" i="218"/>
  <c r="F76" i="218"/>
  <c r="E73" i="218"/>
  <c r="F73" i="218" s="1"/>
  <c r="F72" i="218"/>
  <c r="E72" i="218"/>
  <c r="F71" i="218"/>
  <c r="E71" i="218"/>
  <c r="F69" i="218"/>
  <c r="E69" i="218"/>
  <c r="F68" i="218"/>
  <c r="E68" i="218"/>
  <c r="F67" i="218"/>
  <c r="E67" i="218"/>
  <c r="F66" i="218"/>
  <c r="E66" i="218"/>
  <c r="E65" i="218"/>
  <c r="F65" i="218" s="1"/>
  <c r="I180" i="218" s="1"/>
  <c r="E64" i="218"/>
  <c r="F64" i="218" s="1"/>
  <c r="U198" i="218" s="1"/>
  <c r="E63" i="218"/>
  <c r="F63" i="218" s="1"/>
  <c r="I188" i="218" s="1"/>
  <c r="E62" i="218"/>
  <c r="F62" i="218" s="1"/>
  <c r="I155" i="218" s="1"/>
  <c r="E61" i="218"/>
  <c r="F61" i="218" s="1"/>
  <c r="I88" i="218" s="1"/>
  <c r="E60" i="218"/>
  <c r="F60" i="218" s="1"/>
  <c r="U141" i="218" s="1"/>
  <c r="E59" i="218"/>
  <c r="F59" i="218" s="1"/>
  <c r="E58" i="218"/>
  <c r="F58" i="218" s="1"/>
  <c r="I17" i="218" s="1"/>
  <c r="E57" i="218"/>
  <c r="F57" i="218" s="1"/>
  <c r="E56" i="218"/>
  <c r="F56" i="218" s="1"/>
  <c r="U162" i="218" s="1"/>
  <c r="E55" i="218"/>
  <c r="F55" i="218" s="1"/>
  <c r="I156" i="218" s="1"/>
  <c r="E54" i="218"/>
  <c r="F54" i="218" s="1"/>
  <c r="I93" i="218" s="1"/>
  <c r="E53" i="218"/>
  <c r="F53" i="218" s="1"/>
  <c r="I87" i="218" s="1"/>
  <c r="E52" i="218"/>
  <c r="F52" i="218" s="1"/>
  <c r="E51" i="218"/>
  <c r="F51" i="218" s="1"/>
  <c r="I132" i="218" s="1"/>
  <c r="E50" i="218"/>
  <c r="F50" i="218" s="1"/>
  <c r="I131" i="218" s="1"/>
  <c r="Q87" i="218"/>
  <c r="P87" i="218"/>
  <c r="E49" i="218"/>
  <c r="F49" i="218" s="1"/>
  <c r="U175" i="218" s="1"/>
  <c r="F86" i="218"/>
  <c r="E86" i="218"/>
  <c r="F85" i="218"/>
  <c r="E85" i="218"/>
  <c r="F84" i="218"/>
  <c r="E84" i="218"/>
  <c r="F83" i="218"/>
  <c r="E83" i="218"/>
  <c r="F82" i="218"/>
  <c r="E82" i="218"/>
  <c r="F81" i="218"/>
  <c r="E81" i="218"/>
  <c r="F80" i="218"/>
  <c r="E80" i="218"/>
  <c r="E40" i="218"/>
  <c r="F40" i="218" s="1"/>
  <c r="U174" i="218" s="1"/>
  <c r="E37" i="218"/>
  <c r="F37" i="218" s="1"/>
  <c r="U151" i="218" s="1"/>
  <c r="E36" i="218"/>
  <c r="F36" i="218" s="1"/>
  <c r="U139" i="218" s="1"/>
  <c r="E35" i="218"/>
  <c r="F35" i="218" s="1"/>
  <c r="U4" i="218" s="1"/>
  <c r="E34" i="218"/>
  <c r="F34" i="218" s="1"/>
  <c r="I166" i="218" s="1"/>
  <c r="E33" i="218"/>
  <c r="F33" i="218" s="1"/>
  <c r="E32" i="218"/>
  <c r="F32" i="218" s="1"/>
  <c r="U166" i="218" s="1"/>
  <c r="E31" i="218"/>
  <c r="F31" i="218" s="1"/>
  <c r="U165" i="218" s="1"/>
  <c r="E30" i="218"/>
  <c r="F30" i="218" s="1"/>
  <c r="I159" i="218" s="1"/>
  <c r="E29" i="218"/>
  <c r="F29" i="218" s="1"/>
  <c r="E22" i="218"/>
  <c r="F22" i="218" s="1"/>
  <c r="I6" i="218" s="1"/>
  <c r="E21" i="218"/>
  <c r="F21" i="218" s="1"/>
  <c r="I141" i="218" s="1"/>
  <c r="E20" i="218"/>
  <c r="F20" i="218" s="1"/>
  <c r="E19" i="218"/>
  <c r="F19" i="218" s="1"/>
  <c r="E18" i="218"/>
  <c r="F18" i="218" s="1"/>
  <c r="I162" i="218" s="1"/>
  <c r="E17" i="218"/>
  <c r="F17" i="218" s="1"/>
  <c r="I150" i="218" s="1"/>
  <c r="E16" i="218"/>
  <c r="F16" i="218" s="1"/>
  <c r="I140" i="218" s="1"/>
  <c r="E15" i="218"/>
  <c r="F15" i="218" s="1"/>
  <c r="I139" i="218" s="1"/>
  <c r="E14" i="218"/>
  <c r="F14" i="218" s="1"/>
  <c r="I135" i="218" s="1"/>
  <c r="E13" i="218"/>
  <c r="F13" i="218" s="1"/>
  <c r="E12" i="218"/>
  <c r="F12" i="218" s="1"/>
  <c r="U170" i="218" s="1"/>
  <c r="E11" i="218"/>
  <c r="F11" i="218" s="1"/>
  <c r="I163" i="218" s="1"/>
  <c r="E10" i="218"/>
  <c r="F10" i="218" s="1"/>
  <c r="E9" i="218"/>
  <c r="F9" i="218" s="1"/>
  <c r="U10" i="218" s="1"/>
  <c r="E8" i="218"/>
  <c r="F8" i="218" s="1"/>
  <c r="I91" i="218" s="1"/>
  <c r="E7" i="218"/>
  <c r="F7" i="218" s="1"/>
  <c r="U91" i="218" s="1"/>
  <c r="E6" i="218"/>
  <c r="F6" i="218" s="1"/>
  <c r="U154" i="218" s="1"/>
  <c r="E5" i="218"/>
  <c r="F5" i="218" s="1"/>
  <c r="U138" i="218" s="1"/>
  <c r="E4" i="218"/>
  <c r="F4" i="218" s="1"/>
  <c r="E3" i="218"/>
  <c r="F3" i="218" s="1"/>
  <c r="I128" i="218" s="1"/>
  <c r="E29" i="85"/>
  <c r="F21" i="8"/>
  <c r="H21" i="8"/>
  <c r="G21" i="8"/>
  <c r="L187" i="7"/>
  <c r="F77" i="7"/>
  <c r="F76" i="7"/>
  <c r="D74" i="7"/>
  <c r="F74" i="7" s="1"/>
  <c r="E73" i="7"/>
  <c r="F73" i="7" s="1"/>
  <c r="F72" i="7"/>
  <c r="E72" i="7"/>
  <c r="F71" i="7"/>
  <c r="E71" i="7"/>
  <c r="F69" i="7"/>
  <c r="E69" i="7"/>
  <c r="F68" i="7"/>
  <c r="E68" i="7"/>
  <c r="F67" i="7"/>
  <c r="E67" i="7"/>
  <c r="F66" i="7"/>
  <c r="E66" i="7"/>
  <c r="E65" i="7"/>
  <c r="F65" i="7" s="1"/>
  <c r="I180" i="7" s="1"/>
  <c r="E64" i="7"/>
  <c r="F64" i="7" s="1"/>
  <c r="I193" i="7" s="1"/>
  <c r="E63" i="7"/>
  <c r="F63" i="7" s="1"/>
  <c r="I188" i="7" s="1"/>
  <c r="E62" i="7"/>
  <c r="F62" i="7" s="1"/>
  <c r="I155" i="7" s="1"/>
  <c r="E61" i="7"/>
  <c r="F61" i="7" s="1"/>
  <c r="I88" i="7" s="1"/>
  <c r="E60" i="7"/>
  <c r="F60" i="7" s="1"/>
  <c r="I136" i="7" s="1"/>
  <c r="E59" i="7"/>
  <c r="F59" i="7" s="1"/>
  <c r="E58" i="7"/>
  <c r="F58" i="7" s="1"/>
  <c r="I17" i="7" s="1"/>
  <c r="E57" i="7"/>
  <c r="F57" i="7" s="1"/>
  <c r="E56" i="7"/>
  <c r="F56" i="7" s="1"/>
  <c r="I157" i="7" s="1"/>
  <c r="E55" i="7"/>
  <c r="F55" i="7" s="1"/>
  <c r="I156" i="7" s="1"/>
  <c r="E54" i="7"/>
  <c r="F54" i="7" s="1"/>
  <c r="I93" i="7" s="1"/>
  <c r="L91" i="7"/>
  <c r="E53" i="7"/>
  <c r="F53" i="7" s="1"/>
  <c r="I87" i="7" s="1"/>
  <c r="E52" i="7"/>
  <c r="F52" i="7" s="1"/>
  <c r="E51" i="7"/>
  <c r="F51" i="7" s="1"/>
  <c r="I132" i="7" s="1"/>
  <c r="E50" i="7"/>
  <c r="F50" i="7" s="1"/>
  <c r="I131" i="7" s="1"/>
  <c r="Q87" i="7"/>
  <c r="P87" i="7"/>
  <c r="E49" i="7"/>
  <c r="F49" i="7" s="1"/>
  <c r="I170" i="7" s="1"/>
  <c r="F86" i="7"/>
  <c r="E86" i="7"/>
  <c r="F85" i="7"/>
  <c r="E85" i="7"/>
  <c r="F84" i="7"/>
  <c r="E84" i="7"/>
  <c r="F83" i="7"/>
  <c r="E83" i="7"/>
  <c r="F82" i="7"/>
  <c r="E82" i="7"/>
  <c r="F81" i="7"/>
  <c r="E81" i="7"/>
  <c r="F80" i="7"/>
  <c r="E80" i="7"/>
  <c r="E40" i="7"/>
  <c r="F40" i="7" s="1"/>
  <c r="I169" i="7" s="1"/>
  <c r="E37" i="7"/>
  <c r="F37" i="7" s="1"/>
  <c r="I146" i="7" s="1"/>
  <c r="E36" i="7"/>
  <c r="F36" i="7" s="1"/>
  <c r="I134" i="7" s="1"/>
  <c r="E35" i="7"/>
  <c r="F35" i="7" s="1"/>
  <c r="I4" i="7" s="1"/>
  <c r="E34" i="7"/>
  <c r="F34" i="7" s="1"/>
  <c r="I166" i="7" s="1"/>
  <c r="E33" i="7"/>
  <c r="F33" i="7" s="1"/>
  <c r="E32" i="7"/>
  <c r="F32" i="7" s="1"/>
  <c r="I161" i="7" s="1"/>
  <c r="E31" i="7"/>
  <c r="F31" i="7" s="1"/>
  <c r="I160" i="7" s="1"/>
  <c r="E30" i="7"/>
  <c r="F30" i="7" s="1"/>
  <c r="I159" i="7" s="1"/>
  <c r="E29" i="7"/>
  <c r="F29" i="7" s="1"/>
  <c r="E22" i="7"/>
  <c r="F22" i="7" s="1"/>
  <c r="I6" i="7" s="1"/>
  <c r="E21" i="7"/>
  <c r="F21" i="7" s="1"/>
  <c r="I141" i="7" s="1"/>
  <c r="E20" i="7"/>
  <c r="F20" i="7" s="1"/>
  <c r="E19" i="7"/>
  <c r="F19" i="7" s="1"/>
  <c r="E18" i="7"/>
  <c r="F18" i="7" s="1"/>
  <c r="I162" i="7" s="1"/>
  <c r="E17" i="7"/>
  <c r="F17" i="7" s="1"/>
  <c r="I150" i="7" s="1"/>
  <c r="E16" i="7"/>
  <c r="F16" i="7" s="1"/>
  <c r="I140" i="7" s="1"/>
  <c r="E15" i="7"/>
  <c r="F15" i="7" s="1"/>
  <c r="I139" i="7" s="1"/>
  <c r="E14" i="7"/>
  <c r="F14" i="7" s="1"/>
  <c r="I135" i="7" s="1"/>
  <c r="E13" i="7"/>
  <c r="F13" i="7" s="1"/>
  <c r="E12" i="7"/>
  <c r="F12" i="7" s="1"/>
  <c r="I165" i="7" s="1"/>
  <c r="E11" i="7"/>
  <c r="F11" i="7" s="1"/>
  <c r="I163" i="7" s="1"/>
  <c r="E10" i="7"/>
  <c r="F10" i="7" s="1"/>
  <c r="E9" i="7"/>
  <c r="F9" i="7" s="1"/>
  <c r="I10" i="7" s="1"/>
  <c r="E8" i="7"/>
  <c r="F8" i="7" s="1"/>
  <c r="I91" i="7" s="1"/>
  <c r="E7" i="7"/>
  <c r="F7" i="7" s="1"/>
  <c r="I86" i="7" s="1"/>
  <c r="E6" i="7"/>
  <c r="F6" i="7" s="1"/>
  <c r="I149" i="7" s="1"/>
  <c r="E5" i="7"/>
  <c r="F5" i="7" s="1"/>
  <c r="I133" i="7" s="1"/>
  <c r="E4" i="7"/>
  <c r="F4" i="7" s="1"/>
  <c r="E3" i="7"/>
  <c r="F3" i="7" s="1"/>
  <c r="I128" i="7" s="1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E49" i="3"/>
  <c r="F49" i="3" s="1"/>
  <c r="Q81" i="3"/>
  <c r="P81" i="3"/>
  <c r="F80" i="3"/>
  <c r="F79" i="3"/>
  <c r="F78" i="3"/>
  <c r="F77" i="3"/>
  <c r="F76" i="3"/>
  <c r="F77" i="2"/>
  <c r="F76" i="2"/>
  <c r="D74" i="2"/>
  <c r="F74" i="2" s="1"/>
  <c r="E73" i="2"/>
  <c r="F73" i="2" s="1"/>
  <c r="F72" i="2"/>
  <c r="E72" i="2"/>
  <c r="F70" i="2"/>
  <c r="E70" i="2"/>
  <c r="F69" i="2"/>
  <c r="E69" i="2"/>
  <c r="F68" i="2"/>
  <c r="E68" i="2"/>
  <c r="F67" i="2"/>
  <c r="E67" i="2"/>
  <c r="F66" i="2"/>
  <c r="E66" i="2"/>
  <c r="E65" i="2"/>
  <c r="F65" i="2" s="1"/>
  <c r="I180" i="2" s="1"/>
  <c r="E64" i="2"/>
  <c r="F64" i="2" s="1"/>
  <c r="I193" i="2" s="1"/>
  <c r="E63" i="2"/>
  <c r="F63" i="2" s="1"/>
  <c r="I188" i="2" s="1"/>
  <c r="E62" i="2"/>
  <c r="F62" i="2" s="1"/>
  <c r="I170" i="2" s="1"/>
  <c r="E61" i="2"/>
  <c r="F61" i="2" s="1"/>
  <c r="I169" i="2" s="1"/>
  <c r="E60" i="2"/>
  <c r="F60" i="2" s="1"/>
  <c r="I167" i="2" s="1"/>
  <c r="E59" i="2"/>
  <c r="F59" i="2" s="1"/>
  <c r="I166" i="2" s="1"/>
  <c r="E58" i="2"/>
  <c r="F58" i="2" s="1"/>
  <c r="I165" i="2" s="1"/>
  <c r="E57" i="2"/>
  <c r="F57" i="2" s="1"/>
  <c r="I163" i="2" s="1"/>
  <c r="E56" i="2"/>
  <c r="F56" i="2" s="1"/>
  <c r="I162" i="2" s="1"/>
  <c r="E55" i="2"/>
  <c r="F55" i="2" s="1"/>
  <c r="I161" i="2" s="1"/>
  <c r="E54" i="2"/>
  <c r="F54" i="2" s="1"/>
  <c r="I160" i="2" s="1"/>
  <c r="E53" i="2"/>
  <c r="F53" i="2" s="1"/>
  <c r="I159" i="2" s="1"/>
  <c r="E52" i="2"/>
  <c r="F52" i="2" s="1"/>
  <c r="I157" i="2" s="1"/>
  <c r="E51" i="2"/>
  <c r="F51" i="2" s="1"/>
  <c r="I156" i="2" s="1"/>
  <c r="E50" i="2"/>
  <c r="F50" i="2" s="1"/>
  <c r="I155" i="2" s="1"/>
  <c r="Q87" i="2"/>
  <c r="P87" i="2"/>
  <c r="E49" i="2"/>
  <c r="F49" i="2" s="1"/>
  <c r="I150" i="2" s="1"/>
  <c r="F86" i="2"/>
  <c r="E86" i="2"/>
  <c r="F85" i="2"/>
  <c r="E85" i="2"/>
  <c r="F84" i="2"/>
  <c r="E84" i="2"/>
  <c r="F83" i="2"/>
  <c r="E83" i="2"/>
  <c r="F82" i="2"/>
  <c r="E82" i="2"/>
  <c r="F81" i="2"/>
  <c r="E81" i="2"/>
  <c r="F80" i="2"/>
  <c r="E80" i="2"/>
  <c r="E40" i="2"/>
  <c r="F40" i="2" s="1"/>
  <c r="I146" i="2" s="1"/>
  <c r="E37" i="2"/>
  <c r="F37" i="2" s="1"/>
  <c r="I141" i="2" s="1"/>
  <c r="E36" i="2"/>
  <c r="F36" i="2" s="1"/>
  <c r="I140" i="2" s="1"/>
  <c r="E35" i="2"/>
  <c r="F35" i="2" s="1"/>
  <c r="I139" i="2" s="1"/>
  <c r="E34" i="2"/>
  <c r="F34" i="2" s="1"/>
  <c r="I136" i="2" s="1"/>
  <c r="E33" i="2"/>
  <c r="F33" i="2" s="1"/>
  <c r="I135" i="2" s="1"/>
  <c r="E32" i="2"/>
  <c r="F32" i="2" s="1"/>
  <c r="I134" i="2" s="1"/>
  <c r="E31" i="2"/>
  <c r="F31" i="2" s="1"/>
  <c r="I133" i="2" s="1"/>
  <c r="E30" i="2"/>
  <c r="F30" i="2" s="1"/>
  <c r="I132" i="2" s="1"/>
  <c r="E29" i="2"/>
  <c r="F29" i="2" s="1"/>
  <c r="I131" i="2" s="1"/>
  <c r="E22" i="2"/>
  <c r="F22" i="2" s="1"/>
  <c r="I128" i="2" s="1"/>
  <c r="E21" i="2"/>
  <c r="F21" i="2" s="1"/>
  <c r="E20" i="2"/>
  <c r="F20" i="2" s="1"/>
  <c r="E19" i="2"/>
  <c r="F19" i="2" s="1"/>
  <c r="E18" i="2"/>
  <c r="F18" i="2" s="1"/>
  <c r="I93" i="2" s="1"/>
  <c r="E17" i="2"/>
  <c r="F17" i="2" s="1"/>
  <c r="I91" i="2" s="1"/>
  <c r="E16" i="2"/>
  <c r="F16" i="2" s="1"/>
  <c r="I88" i="2" s="1"/>
  <c r="E15" i="2"/>
  <c r="F15" i="2" s="1"/>
  <c r="I87" i="2" s="1"/>
  <c r="E14" i="2"/>
  <c r="F14" i="2" s="1"/>
  <c r="I86" i="2" s="1"/>
  <c r="E13" i="2"/>
  <c r="F13" i="2" s="1"/>
  <c r="E12" i="2"/>
  <c r="F12" i="2" s="1"/>
  <c r="E11" i="2"/>
  <c r="F11" i="2" s="1"/>
  <c r="I17" i="2" s="1"/>
  <c r="E10" i="2"/>
  <c r="F10" i="2" s="1"/>
  <c r="E9" i="2"/>
  <c r="F9" i="2" s="1"/>
  <c r="E8" i="2"/>
  <c r="F8" i="2" s="1"/>
  <c r="I10" i="2" s="1"/>
  <c r="E7" i="2"/>
  <c r="F7" i="2" s="1"/>
  <c r="E6" i="2"/>
  <c r="F6" i="2" s="1"/>
  <c r="I6" i="2" s="1"/>
  <c r="E5" i="2"/>
  <c r="F5" i="2" s="1"/>
  <c r="I4" i="2" s="1"/>
  <c r="E4" i="2"/>
  <c r="F4" i="2" s="1"/>
  <c r="E3" i="2"/>
  <c r="F3" i="2" s="1"/>
  <c r="F77" i="1"/>
  <c r="F76" i="1"/>
  <c r="D75" i="1"/>
  <c r="F75" i="1" s="1"/>
  <c r="F74" i="1"/>
  <c r="F73" i="1"/>
  <c r="E73" i="1"/>
  <c r="F71" i="1"/>
  <c r="E71" i="1"/>
  <c r="F70" i="1"/>
  <c r="E70" i="1"/>
  <c r="F69" i="1"/>
  <c r="E69" i="1"/>
  <c r="F68" i="1"/>
  <c r="E68" i="1"/>
  <c r="F67" i="1"/>
  <c r="E67" i="1"/>
  <c r="F66" i="1"/>
  <c r="E66" i="1"/>
  <c r="E65" i="1"/>
  <c r="F65" i="1" s="1"/>
  <c r="I180" i="1" s="1"/>
  <c r="E64" i="1"/>
  <c r="F64" i="1" s="1"/>
  <c r="I193" i="1" s="1"/>
  <c r="E63" i="1"/>
  <c r="F63" i="1" s="1"/>
  <c r="I188" i="1" s="1"/>
  <c r="E62" i="1"/>
  <c r="F62" i="1" s="1"/>
  <c r="I155" i="1" s="1"/>
  <c r="E61" i="1"/>
  <c r="F61" i="1" s="1"/>
  <c r="I88" i="1" s="1"/>
  <c r="E60" i="1"/>
  <c r="F60" i="1" s="1"/>
  <c r="I136" i="1" s="1"/>
  <c r="E59" i="1"/>
  <c r="F59" i="1" s="1"/>
  <c r="E58" i="1"/>
  <c r="F58" i="1" s="1"/>
  <c r="I17" i="1" s="1"/>
  <c r="E57" i="1"/>
  <c r="F57" i="1" s="1"/>
  <c r="E56" i="1"/>
  <c r="F56" i="1" s="1"/>
  <c r="I157" i="1" s="1"/>
  <c r="E55" i="1"/>
  <c r="F55" i="1" s="1"/>
  <c r="I156" i="1" s="1"/>
  <c r="E54" i="1"/>
  <c r="F54" i="1" s="1"/>
  <c r="I93" i="1" s="1"/>
  <c r="E53" i="1"/>
  <c r="F53" i="1" s="1"/>
  <c r="I87" i="1" s="1"/>
  <c r="E52" i="1"/>
  <c r="F52" i="1" s="1"/>
  <c r="E51" i="1"/>
  <c r="F51" i="1" s="1"/>
  <c r="I132" i="1" s="1"/>
  <c r="E50" i="1"/>
  <c r="F50" i="1" s="1"/>
  <c r="I131" i="1" s="1"/>
  <c r="Q85" i="1"/>
  <c r="P85" i="1"/>
  <c r="E49" i="1"/>
  <c r="F49" i="1" s="1"/>
  <c r="I170" i="1" s="1"/>
  <c r="F84" i="1"/>
  <c r="E84" i="1"/>
  <c r="F83" i="1"/>
  <c r="E83" i="1"/>
  <c r="F82" i="1"/>
  <c r="E82" i="1"/>
  <c r="F81" i="1"/>
  <c r="E81" i="1"/>
  <c r="F80" i="1"/>
  <c r="E80" i="1"/>
  <c r="F79" i="1"/>
  <c r="E79" i="1"/>
  <c r="F78" i="1"/>
  <c r="E78" i="1"/>
  <c r="E40" i="1"/>
  <c r="F40" i="1" s="1"/>
  <c r="I169" i="1" s="1"/>
  <c r="E37" i="1"/>
  <c r="F37" i="1" s="1"/>
  <c r="I146" i="1" s="1"/>
  <c r="E36" i="1"/>
  <c r="F36" i="1" s="1"/>
  <c r="I134" i="1" s="1"/>
  <c r="E35" i="1"/>
  <c r="F35" i="1" s="1"/>
  <c r="I4" i="1" s="1"/>
  <c r="E34" i="1"/>
  <c r="F34" i="1" s="1"/>
  <c r="I166" i="1" s="1"/>
  <c r="E33" i="1"/>
  <c r="F33" i="1" s="1"/>
  <c r="E32" i="1"/>
  <c r="F32" i="1" s="1"/>
  <c r="I161" i="1" s="1"/>
  <c r="E31" i="1"/>
  <c r="F31" i="1" s="1"/>
  <c r="I160" i="1" s="1"/>
  <c r="E30" i="1"/>
  <c r="F30" i="1" s="1"/>
  <c r="I159" i="1" s="1"/>
  <c r="E29" i="1"/>
  <c r="F29" i="1" s="1"/>
  <c r="E22" i="1"/>
  <c r="F22" i="1" s="1"/>
  <c r="I6" i="1" s="1"/>
  <c r="E21" i="1"/>
  <c r="F21" i="1" s="1"/>
  <c r="I141" i="1" s="1"/>
  <c r="E20" i="1"/>
  <c r="F20" i="1" s="1"/>
  <c r="E19" i="1"/>
  <c r="F19" i="1" s="1"/>
  <c r="E18" i="1"/>
  <c r="F18" i="1" s="1"/>
  <c r="I162" i="1" s="1"/>
  <c r="E17" i="1"/>
  <c r="F17" i="1" s="1"/>
  <c r="I150" i="1" s="1"/>
  <c r="E16" i="1"/>
  <c r="F16" i="1" s="1"/>
  <c r="I140" i="1" s="1"/>
  <c r="E15" i="1"/>
  <c r="F15" i="1" s="1"/>
  <c r="I139" i="1" s="1"/>
  <c r="E14" i="1"/>
  <c r="F14" i="1" s="1"/>
  <c r="I135" i="1" s="1"/>
  <c r="E13" i="1"/>
  <c r="F13" i="1" s="1"/>
  <c r="E12" i="1"/>
  <c r="F12" i="1" s="1"/>
  <c r="I165" i="1" s="1"/>
  <c r="E11" i="1"/>
  <c r="F11" i="1" s="1"/>
  <c r="I163" i="1" s="1"/>
  <c r="E10" i="1"/>
  <c r="F10" i="1" s="1"/>
  <c r="E9" i="1"/>
  <c r="F9" i="1" s="1"/>
  <c r="I10" i="1" s="1"/>
  <c r="E8" i="1"/>
  <c r="F8" i="1" s="1"/>
  <c r="I91" i="1" s="1"/>
  <c r="E7" i="1"/>
  <c r="F7" i="1" s="1"/>
  <c r="I86" i="1" s="1"/>
  <c r="E6" i="1"/>
  <c r="F6" i="1" s="1"/>
  <c r="I149" i="1" s="1"/>
  <c r="E5" i="1"/>
  <c r="F5" i="1" s="1"/>
  <c r="I133" i="1" s="1"/>
  <c r="E4" i="1"/>
  <c r="F4" i="1" s="1"/>
  <c r="E3" i="1"/>
  <c r="F3" i="1" s="1"/>
  <c r="I128" i="1" s="1"/>
  <c r="F73" i="57"/>
  <c r="F72" i="57"/>
  <c r="D70" i="57"/>
  <c r="F70" i="57" s="1"/>
  <c r="F69" i="57"/>
  <c r="F68" i="57"/>
  <c r="F66" i="57"/>
  <c r="F65" i="57"/>
  <c r="F64" i="57"/>
  <c r="F63" i="57"/>
  <c r="F62" i="57"/>
  <c r="F61" i="57"/>
  <c r="F60" i="57"/>
  <c r="F59" i="57"/>
  <c r="F58" i="57"/>
  <c r="F57" i="57"/>
  <c r="F56" i="57"/>
  <c r="F55" i="57"/>
  <c r="Q83" i="57"/>
  <c r="P83" i="57"/>
  <c r="F82" i="57"/>
  <c r="F81" i="57"/>
  <c r="F80" i="57"/>
  <c r="F79" i="57"/>
  <c r="F78" i="57"/>
  <c r="F77" i="57"/>
  <c r="F76" i="57"/>
  <c r="E33" i="57"/>
  <c r="F33" i="57" s="1"/>
  <c r="I193" i="218" l="1"/>
  <c r="J176" i="218" s="1"/>
  <c r="J114" i="3"/>
  <c r="M9" i="3" s="1"/>
  <c r="J97" i="3"/>
  <c r="M7" i="3" s="1"/>
  <c r="J206" i="218"/>
  <c r="J205" i="3"/>
  <c r="M13" i="3" s="1"/>
  <c r="J22" i="3"/>
  <c r="M3" i="3" s="1"/>
  <c r="J119" i="3"/>
  <c r="M11" i="3" s="1"/>
  <c r="J36" i="3"/>
  <c r="M5" i="3" s="1"/>
  <c r="I170" i="218"/>
  <c r="I169" i="218"/>
  <c r="I136" i="218"/>
  <c r="I10" i="218"/>
  <c r="J115" i="1"/>
  <c r="M9" i="1" s="1"/>
  <c r="I157" i="218"/>
  <c r="I160" i="218"/>
  <c r="I161" i="218"/>
  <c r="I146" i="218"/>
  <c r="J98" i="7"/>
  <c r="M7" i="7" s="1"/>
  <c r="I134" i="218"/>
  <c r="I149" i="218"/>
  <c r="I165" i="218"/>
  <c r="I86" i="218"/>
  <c r="J83" i="218" s="1"/>
  <c r="I4" i="218"/>
  <c r="I133" i="218"/>
  <c r="J98" i="1"/>
  <c r="M7" i="1" s="1"/>
  <c r="J120" i="7"/>
  <c r="M11" i="7" s="1"/>
  <c r="J120" i="1"/>
  <c r="M11" i="1" s="1"/>
  <c r="J115" i="2"/>
  <c r="M9" i="2" s="1"/>
  <c r="J37" i="218"/>
  <c r="M5" i="218" s="1"/>
  <c r="J120" i="218"/>
  <c r="M11" i="218" s="1"/>
  <c r="J37" i="7"/>
  <c r="M5" i="7" s="1"/>
  <c r="J22" i="2"/>
  <c r="M3" i="2" s="1"/>
  <c r="J120" i="2"/>
  <c r="M11" i="2" s="1"/>
  <c r="J115" i="218"/>
  <c r="M9" i="218" s="1"/>
  <c r="J98" i="218"/>
  <c r="M7" i="218" s="1"/>
  <c r="J108" i="218"/>
  <c r="M8" i="218" s="1"/>
  <c r="J22" i="218"/>
  <c r="M3" i="218" s="1"/>
  <c r="J3" i="7"/>
  <c r="M4" i="7" s="1"/>
  <c r="J22" i="7"/>
  <c r="M3" i="7" s="1"/>
  <c r="J108" i="7"/>
  <c r="M8" i="7" s="1"/>
  <c r="J83" i="7"/>
  <c r="M6" i="7" s="1"/>
  <c r="J127" i="7"/>
  <c r="M10" i="7" s="1"/>
  <c r="J176" i="7"/>
  <c r="M12" i="7" s="1"/>
  <c r="J206" i="7"/>
  <c r="M13" i="7" s="1"/>
  <c r="J115" i="7"/>
  <c r="M9" i="7" s="1"/>
  <c r="J206" i="2"/>
  <c r="M13" i="2" s="1"/>
  <c r="J127" i="2"/>
  <c r="M10" i="2" s="1"/>
  <c r="J37" i="2"/>
  <c r="M5" i="2" s="1"/>
  <c r="J98" i="2"/>
  <c r="M7" i="2" s="1"/>
  <c r="J83" i="2"/>
  <c r="M6" i="2" s="1"/>
  <c r="J176" i="2"/>
  <c r="M12" i="2" s="1"/>
  <c r="J3" i="2"/>
  <c r="M4" i="2" s="1"/>
  <c r="J108" i="2"/>
  <c r="M8" i="2" s="1"/>
  <c r="J3" i="1"/>
  <c r="J108" i="1"/>
  <c r="M8" i="1" s="1"/>
  <c r="J22" i="1"/>
  <c r="M3" i="1" s="1"/>
  <c r="J37" i="1"/>
  <c r="M5" i="1" s="1"/>
  <c r="J127" i="1"/>
  <c r="M10" i="1" s="1"/>
  <c r="J176" i="1"/>
  <c r="M12" i="1" s="1"/>
  <c r="J83" i="1"/>
  <c r="M6" i="1" s="1"/>
  <c r="J206" i="1"/>
  <c r="M13" i="1" s="1"/>
  <c r="J97" i="57"/>
  <c r="M7" i="57" s="1"/>
  <c r="J119" i="57"/>
  <c r="M11" i="57" s="1"/>
  <c r="J205" i="57"/>
  <c r="M13" i="57" s="1"/>
  <c r="J22" i="57"/>
  <c r="J36" i="57"/>
  <c r="M5" i="57" s="1"/>
  <c r="J114" i="57"/>
  <c r="M9" i="57" s="1"/>
  <c r="M13" i="218"/>
  <c r="V109" i="218"/>
  <c r="U171" i="218"/>
  <c r="V126" i="218"/>
  <c r="U136" i="218"/>
  <c r="U183" i="218"/>
  <c r="U146" i="218"/>
  <c r="U160" i="218"/>
  <c r="V211" i="218"/>
  <c r="U96" i="218"/>
  <c r="V113" i="218"/>
  <c r="U98" i="218"/>
  <c r="U185" i="218"/>
  <c r="U17" i="218"/>
  <c r="U16" i="218"/>
  <c r="U193" i="218"/>
  <c r="U145" i="218"/>
  <c r="U133" i="218"/>
  <c r="U168" i="218"/>
  <c r="U167" i="218"/>
  <c r="U155" i="218"/>
  <c r="U92" i="218"/>
  <c r="U11" i="218"/>
  <c r="U144" i="218"/>
  <c r="V22" i="218"/>
  <c r="U93" i="218"/>
  <c r="U164" i="218"/>
  <c r="U140" i="218"/>
  <c r="V120" i="218"/>
  <c r="U161" i="218"/>
  <c r="U137" i="218"/>
  <c r="E69" i="3"/>
  <c r="E63" i="3"/>
  <c r="E59" i="3"/>
  <c r="E55" i="3"/>
  <c r="E77" i="3"/>
  <c r="E20" i="3"/>
  <c r="F20" i="3" s="1"/>
  <c r="I132" i="3" s="1"/>
  <c r="E13" i="3"/>
  <c r="F13" i="3" s="1"/>
  <c r="I86" i="3" s="1"/>
  <c r="E3" i="3"/>
  <c r="F3" i="3" s="1"/>
  <c r="E58" i="3"/>
  <c r="E27" i="3"/>
  <c r="F27" i="3" s="1"/>
  <c r="I138" i="3" s="1"/>
  <c r="E9" i="3"/>
  <c r="F9" i="3" s="1"/>
  <c r="I12" i="3" s="1"/>
  <c r="E60" i="3"/>
  <c r="E64" i="3"/>
  <c r="E16" i="3"/>
  <c r="F16" i="3" s="1"/>
  <c r="I127" i="3" s="1"/>
  <c r="E6" i="3"/>
  <c r="F6" i="3" s="1"/>
  <c r="I6" i="3" s="1"/>
  <c r="E50" i="3"/>
  <c r="F50" i="3" s="1"/>
  <c r="I185" i="3" s="1"/>
  <c r="E36" i="3"/>
  <c r="F36" i="3" s="1"/>
  <c r="I160" i="3" s="1"/>
  <c r="E32" i="3"/>
  <c r="F32" i="3" s="1"/>
  <c r="I152" i="3" s="1"/>
  <c r="E28" i="3"/>
  <c r="F28" i="3" s="1"/>
  <c r="I139" i="3" s="1"/>
  <c r="E8" i="3"/>
  <c r="F8" i="3" s="1"/>
  <c r="E76" i="3"/>
  <c r="E5" i="3"/>
  <c r="F5" i="3" s="1"/>
  <c r="I4" i="3" s="1"/>
  <c r="E15" i="3"/>
  <c r="F15" i="3" s="1"/>
  <c r="J107" i="3" s="1"/>
  <c r="E67" i="3"/>
  <c r="E45" i="3"/>
  <c r="F45" i="3" s="1"/>
  <c r="E31" i="3"/>
  <c r="F31" i="3" s="1"/>
  <c r="I149" i="3" s="1"/>
  <c r="E12" i="3"/>
  <c r="F12" i="3" s="1"/>
  <c r="I85" i="3" s="1"/>
  <c r="E48" i="3"/>
  <c r="F48" i="3" s="1"/>
  <c r="I166" i="3" s="1"/>
  <c r="E56" i="3"/>
  <c r="E78" i="3"/>
  <c r="E21" i="3"/>
  <c r="F21" i="3" s="1"/>
  <c r="I133" i="3" s="1"/>
  <c r="E46" i="3"/>
  <c r="F46" i="3" s="1"/>
  <c r="I164" i="3" s="1"/>
  <c r="E68" i="3"/>
  <c r="E62" i="3"/>
  <c r="E54" i="3"/>
  <c r="E19" i="3"/>
  <c r="F19" i="3" s="1"/>
  <c r="I131" i="3" s="1"/>
  <c r="E10" i="3"/>
  <c r="F10" i="3" s="1"/>
  <c r="E35" i="3"/>
  <c r="F35" i="3" s="1"/>
  <c r="I159" i="3" s="1"/>
  <c r="E18" i="3"/>
  <c r="F18" i="3" s="1"/>
  <c r="I130" i="3" s="1"/>
  <c r="E53" i="3"/>
  <c r="F53" i="3" s="1"/>
  <c r="I177" i="3" s="1"/>
  <c r="E33" i="3"/>
  <c r="F33" i="3" s="1"/>
  <c r="I153" i="3" s="1"/>
  <c r="E51" i="3"/>
  <c r="F51" i="3" s="1"/>
  <c r="I192" i="3" s="1"/>
  <c r="E66" i="3"/>
  <c r="E61" i="3"/>
  <c r="E57" i="3"/>
  <c r="E80" i="3"/>
  <c r="E7" i="3"/>
  <c r="F7" i="3" s="1"/>
  <c r="I10" i="3" s="1"/>
  <c r="E47" i="3"/>
  <c r="F47" i="3" s="1"/>
  <c r="I165" i="3" s="1"/>
  <c r="E34" i="3"/>
  <c r="F34" i="3" s="1"/>
  <c r="I158" i="3" s="1"/>
  <c r="E30" i="3"/>
  <c r="F30" i="3" s="1"/>
  <c r="I148" i="3" s="1"/>
  <c r="E22" i="3"/>
  <c r="F22" i="3" s="1"/>
  <c r="I134" i="3" s="1"/>
  <c r="E17" i="3"/>
  <c r="F17" i="3" s="1"/>
  <c r="E14" i="3"/>
  <c r="F14" i="3" s="1"/>
  <c r="I90" i="3" s="1"/>
  <c r="E4" i="3"/>
  <c r="F4" i="3" s="1"/>
  <c r="E65" i="3"/>
  <c r="E52" i="3"/>
  <c r="F52" i="3" s="1"/>
  <c r="I179" i="3" s="1"/>
  <c r="E79" i="3"/>
  <c r="E29" i="3"/>
  <c r="F29" i="3" s="1"/>
  <c r="I140" i="3" s="1"/>
  <c r="E11" i="3"/>
  <c r="F11" i="3" s="1"/>
  <c r="E69" i="57"/>
  <c r="E63" i="57"/>
  <c r="E59" i="57"/>
  <c r="E55" i="57"/>
  <c r="E79" i="57"/>
  <c r="E16" i="57"/>
  <c r="F16" i="57" s="1"/>
  <c r="I139" i="57" s="1"/>
  <c r="E9" i="57"/>
  <c r="F9" i="57" s="1"/>
  <c r="I10" i="57" s="1"/>
  <c r="E49" i="57"/>
  <c r="F49" i="57" s="1"/>
  <c r="I12" i="57" s="1"/>
  <c r="E45" i="57"/>
  <c r="F45" i="57" s="1"/>
  <c r="I166" i="57" s="1"/>
  <c r="E31" i="57"/>
  <c r="F31" i="57" s="1"/>
  <c r="I165" i="57" s="1"/>
  <c r="E15" i="57"/>
  <c r="F15" i="57" s="1"/>
  <c r="I138" i="57" s="1"/>
  <c r="E34" i="57"/>
  <c r="F34" i="57" s="1"/>
  <c r="I133" i="57" s="1"/>
  <c r="E10" i="57"/>
  <c r="F10" i="57" s="1"/>
  <c r="J107" i="57" s="1"/>
  <c r="E52" i="57"/>
  <c r="F52" i="57" s="1"/>
  <c r="I192" i="57" s="1"/>
  <c r="E17" i="57"/>
  <c r="F17" i="57" s="1"/>
  <c r="I149" i="57" s="1"/>
  <c r="E80" i="57"/>
  <c r="E21" i="57"/>
  <c r="F21" i="57" s="1"/>
  <c r="I140" i="57" s="1"/>
  <c r="E14" i="57"/>
  <c r="F14" i="57" s="1"/>
  <c r="I134" i="57" s="1"/>
  <c r="E51" i="57"/>
  <c r="F51" i="57" s="1"/>
  <c r="I186" i="57" s="1"/>
  <c r="E4" i="57"/>
  <c r="F4" i="57" s="1"/>
  <c r="E50" i="57"/>
  <c r="F50" i="57" s="1"/>
  <c r="E36" i="57"/>
  <c r="F36" i="57" s="1"/>
  <c r="I145" i="57" s="1"/>
  <c r="E32" i="57"/>
  <c r="F32" i="57" s="1"/>
  <c r="I4" i="57" s="1"/>
  <c r="E28" i="57"/>
  <c r="F28" i="57" s="1"/>
  <c r="I158" i="57" s="1"/>
  <c r="E20" i="57"/>
  <c r="F20" i="57" s="1"/>
  <c r="E6" i="57"/>
  <c r="F6" i="57" s="1"/>
  <c r="I148" i="57" s="1"/>
  <c r="E13" i="57"/>
  <c r="F13" i="57" s="1"/>
  <c r="E77" i="57"/>
  <c r="E27" i="57"/>
  <c r="F27" i="57" s="1"/>
  <c r="E53" i="57"/>
  <c r="F53" i="57" s="1"/>
  <c r="I180" i="57" s="1"/>
  <c r="E66" i="57"/>
  <c r="E82" i="57"/>
  <c r="E5" i="57"/>
  <c r="F5" i="57" s="1"/>
  <c r="I132" i="57" s="1"/>
  <c r="E30" i="57"/>
  <c r="F30" i="57" s="1"/>
  <c r="I160" i="57" s="1"/>
  <c r="E81" i="57"/>
  <c r="E12" i="57"/>
  <c r="F12" i="57" s="1"/>
  <c r="I164" i="57" s="1"/>
  <c r="E60" i="57"/>
  <c r="E64" i="57"/>
  <c r="E46" i="57"/>
  <c r="F46" i="57" s="1"/>
  <c r="I169" i="57" s="1"/>
  <c r="E68" i="57"/>
  <c r="E62" i="57"/>
  <c r="E54" i="57"/>
  <c r="F54" i="57" s="1"/>
  <c r="I177" i="57" s="1"/>
  <c r="E78" i="57"/>
  <c r="E11" i="57"/>
  <c r="F11" i="57" s="1"/>
  <c r="I162" i="57" s="1"/>
  <c r="E58" i="57"/>
  <c r="E35" i="57"/>
  <c r="F35" i="57" s="1"/>
  <c r="E19" i="57"/>
  <c r="F19" i="57" s="1"/>
  <c r="I161" i="57" s="1"/>
  <c r="E3" i="57"/>
  <c r="F3" i="57" s="1"/>
  <c r="I127" i="57" s="1"/>
  <c r="E48" i="57"/>
  <c r="F48" i="57" s="1"/>
  <c r="I86" i="57" s="1"/>
  <c r="E61" i="57"/>
  <c r="E57" i="57"/>
  <c r="E76" i="57"/>
  <c r="E18" i="57"/>
  <c r="F18" i="57" s="1"/>
  <c r="E47" i="57"/>
  <c r="F47" i="57" s="1"/>
  <c r="I130" i="57" s="1"/>
  <c r="E22" i="57"/>
  <c r="F22" i="57" s="1"/>
  <c r="I6" i="57" s="1"/>
  <c r="E65" i="57"/>
  <c r="E7" i="57"/>
  <c r="F7" i="57" s="1"/>
  <c r="I85" i="57" s="1"/>
  <c r="E56" i="57"/>
  <c r="E29" i="57"/>
  <c r="F29" i="57" s="1"/>
  <c r="I159" i="57" s="1"/>
  <c r="J82" i="3" l="1"/>
  <c r="M6" i="3" s="1"/>
  <c r="J3" i="3"/>
  <c r="J175" i="3"/>
  <c r="M12" i="3" s="1"/>
  <c r="J126" i="3"/>
  <c r="M10" i="3" s="1"/>
  <c r="J3" i="218"/>
  <c r="M4" i="218" s="1"/>
  <c r="M4" i="1"/>
  <c r="M14" i="1" s="1"/>
  <c r="N3" i="1" s="1"/>
  <c r="D4" i="8" s="1"/>
  <c r="J127" i="218"/>
  <c r="M10" i="218" s="1"/>
  <c r="J126" i="57"/>
  <c r="M10" i="57" s="1"/>
  <c r="M4" i="3"/>
  <c r="J82" i="57"/>
  <c r="M6" i="57" s="1"/>
  <c r="J3" i="57"/>
  <c r="M4" i="57" s="1"/>
  <c r="J175" i="57"/>
  <c r="M12" i="57" s="1"/>
  <c r="V181" i="218"/>
  <c r="V3" i="218"/>
  <c r="V88" i="218"/>
  <c r="V132" i="218"/>
  <c r="M12" i="218"/>
  <c r="M6" i="218"/>
  <c r="M8" i="57"/>
  <c r="M8" i="3"/>
  <c r="M15" i="218"/>
  <c r="M15" i="3"/>
  <c r="M15" i="1"/>
  <c r="M3" i="57"/>
  <c r="M15" i="57" s="1"/>
  <c r="M15" i="7"/>
  <c r="M14" i="7"/>
  <c r="N8" i="7" s="1"/>
  <c r="G9" i="8" s="1"/>
  <c r="M15" i="2"/>
  <c r="M14" i="2"/>
  <c r="N12" i="2" s="1"/>
  <c r="E13" i="8" s="1"/>
  <c r="M14" i="218" l="1"/>
  <c r="N12" i="218" s="1"/>
  <c r="H13" i="8" s="1"/>
  <c r="N10" i="7"/>
  <c r="G11" i="8" s="1"/>
  <c r="N12" i="7"/>
  <c r="G13" i="8" s="1"/>
  <c r="N11" i="7"/>
  <c r="G12" i="8" s="1"/>
  <c r="N9" i="7"/>
  <c r="G10" i="8" s="1"/>
  <c r="N13" i="7"/>
  <c r="G14" i="8" s="1"/>
  <c r="N4" i="7"/>
  <c r="G5" i="8" s="1"/>
  <c r="N5" i="7"/>
  <c r="G6" i="8" s="1"/>
  <c r="N7" i="7"/>
  <c r="G8" i="8" s="1"/>
  <c r="N6" i="7"/>
  <c r="G7" i="8" s="1"/>
  <c r="N3" i="7"/>
  <c r="G4" i="8" s="1"/>
  <c r="N10" i="2"/>
  <c r="E11" i="8" s="1"/>
  <c r="M14" i="3"/>
  <c r="N3" i="2"/>
  <c r="E4" i="8" s="1"/>
  <c r="N6" i="2"/>
  <c r="E7" i="8" s="1"/>
  <c r="N7" i="2"/>
  <c r="E8" i="8" s="1"/>
  <c r="N9" i="2"/>
  <c r="E10" i="8" s="1"/>
  <c r="N11" i="2"/>
  <c r="E12" i="8" s="1"/>
  <c r="N8" i="2"/>
  <c r="E9" i="8" s="1"/>
  <c r="N13" i="2"/>
  <c r="E14" i="8" s="1"/>
  <c r="N5" i="2"/>
  <c r="E6" i="8" s="1"/>
  <c r="N4" i="2"/>
  <c r="E5" i="8" s="1"/>
  <c r="M14" i="57"/>
  <c r="N8" i="57" s="1"/>
  <c r="C9" i="8" s="1"/>
  <c r="N4" i="1"/>
  <c r="D5" i="8" s="1"/>
  <c r="N5" i="1"/>
  <c r="D6" i="8" s="1"/>
  <c r="N13" i="1"/>
  <c r="D14" i="8" s="1"/>
  <c r="N9" i="1"/>
  <c r="D10" i="8" s="1"/>
  <c r="N11" i="1"/>
  <c r="D12" i="8" s="1"/>
  <c r="N6" i="1"/>
  <c r="D7" i="8" s="1"/>
  <c r="N7" i="1"/>
  <c r="D8" i="8" s="1"/>
  <c r="N8" i="1"/>
  <c r="D9" i="8" s="1"/>
  <c r="N10" i="1"/>
  <c r="D11" i="8" s="1"/>
  <c r="N12" i="1"/>
  <c r="D13" i="8" s="1"/>
  <c r="N10" i="218" l="1"/>
  <c r="H11" i="8" s="1"/>
  <c r="N4" i="218"/>
  <c r="H5" i="8" s="1"/>
  <c r="N7" i="218"/>
  <c r="H8" i="8" s="1"/>
  <c r="H13" i="191"/>
  <c r="N3" i="218"/>
  <c r="H4" i="8" s="1"/>
  <c r="N5" i="218"/>
  <c r="H6" i="8" s="1"/>
  <c r="N6" i="218"/>
  <c r="H7" i="8" s="1"/>
  <c r="N11" i="218"/>
  <c r="H12" i="8" s="1"/>
  <c r="N9" i="218"/>
  <c r="H10" i="8" s="1"/>
  <c r="N8" i="218"/>
  <c r="H9" i="8" s="1"/>
  <c r="N13" i="218"/>
  <c r="H14" i="8" s="1"/>
  <c r="H8" i="191"/>
  <c r="N14" i="7"/>
  <c r="G15" i="8" s="1"/>
  <c r="N15" i="7"/>
  <c r="G16" i="8" s="1"/>
  <c r="N9" i="57"/>
  <c r="C10" i="8" s="1"/>
  <c r="N7" i="57"/>
  <c r="C8" i="8" s="1"/>
  <c r="N6" i="3"/>
  <c r="F7" i="8" s="1"/>
  <c r="N11" i="3"/>
  <c r="F12" i="8" s="1"/>
  <c r="N9" i="3"/>
  <c r="F10" i="8" s="1"/>
  <c r="N3" i="3"/>
  <c r="F4" i="8" s="1"/>
  <c r="N13" i="3"/>
  <c r="F14" i="8" s="1"/>
  <c r="N7" i="3"/>
  <c r="F8" i="8" s="1"/>
  <c r="N8" i="3"/>
  <c r="F9" i="8" s="1"/>
  <c r="N4" i="3"/>
  <c r="F5" i="8" s="1"/>
  <c r="N5" i="3"/>
  <c r="F6" i="8" s="1"/>
  <c r="N12" i="3"/>
  <c r="F13" i="8" s="1"/>
  <c r="N11" i="57"/>
  <c r="C12" i="8" s="1"/>
  <c r="N10" i="3"/>
  <c r="F11" i="8" s="1"/>
  <c r="N3" i="57"/>
  <c r="C4" i="8" s="1"/>
  <c r="N15" i="2"/>
  <c r="E16" i="8" s="1"/>
  <c r="N4" i="57"/>
  <c r="C5" i="8" s="1"/>
  <c r="N10" i="57"/>
  <c r="C11" i="8" s="1"/>
  <c r="N12" i="57"/>
  <c r="C13" i="8" s="1"/>
  <c r="N6" i="57"/>
  <c r="C7" i="8" s="1"/>
  <c r="N13" i="57"/>
  <c r="C14" i="8" s="1"/>
  <c r="N14" i="2"/>
  <c r="E15" i="8" s="1"/>
  <c r="N14" i="1"/>
  <c r="D15" i="8" s="1"/>
  <c r="N5" i="57"/>
  <c r="C6" i="8" s="1"/>
  <c r="N15" i="1"/>
  <c r="D16" i="8" s="1"/>
  <c r="H5" i="191" l="1"/>
  <c r="H11" i="191"/>
  <c r="H4" i="191"/>
  <c r="N14" i="218"/>
  <c r="H15" i="8" s="1"/>
  <c r="H14" i="191"/>
  <c r="H6" i="191"/>
  <c r="H9" i="191"/>
  <c r="N15" i="218"/>
  <c r="H16" i="8" s="1"/>
  <c r="H12" i="191"/>
  <c r="H7" i="191"/>
  <c r="H10" i="191"/>
  <c r="I9" i="8"/>
  <c r="K9" i="8" s="1" a="1"/>
  <c r="K9" i="8" s="1"/>
  <c r="H16" i="191"/>
  <c r="N15" i="3"/>
  <c r="F16" i="8" s="1"/>
  <c r="N14" i="57"/>
  <c r="C15" i="8" s="1"/>
  <c r="N15" i="57"/>
  <c r="C16" i="8" s="1"/>
  <c r="N14" i="3"/>
  <c r="F15" i="8" s="1"/>
  <c r="C22" i="8" l="1"/>
  <c r="H15" i="191"/>
  <c r="I4" i="8"/>
  <c r="K4" i="8" s="1" a="1"/>
  <c r="K4" i="8" s="1"/>
  <c r="I5" i="8"/>
  <c r="K5" i="8" s="1" a="1"/>
  <c r="K5" i="8" s="1"/>
  <c r="I14" i="8"/>
  <c r="I7" i="8"/>
  <c r="K7" i="8" s="1" a="1"/>
  <c r="K7" i="8" s="1"/>
  <c r="I12" i="8"/>
  <c r="I13" i="8"/>
  <c r="K13" i="8" s="1" a="1"/>
  <c r="K13" i="8" s="1"/>
  <c r="I8" i="8"/>
  <c r="K8" i="8" s="1" a="1"/>
  <c r="K8" i="8" s="1"/>
  <c r="I10" i="8"/>
  <c r="K10" i="8" s="1" a="1"/>
  <c r="K10" i="8" s="1"/>
  <c r="J9" i="8" a="1"/>
  <c r="J9" i="8" s="1"/>
  <c r="I11" i="8"/>
  <c r="K11" i="8" s="1" a="1"/>
  <c r="K11" i="8" s="1"/>
  <c r="I6" i="8"/>
  <c r="J6" i="8" s="1" a="1"/>
  <c r="J6" i="8" s="1"/>
  <c r="D72" i="85"/>
  <c r="D73" i="85"/>
  <c r="D71" i="85"/>
  <c r="C72" i="85"/>
  <c r="C73" i="85"/>
  <c r="C71" i="85"/>
  <c r="C14" i="85"/>
  <c r="C15" i="85"/>
  <c r="C13" i="85"/>
  <c r="H21" i="191"/>
  <c r="G21" i="191"/>
  <c r="F21" i="191"/>
  <c r="E21" i="191"/>
  <c r="D21" i="191"/>
  <c r="C21" i="191"/>
  <c r="I20" i="191"/>
  <c r="I21" i="191" s="1"/>
  <c r="I18" i="191"/>
  <c r="H18" i="191"/>
  <c r="G18" i="191"/>
  <c r="F18" i="191"/>
  <c r="E18" i="191"/>
  <c r="D18" i="191"/>
  <c r="C18" i="191"/>
  <c r="J18" i="191" s="1"/>
  <c r="I17" i="191"/>
  <c r="C48" i="85"/>
  <c r="C47" i="85"/>
  <c r="C46" i="85"/>
  <c r="D67" i="85"/>
  <c r="D66" i="85"/>
  <c r="D65" i="85"/>
  <c r="D29" i="85"/>
  <c r="C18" i="8"/>
  <c r="K21" i="8"/>
  <c r="I20" i="8"/>
  <c r="D21" i="8"/>
  <c r="E21" i="8"/>
  <c r="J18" i="8"/>
  <c r="I18" i="8"/>
  <c r="D18" i="8"/>
  <c r="E18" i="8"/>
  <c r="F18" i="8"/>
  <c r="G18" i="8"/>
  <c r="H18" i="8"/>
  <c r="I17" i="8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4" i="9"/>
  <c r="A23" i="8" l="1"/>
  <c r="I16" i="8"/>
  <c r="I22" i="8" s="1"/>
  <c r="J4" i="8" a="1"/>
  <c r="J4" i="8" s="1"/>
  <c r="K12" i="8" a="1"/>
  <c r="K12" i="8" s="1"/>
  <c r="J8" i="8" a="1"/>
  <c r="J8" i="8" s="1"/>
  <c r="J13" i="8" a="1"/>
  <c r="J13" i="8" s="1"/>
  <c r="J12" i="8" a="1"/>
  <c r="J12" i="8" s="1"/>
  <c r="K6" i="8" a="1"/>
  <c r="K6" i="8" s="1"/>
  <c r="J7" i="8" a="1"/>
  <c r="J7" i="8" s="1"/>
  <c r="K14" i="8" a="1"/>
  <c r="K14" i="8" s="1"/>
  <c r="J5" i="8" a="1"/>
  <c r="J5" i="8" s="1"/>
  <c r="J10" i="8" a="1"/>
  <c r="J10" i="8" s="1"/>
  <c r="J11" i="8" a="1"/>
  <c r="J11" i="8" s="1"/>
  <c r="J14" i="8" a="1"/>
  <c r="J14" i="8" s="1"/>
  <c r="I15" i="8"/>
  <c r="K21" i="191"/>
  <c r="K16" i="8" l="1"/>
  <c r="J16" i="8"/>
  <c r="K15" i="8"/>
  <c r="J15" i="8"/>
  <c r="D4" i="191"/>
  <c r="E11" i="191" l="1"/>
  <c r="D7" i="191"/>
  <c r="D9" i="191"/>
  <c r="D6" i="191"/>
  <c r="D8" i="191"/>
  <c r="D13" i="191"/>
  <c r="D5" i="191"/>
  <c r="D10" i="191"/>
  <c r="D14" i="191"/>
  <c r="D11" i="191"/>
  <c r="D12" i="191"/>
  <c r="D19" i="8" l="1"/>
  <c r="G7" i="191"/>
  <c r="G9" i="191"/>
  <c r="G13" i="191"/>
  <c r="G11" i="191"/>
  <c r="G6" i="191"/>
  <c r="G8" i="191"/>
  <c r="G5" i="191"/>
  <c r="G14" i="191"/>
  <c r="G10" i="191"/>
  <c r="G12" i="191"/>
  <c r="G4" i="191"/>
  <c r="F4" i="191"/>
  <c r="E6" i="191"/>
  <c r="E12" i="191"/>
  <c r="E5" i="191"/>
  <c r="E9" i="191"/>
  <c r="E10" i="191"/>
  <c r="E14" i="191"/>
  <c r="E13" i="191"/>
  <c r="E4" i="191"/>
  <c r="E7" i="191"/>
  <c r="D16" i="191"/>
  <c r="D15" i="191"/>
  <c r="C12" i="191"/>
  <c r="E19" i="8" l="1"/>
  <c r="G16" i="191"/>
  <c r="G15" i="191"/>
  <c r="F5" i="191"/>
  <c r="F6" i="191"/>
  <c r="F12" i="191"/>
  <c r="F14" i="191"/>
  <c r="F10" i="191"/>
  <c r="F11" i="191"/>
  <c r="F7" i="191"/>
  <c r="F9" i="191"/>
  <c r="F13" i="191"/>
  <c r="E16" i="191"/>
  <c r="E15" i="191"/>
  <c r="D19" i="191"/>
  <c r="D22" i="191"/>
  <c r="C14" i="191"/>
  <c r="C13" i="191"/>
  <c r="C11" i="191"/>
  <c r="C10" i="191"/>
  <c r="C9" i="191"/>
  <c r="C8" i="191"/>
  <c r="C7" i="191"/>
  <c r="C6" i="191"/>
  <c r="C5" i="191"/>
  <c r="C4" i="191"/>
  <c r="I4" i="191" s="1"/>
  <c r="D22" i="8"/>
  <c r="F22" i="8" l="1"/>
  <c r="G22" i="191"/>
  <c r="G19" i="191"/>
  <c r="F16" i="191"/>
  <c r="F15" i="191"/>
  <c r="E19" i="191"/>
  <c r="E22" i="191"/>
  <c r="C16" i="191"/>
  <c r="C15" i="191"/>
  <c r="E22" i="8"/>
  <c r="C19" i="191" l="1"/>
  <c r="B26" i="191"/>
  <c r="F22" i="191"/>
  <c r="F19" i="191"/>
  <c r="I5" i="191"/>
  <c r="J5" i="191" s="1" a="1"/>
  <c r="J5" i="191" s="1"/>
  <c r="C22" i="191"/>
  <c r="F19" i="8"/>
  <c r="C19" i="8"/>
  <c r="I6" i="191" l="1"/>
  <c r="K6" i="191" s="1" a="1"/>
  <c r="K6" i="191" s="1"/>
  <c r="K5" i="191" a="1"/>
  <c r="K5" i="191" s="1"/>
  <c r="J4" i="191" a="1"/>
  <c r="J4" i="191" s="1"/>
  <c r="K4" i="191" a="1"/>
  <c r="K4" i="191" s="1"/>
  <c r="J6" i="191" l="1" a="1"/>
  <c r="J6" i="191" s="1"/>
  <c r="G22" i="8"/>
  <c r="G19" i="8"/>
  <c r="I19" i="8" l="1"/>
  <c r="H22" i="191"/>
  <c r="I9" i="191"/>
  <c r="I10" i="191"/>
  <c r="I11" i="191"/>
  <c r="J11" i="191" s="1" a="1"/>
  <c r="J11" i="191" s="1"/>
  <c r="H19" i="8"/>
  <c r="I7" i="191"/>
  <c r="K7" i="191" s="1" a="1"/>
  <c r="K7" i="191" s="1"/>
  <c r="J19" i="8" l="1"/>
  <c r="I13" i="191"/>
  <c r="K13" i="191" s="1" a="1"/>
  <c r="K13" i="191" s="1"/>
  <c r="I12" i="191"/>
  <c r="K12" i="191" s="1" a="1"/>
  <c r="K12" i="191" s="1"/>
  <c r="H22" i="8"/>
  <c r="K22" i="8" s="1"/>
  <c r="K9" i="191" a="1"/>
  <c r="K9" i="191" s="1"/>
  <c r="K10" i="191" a="1"/>
  <c r="K10" i="191" s="1"/>
  <c r="H19" i="191"/>
  <c r="J10" i="191" a="1"/>
  <c r="J10" i="191" s="1"/>
  <c r="J9" i="191" a="1"/>
  <c r="J9" i="191" s="1"/>
  <c r="I8" i="191"/>
  <c r="J8" i="191" s="1" a="1"/>
  <c r="J8" i="191" s="1"/>
  <c r="K11" i="191" a="1"/>
  <c r="K11" i="191" s="1"/>
  <c r="J7" i="191" a="1"/>
  <c r="J7" i="191" s="1"/>
  <c r="I14" i="191"/>
  <c r="J13" i="191" l="1" a="1"/>
  <c r="J13" i="191" s="1"/>
  <c r="I16" i="191"/>
  <c r="I19" i="191" s="1"/>
  <c r="J19" i="191" s="1"/>
  <c r="J14" i="191" a="1"/>
  <c r="J14" i="191" s="1"/>
  <c r="K14" i="191" a="1"/>
  <c r="K14" i="191" s="1"/>
  <c r="I15" i="191"/>
  <c r="J12" i="191" a="1"/>
  <c r="J12" i="191" s="1"/>
  <c r="K8" i="191" a="1"/>
  <c r="K8" i="191" s="1"/>
  <c r="F74" i="218"/>
  <c r="I22" i="191" l="1"/>
  <c r="K22" i="191" s="1"/>
  <c r="K15" i="191"/>
  <c r="J15" i="191"/>
  <c r="J16" i="191"/>
  <c r="K16" i="19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<sst xmlns="http://schemas.openxmlformats.org/spreadsheetml/2006/main" count="2988" uniqueCount="478">
  <si>
    <t>Material Name</t>
  </si>
  <si>
    <t>WEIGHT(kg)</t>
  </si>
  <si>
    <t>Ekstrak (kg)</t>
  </si>
  <si>
    <t>Total</t>
  </si>
  <si>
    <t>ZINC OXIDE</t>
  </si>
  <si>
    <t>STEARIC ACID</t>
  </si>
  <si>
    <t>MBTS</t>
  </si>
  <si>
    <t>CABA</t>
  </si>
  <si>
    <t>SULFUR</t>
  </si>
  <si>
    <t>CBAF</t>
  </si>
  <si>
    <t>GPF N-660</t>
  </si>
  <si>
    <t>CWEI</t>
  </si>
  <si>
    <t>PAI IAN HWA CC (white filler)</t>
  </si>
  <si>
    <t>HRDG</t>
  </si>
  <si>
    <t>LOBA</t>
  </si>
  <si>
    <t>TDAE OIL</t>
  </si>
  <si>
    <t>REHD</t>
  </si>
  <si>
    <t>Magnesium Oxide (MgO)</t>
  </si>
  <si>
    <t>TAFB</t>
  </si>
  <si>
    <t>ESCOREZ-1102</t>
  </si>
  <si>
    <t>NRAK</t>
  </si>
  <si>
    <t>SIR-10 (EUDR)</t>
  </si>
  <si>
    <t>ALCO</t>
  </si>
  <si>
    <t>TBBS</t>
  </si>
  <si>
    <t>ANEB</t>
  </si>
  <si>
    <t>6PPD</t>
  </si>
  <si>
    <t>TMQ</t>
  </si>
  <si>
    <t>CABC</t>
  </si>
  <si>
    <t>CRYSTEX OT 20%</t>
  </si>
  <si>
    <t>REHA</t>
  </si>
  <si>
    <t>PVI</t>
  </si>
  <si>
    <t>SBDA</t>
  </si>
  <si>
    <t>NRAL</t>
  </si>
  <si>
    <t>SIR-20 (EUDR)</t>
  </si>
  <si>
    <t>ANEE</t>
  </si>
  <si>
    <t>OKERIN 2122 H</t>
  </si>
  <si>
    <t>BRDE</t>
  </si>
  <si>
    <t>BUNA CB-60</t>
  </si>
  <si>
    <t>CBAC</t>
  </si>
  <si>
    <t>HAF N-330</t>
  </si>
  <si>
    <t>ULTRABEND 4000</t>
  </si>
  <si>
    <t>PEGA</t>
  </si>
  <si>
    <t>PEGB</t>
  </si>
  <si>
    <t>Struktol HT105</t>
  </si>
  <si>
    <t>CBAB</t>
  </si>
  <si>
    <t>TAFC</t>
  </si>
  <si>
    <t>BRDC</t>
  </si>
  <si>
    <t>BR-1220</t>
  </si>
  <si>
    <t>ALCE</t>
  </si>
  <si>
    <t>DCBS</t>
  </si>
  <si>
    <t>ANEM</t>
  </si>
  <si>
    <t>OKERIN 15001 H</t>
  </si>
  <si>
    <t>TAGD</t>
  </si>
  <si>
    <t>TAFN</t>
  </si>
  <si>
    <t>MANOBOND 680C</t>
  </si>
  <si>
    <t>TAGE</t>
  </si>
  <si>
    <t>RA-65</t>
  </si>
  <si>
    <t>Material Kode</t>
  </si>
  <si>
    <t>SPEC001</t>
  </si>
  <si>
    <t>DESC</t>
  </si>
  <si>
    <t>ACAA</t>
  </si>
  <si>
    <t>ACAC</t>
  </si>
  <si>
    <t>ALCD</t>
  </si>
  <si>
    <t>ALCQ</t>
  </si>
  <si>
    <t>ANEA</t>
  </si>
  <si>
    <t>MILY</t>
  </si>
  <si>
    <t>RENACIT-11</t>
  </si>
  <si>
    <t>SBR 1502</t>
  </si>
  <si>
    <t>B-IIR X2</t>
  </si>
  <si>
    <t>Material</t>
  </si>
  <si>
    <t>Natural Rubber</t>
  </si>
  <si>
    <t>Synthetic Rubber</t>
  </si>
  <si>
    <t>Reclaim Rubber</t>
  </si>
  <si>
    <t>Filler</t>
  </si>
  <si>
    <t>Sustainable Filler</t>
  </si>
  <si>
    <t>Oil</t>
  </si>
  <si>
    <t>Sustainable Oil</t>
  </si>
  <si>
    <t>Chemical</t>
  </si>
  <si>
    <t>Sustainable Chemical</t>
  </si>
  <si>
    <t>Reinforcement</t>
  </si>
  <si>
    <t>Sustainable Reinforcement</t>
  </si>
  <si>
    <t>Total Material</t>
  </si>
  <si>
    <t>Material Sustainability</t>
  </si>
  <si>
    <t>NRAA</t>
  </si>
  <si>
    <t>NRAC</t>
  </si>
  <si>
    <t>NRAH</t>
  </si>
  <si>
    <t>BRDD</t>
  </si>
  <si>
    <t>BRDI</t>
  </si>
  <si>
    <t>EPDJ</t>
  </si>
  <si>
    <t>HRDF</t>
  </si>
  <si>
    <t>SBEA</t>
  </si>
  <si>
    <t>SBEE</t>
  </si>
  <si>
    <t>SBEF</t>
  </si>
  <si>
    <t>SBEG</t>
  </si>
  <si>
    <t>SBEH</t>
  </si>
  <si>
    <t>SBEK</t>
  </si>
  <si>
    <t>SBER</t>
  </si>
  <si>
    <t>SBET</t>
  </si>
  <si>
    <t>SBEV</t>
  </si>
  <si>
    <t>SBEX</t>
  </si>
  <si>
    <t>SPEC 001</t>
  </si>
  <si>
    <t>Comp'd</t>
  </si>
  <si>
    <t>WEIGHT (KG)</t>
  </si>
  <si>
    <t>Item Code</t>
  </si>
  <si>
    <t>PHR</t>
  </si>
  <si>
    <t>%</t>
  </si>
  <si>
    <t>Kg</t>
  </si>
  <si>
    <t>MDZ140R</t>
  </si>
  <si>
    <t>SIR-20</t>
  </si>
  <si>
    <t>N-660</t>
  </si>
  <si>
    <t>ESCOREZ 1102</t>
  </si>
  <si>
    <t>HS</t>
  </si>
  <si>
    <t>OKERIN 2122H</t>
  </si>
  <si>
    <t>CRYSTEX OT-20%</t>
  </si>
  <si>
    <t>ALCA</t>
  </si>
  <si>
    <t>CBS</t>
  </si>
  <si>
    <t>ALCC</t>
  </si>
  <si>
    <t>DPG</t>
  </si>
  <si>
    <t>CB-22</t>
  </si>
  <si>
    <t>CBAM</t>
  </si>
  <si>
    <t>N-234</t>
  </si>
  <si>
    <t>CWEM</t>
  </si>
  <si>
    <t>Ultrasil 7000</t>
  </si>
  <si>
    <t>MILM</t>
  </si>
  <si>
    <t>AKTIPLAST ST</t>
  </si>
  <si>
    <t>MILP</t>
  </si>
  <si>
    <t>X 50 S</t>
  </si>
  <si>
    <t>SLR 4630</t>
  </si>
  <si>
    <t>JSR HP755</t>
  </si>
  <si>
    <t>TAFX</t>
  </si>
  <si>
    <t>Sylvatraxx 6720</t>
  </si>
  <si>
    <t>ALCR</t>
  </si>
  <si>
    <t>RHENOGRAN HEXA-80</t>
  </si>
  <si>
    <t>CBAN</t>
  </si>
  <si>
    <t>N-375</t>
  </si>
  <si>
    <t>MILD</t>
  </si>
  <si>
    <t>SP-6700</t>
  </si>
  <si>
    <t>PBFH</t>
  </si>
  <si>
    <t>POLYESTER (1500 D/2) 54E</t>
  </si>
  <si>
    <t>SCJN</t>
  </si>
  <si>
    <t>STEEL CORD 3×0.27 HT</t>
  </si>
  <si>
    <t>NBCA</t>
  </si>
  <si>
    <t>NYLON 66 (840 D/2) 52E</t>
  </si>
  <si>
    <t>BWAB</t>
  </si>
  <si>
    <t>BEAD WIRE 1.26 MM</t>
  </si>
  <si>
    <t>TOTAL</t>
  </si>
  <si>
    <t>LS-HAF N-326</t>
  </si>
  <si>
    <t>CWEA</t>
  </si>
  <si>
    <t>CWEH</t>
  </si>
  <si>
    <t>CWEK</t>
  </si>
  <si>
    <t>CWES</t>
  </si>
  <si>
    <t>LOAK</t>
  </si>
  <si>
    <t>LOGA</t>
  </si>
  <si>
    <t>ACAB</t>
  </si>
  <si>
    <t>ACAE</t>
  </si>
  <si>
    <t>ALCU</t>
  </si>
  <si>
    <t>ALCW</t>
  </si>
  <si>
    <t>ANEF</t>
  </si>
  <si>
    <t>ANEG</t>
  </si>
  <si>
    <t>ANEJ</t>
  </si>
  <si>
    <t>ANEK</t>
  </si>
  <si>
    <t>ANEN</t>
  </si>
  <si>
    <t>ANEP</t>
  </si>
  <si>
    <t>COKC</t>
  </si>
  <si>
    <t>MIKJ</t>
  </si>
  <si>
    <t>MILA</t>
  </si>
  <si>
    <t>MILB</t>
  </si>
  <si>
    <t>MILS</t>
  </si>
  <si>
    <t>TAFA</t>
  </si>
  <si>
    <t>TAFR</t>
  </si>
  <si>
    <t>BWAA</t>
  </si>
  <si>
    <t>CFFA</t>
  </si>
  <si>
    <t>NBEE</t>
  </si>
  <si>
    <t>PAEC</t>
  </si>
  <si>
    <t>PAED</t>
  </si>
  <si>
    <t>PAEG</t>
  </si>
  <si>
    <t>PBFD</t>
  </si>
  <si>
    <t>RYBA</t>
  </si>
  <si>
    <t>RYBD</t>
  </si>
  <si>
    <t>SCJE</t>
  </si>
  <si>
    <t>SCJL</t>
  </si>
  <si>
    <t>SCJW</t>
  </si>
  <si>
    <t>PDAA</t>
  </si>
  <si>
    <t>SP-1068</t>
  </si>
  <si>
    <t>ELAZTOBOND A-250</t>
  </si>
  <si>
    <t>PBFG</t>
  </si>
  <si>
    <t>PBFE</t>
  </si>
  <si>
    <t>TAFQ</t>
  </si>
  <si>
    <t>STEEL CORD 3x0.27 HT</t>
  </si>
  <si>
    <t>SR HP755</t>
  </si>
  <si>
    <t>PAI IAN HWA CC(white filler)</t>
  </si>
  <si>
    <t>TBB9</t>
  </si>
  <si>
    <t>6PPr</t>
  </si>
  <si>
    <t>TMC</t>
  </si>
  <si>
    <t>SIR-10</t>
  </si>
  <si>
    <t>SBR 1723</t>
  </si>
  <si>
    <t>MBT</t>
  </si>
  <si>
    <t>TMO</t>
  </si>
  <si>
    <t>SUMIKANOL 620</t>
  </si>
  <si>
    <t>SUMIKANOL-507</t>
  </si>
  <si>
    <t>COMPOUND SO TREAD OES</t>
  </si>
  <si>
    <t>STEEL CORD 3x0,27 HT</t>
  </si>
  <si>
    <t>BEAD WIRE 1,26 MM</t>
  </si>
  <si>
    <t>SPEC 002</t>
  </si>
  <si>
    <t>SPEC 003</t>
  </si>
  <si>
    <t>POLYESTER (1500 D/2) 46E</t>
  </si>
  <si>
    <t>NYLON 66 (1260 D/2) 52E</t>
  </si>
  <si>
    <t>SIR-1</t>
  </si>
  <si>
    <t>SPEC 004</t>
  </si>
  <si>
    <t>% MATERIAL REPLACED</t>
  </si>
  <si>
    <t>CATEGORY</t>
  </si>
  <si>
    <t>WWC</t>
  </si>
  <si>
    <t>WWB</t>
  </si>
  <si>
    <t>RCBW</t>
  </si>
  <si>
    <t>YYYA</t>
  </si>
  <si>
    <t>YYYB</t>
  </si>
  <si>
    <t xml:space="preserve">    </t>
  </si>
  <si>
    <t>SPEC002</t>
  </si>
  <si>
    <t>SPEC003</t>
  </si>
  <si>
    <t>SPEC004</t>
  </si>
  <si>
    <t>SPEC005</t>
  </si>
  <si>
    <t>SPEC 007</t>
  </si>
  <si>
    <t>Detail Material</t>
  </si>
  <si>
    <t>XYZTU</t>
  </si>
  <si>
    <t>CODE MATERIAL REPLACED</t>
  </si>
  <si>
    <t>CODE MATERIAL SUSTAINABILIY</t>
  </si>
  <si>
    <t>% MATERIAL SUSTAINABILIY</t>
  </si>
  <si>
    <t>SUSTAINABILITY CLASSIFICATION</t>
  </si>
  <si>
    <t>MATERIAL SUSTAINABILITY REPLACEMENT</t>
  </si>
  <si>
    <t>Change Material - 1</t>
  </si>
  <si>
    <t>Change Material - 2</t>
  </si>
  <si>
    <t>Change Material - 3</t>
  </si>
  <si>
    <t>Author Now : Agusti</t>
  </si>
  <si>
    <t>INFORMATION LOG : Sedang dalam tahap pengembangam, segala kesalahan/error harap hubungi admin : rizkyagusti7@gmail.com</t>
  </si>
  <si>
    <t>Redo Value Material</t>
  </si>
  <si>
    <t>Author : Agusti</t>
  </si>
  <si>
    <t>Baris</t>
  </si>
  <si>
    <t>Kolom</t>
  </si>
  <si>
    <t>ID</t>
  </si>
  <si>
    <t>Waku Perubahan</t>
  </si>
  <si>
    <t>Spec</t>
  </si>
  <si>
    <t>Nama Material</t>
  </si>
  <si>
    <t>Sebelum</t>
  </si>
  <si>
    <t>Sesudah</t>
  </si>
  <si>
    <t xml:space="preserve">Redo Value Material </t>
  </si>
  <si>
    <t>No</t>
  </si>
  <si>
    <t>Tanggal</t>
  </si>
  <si>
    <t>Sheet</t>
  </si>
  <si>
    <t>*History lengkap tersedia di sheet hitory</t>
  </si>
  <si>
    <t>Material Baru</t>
  </si>
  <si>
    <t>Undo Material Replacement (Action ID: 49065531)</t>
  </si>
  <si>
    <t>Undo Material Replacement (Action ID: 48706883)</t>
  </si>
  <si>
    <t>Undo Material Replacement (Action ID: 48454727)</t>
  </si>
  <si>
    <t>Undo Material Replacement (Action ID: 46691555)</t>
  </si>
  <si>
    <t>Undo Material Replacement (Action ID: 43825008)</t>
  </si>
  <si>
    <t>Status</t>
  </si>
  <si>
    <t>Undo Material Replacement (Action ID: 49176148)</t>
  </si>
  <si>
    <t>Undo Material Replacement (Action ID: 49256758)</t>
  </si>
  <si>
    <t>Action ID</t>
  </si>
  <si>
    <t>Material Lama</t>
  </si>
  <si>
    <t>Perubahan</t>
  </si>
  <si>
    <t>Jenis</t>
  </si>
  <si>
    <t>Nilai Lama</t>
  </si>
  <si>
    <t>Nilai Baru</t>
  </si>
  <si>
    <t>Undo Material Replacement (Action ID: 49572086)</t>
  </si>
  <si>
    <t>Undo Material Replacement (Action ID: 49727836)</t>
  </si>
  <si>
    <t>Undo Material Replacement (Action ID: 49820664)</t>
  </si>
  <si>
    <t>Undo Material Replacement (Action ID: 49877879)</t>
  </si>
  <si>
    <t>Undo Material Replacement (Action ID: 49944312)</t>
  </si>
  <si>
    <t>UNDO REPLACED MATERIAL</t>
  </si>
  <si>
    <t>Replace Material HRDG</t>
  </si>
  <si>
    <t>Undo Material Replacement (Action ID: 50506926)</t>
  </si>
  <si>
    <t>Replace Material HRDG (Action ID: 50797129)</t>
  </si>
  <si>
    <t>Undo Material Replacement (Action ID: 50797129)</t>
  </si>
  <si>
    <t>Author : Agus</t>
  </si>
  <si>
    <t>Multiple Replace: HRDG -&gt; NEW-HRDG;  (Action ID: 61072695)</t>
  </si>
  <si>
    <t>Undo Multiple Material Replacement (Action ID: 61072695)</t>
  </si>
  <si>
    <t>Multiple Replace: HRDG -&gt; NEW-HRDG; SBDA -&gt; NEW-SBDA;  (Action ID: 61275723)</t>
  </si>
  <si>
    <t>Multiple Replace: HRDG -&gt; NEW-HRDG; SBDA -&gt; NEW-SBDA; BRDE -&gt; NEW-BRDE;  (Action ID: 61394887)</t>
  </si>
  <si>
    <t>Multiple Material Replacement (Action ID: 61804875)</t>
  </si>
  <si>
    <t>Undo Material Replacement (Action ID: 61804875)</t>
  </si>
  <si>
    <t>Multiple Material Replacement (Action ID: 61863699)</t>
  </si>
  <si>
    <t>Undo Material Replacement (Action ID: 61863699)</t>
  </si>
  <si>
    <t>Multiple Material Replacement (Action ID: 61902336)</t>
  </si>
  <si>
    <t>Undo Material Replacement (Action ID: 61902336)</t>
  </si>
  <si>
    <t>Multiple Material Replacement (Action ID: 62824844)</t>
  </si>
  <si>
    <t>Undo Material Replacement (Action ID: 62824844)</t>
  </si>
  <si>
    <t>Multiple Material Replacement (Action ID: 63080316)</t>
  </si>
  <si>
    <t>Multiple Material Replacement (Action ID: 63109918)</t>
  </si>
  <si>
    <t>Multiple Material Replacement (Action ID: 63145262)</t>
  </si>
  <si>
    <t>Multiple Material Replacement (Action ID: 63191180)</t>
  </si>
  <si>
    <t>Author : ASPAL</t>
  </si>
  <si>
    <t>Multiple Material Replacement (Action ID: ACT20250608175527434)</t>
  </si>
  <si>
    <t>Multiple Material Replacement (Action ID: 65436109)</t>
  </si>
  <si>
    <t>Multiple Material Replacement (Action ID: 65616812)</t>
  </si>
  <si>
    <t>Multiple Material Replacement (Action ID: 66229938)</t>
  </si>
  <si>
    <t>Multiple Material Replacement (Action ID: 66260516)</t>
  </si>
  <si>
    <t>Undo Material Replacement (Action ID: 66260516)</t>
  </si>
  <si>
    <t>Undo Material Replacement (Action ID: 66229938)</t>
  </si>
  <si>
    <t>Multiple Material Replacement (Action ID: 66394281)</t>
  </si>
  <si>
    <t>Undo Material Replacement (Action ID: 66394281)</t>
  </si>
  <si>
    <t>Multiple Material Replacement (Action ID: 66500852)</t>
  </si>
  <si>
    <t>Undo Material Replacement (Action ID: 66500852)</t>
  </si>
  <si>
    <t>Multiple Material Replacement (Action ID: 66800117)</t>
  </si>
  <si>
    <t>Undo Material Replacement (Action ID: 66800117)</t>
  </si>
  <si>
    <t>Multiple Material Replacement (Action ID: 85129320)</t>
  </si>
  <si>
    <t>Undo Material Replacement (Action ID: 85129320)</t>
  </si>
  <si>
    <t>Multiple Material Replacement (Action ID: 36531102)</t>
  </si>
  <si>
    <t>Undo Material Replacement (Action ID: 36531102)</t>
  </si>
  <si>
    <t>Multiple Material Replacement (Action ID: 37735805)</t>
  </si>
  <si>
    <t>Multiple Material Replacement (Action ID: 37798887)</t>
  </si>
  <si>
    <t>Undo Material Replacement (Action ID: 37798887)</t>
  </si>
  <si>
    <t>Undo Material Replacement (Action ID: 37735805)</t>
  </si>
  <si>
    <t>Kategori Material Sustainability</t>
  </si>
  <si>
    <t>Kondisi</t>
  </si>
  <si>
    <t>Kombinasi</t>
  </si>
  <si>
    <t>Material 1</t>
  </si>
  <si>
    <t>Improvement</t>
  </si>
  <si>
    <t>Kategori</t>
  </si>
  <si>
    <t>YES</t>
  </si>
  <si>
    <t>Material Diganti</t>
  </si>
  <si>
    <t>Material Pengganti</t>
  </si>
  <si>
    <t>Multiple Material Replacement (Action ID: 450421)</t>
  </si>
  <si>
    <t>Sustainability Per Category</t>
  </si>
  <si>
    <t>Undo Material Replacement (Action ID: 450421)</t>
  </si>
  <si>
    <t>Category</t>
  </si>
  <si>
    <t>Multiple Material Replacement (Action ID: 31893576)</t>
  </si>
  <si>
    <t>Multiple Material Replacement (Action ID: 34466281)</t>
  </si>
  <si>
    <t>Multiple Material Replacement (Action ID: 34835895)</t>
  </si>
  <si>
    <t>Multiple Material Replacement (Action ID: 35163121)</t>
  </si>
  <si>
    <t>Multiple Material Replacement (Action ID: 35297785)</t>
  </si>
  <si>
    <t>Undo Material Replacement (Action ID: 35297785)</t>
  </si>
  <si>
    <t>Undo Material Replacement (Action ID: 35163121)</t>
  </si>
  <si>
    <t>Multiple Material Replacement (Action ID: 35355836)</t>
  </si>
  <si>
    <t>Material 1 + 2</t>
  </si>
  <si>
    <t>Material 1 + 2 + 3</t>
  </si>
  <si>
    <t>Total (NWT) Production Tires</t>
  </si>
  <si>
    <t>Portion per size (%)</t>
  </si>
  <si>
    <t>Portion Material sustainability</t>
  </si>
  <si>
    <t>ALL CATEGORY</t>
  </si>
  <si>
    <t>Author : aGUSTI</t>
  </si>
  <si>
    <t>Undo Material Replacement (Action ID: 35355836)</t>
  </si>
  <si>
    <t>Undo Material Replacement (Action ID: 34835895)</t>
  </si>
  <si>
    <t>Undo Material Replacement (Action ID: 34466281)</t>
  </si>
  <si>
    <t>Undo Material Replacement (Action ID: 31893576)</t>
  </si>
  <si>
    <t>SISA NWT</t>
  </si>
  <si>
    <t>Multiple Material Replacement (Action ID: 38151355)</t>
  </si>
  <si>
    <t>Undo Material Replacement (Action ID: 38151355)</t>
  </si>
  <si>
    <t>Multiple Material Replacement (Action ID: 38532621)</t>
  </si>
  <si>
    <t>Undo Material Replacement (Action ID: 38532621)</t>
  </si>
  <si>
    <t>Multiple Material Replacement (Action ID: 38664004)</t>
  </si>
  <si>
    <t>Undo Material Replacement (Action ID: 38664004)</t>
  </si>
  <si>
    <t>Multiple Material Replacement (Action ID: 38744703)</t>
  </si>
  <si>
    <t>Undo Material Replacement (Action ID: 38744703)</t>
  </si>
  <si>
    <t>Multiple Material Replacement (Action ID: 38891438)</t>
  </si>
  <si>
    <t>Multiple Material Replacement (Action ID: 39914293)</t>
  </si>
  <si>
    <t>Multiple Material Replacement (Action ID: 39975578)</t>
  </si>
  <si>
    <t>Multiple Material Replacement (Action ID: 42068312)</t>
  </si>
  <si>
    <t>Multiple Material Replacement (Action ID: 42822770)</t>
  </si>
  <si>
    <t>Multiple Material Replacement (Action ID: 42926676)</t>
  </si>
  <si>
    <t>Multiple Material Replacement (Action ID: 45352441)</t>
  </si>
  <si>
    <t>Sustainability After:</t>
  </si>
  <si>
    <t>Change:</t>
  </si>
  <si>
    <t>Multiple Material Replacement (Action ID: 45470281)</t>
  </si>
  <si>
    <t>acaa</t>
  </si>
  <si>
    <t>sus-acaa</t>
  </si>
  <si>
    <t>loba</t>
  </si>
  <si>
    <t>sus-loba</t>
  </si>
  <si>
    <t>I</t>
  </si>
  <si>
    <t>REPLACE</t>
  </si>
  <si>
    <t>-</t>
  </si>
  <si>
    <t>LAIN</t>
  </si>
  <si>
    <t>Undo Material Replacement (Action ID: 84708188)</t>
  </si>
  <si>
    <t>Material Replacement (Action ID: 11/06/2025 23:53:20)</t>
  </si>
  <si>
    <t>Material Replacement (Action ID: 12/06/2025 00:12:52)</t>
  </si>
  <si>
    <t>Author : agus</t>
  </si>
  <si>
    <t>Material Replacement (Action ID: 12/06/2025 11:10:02)</t>
  </si>
  <si>
    <t>Author : gh</t>
  </si>
  <si>
    <t>Material Replacement (Action ID: 12/06/2025 18:43:19)</t>
  </si>
  <si>
    <t>Material Replacement (Action ID: 12/06/2025 18:44:58)</t>
  </si>
  <si>
    <t>Material Replacement (Action ID: 12/06/2025 18:45:59)</t>
  </si>
  <si>
    <t>Total NWT</t>
  </si>
  <si>
    <t>Material Replacement (Action ID: 12/06/2025 19:59:14)</t>
  </si>
  <si>
    <t>Author : gs</t>
  </si>
  <si>
    <t>sbda</t>
  </si>
  <si>
    <t>sus-sbda</t>
  </si>
  <si>
    <t>SUS-SBDA</t>
  </si>
  <si>
    <t>H</t>
  </si>
  <si>
    <t>INSERT_NEW_MATERIAL</t>
  </si>
  <si>
    <t>SET_NEW_MATERIAL_VALUE</t>
  </si>
  <si>
    <t>Material Replacement (Action ID: 12/06/2025 20:08:43)</t>
  </si>
  <si>
    <t>s</t>
  </si>
  <si>
    <t>Multiple Material Replacement (Action ID: 73590531)</t>
  </si>
  <si>
    <t>Material Replacement (Action ID: 12/06/2025 20:26:41)</t>
  </si>
  <si>
    <t>Undo Material Replacement (Action ID: 73590531)</t>
  </si>
  <si>
    <t>Multiple Material Replacement (Action ID: 75007023)</t>
  </si>
  <si>
    <t>Material Replacement (Action ID: 12/06/2025 20:50:18)</t>
  </si>
  <si>
    <t>Undo Material Replacement (Action ID: 75007023)</t>
  </si>
  <si>
    <t>Total Sustainable</t>
  </si>
  <si>
    <t>Multiple Material Replacement (Action ID: 81507438)</t>
  </si>
  <si>
    <t>Material Replacement (Action ID: 12/06/2025 22:38:38)</t>
  </si>
  <si>
    <t>Sustainability Before:</t>
  </si>
  <si>
    <t>Multiple Material Replacement (Action ID: 3513755)</t>
  </si>
  <si>
    <t>Material Replacement (Action ID: 13/06/2025 00:58:45)</t>
  </si>
  <si>
    <t>NWT Sebelum</t>
  </si>
  <si>
    <t>NWT Sesudah</t>
  </si>
  <si>
    <r>
      <t xml:space="preserve">KALKULASI KOMBINASI MATERIAL </t>
    </r>
    <r>
      <rPr>
        <b/>
        <i/>
        <sz val="20"/>
        <color theme="1"/>
        <rFont val="Calibri"/>
        <family val="2"/>
        <scheme val="minor"/>
      </rPr>
      <t>SUSTAINABILITY</t>
    </r>
  </si>
  <si>
    <r>
      <rPr>
        <b/>
        <i/>
        <sz val="20"/>
        <color theme="1"/>
        <rFont val="Calibri"/>
        <family val="2"/>
        <scheme val="minor"/>
      </rPr>
      <t>SUSTAINABILITY</t>
    </r>
    <r>
      <rPr>
        <b/>
        <sz val="20"/>
        <color theme="1"/>
        <rFont val="Calibri"/>
        <family val="2"/>
        <scheme val="minor"/>
      </rPr>
      <t xml:space="preserve"> KESELURUHAN</t>
    </r>
  </si>
  <si>
    <r>
      <t xml:space="preserve">Sebelum </t>
    </r>
    <r>
      <rPr>
        <b/>
        <i/>
        <sz val="20"/>
        <color theme="1"/>
        <rFont val="Calibri"/>
        <family val="2"/>
        <scheme val="minor"/>
      </rPr>
      <t>Replacement</t>
    </r>
  </si>
  <si>
    <r>
      <t xml:space="preserve">Sesudah </t>
    </r>
    <r>
      <rPr>
        <b/>
        <i/>
        <sz val="20"/>
        <color theme="1"/>
        <rFont val="Calibri"/>
        <family val="2"/>
        <scheme val="minor"/>
      </rPr>
      <t>Replacement</t>
    </r>
  </si>
  <si>
    <r>
      <rPr>
        <b/>
        <i/>
        <sz val="14"/>
        <color theme="1"/>
        <rFont val="Calibri"/>
        <family val="2"/>
        <scheme val="minor"/>
      </rPr>
      <t>Sustainability</t>
    </r>
    <r>
      <rPr>
        <b/>
        <sz val="14"/>
        <color theme="1"/>
        <rFont val="Calibri"/>
        <family val="2"/>
        <scheme val="minor"/>
      </rPr>
      <t xml:space="preserve"> Sebelum</t>
    </r>
  </si>
  <si>
    <r>
      <rPr>
        <b/>
        <i/>
        <sz val="14"/>
        <color theme="1"/>
        <rFont val="Calibri"/>
        <family val="2"/>
        <scheme val="minor"/>
      </rPr>
      <t>Sustainability</t>
    </r>
    <r>
      <rPr>
        <b/>
        <sz val="14"/>
        <color theme="1"/>
        <rFont val="Calibri"/>
        <family val="2"/>
        <scheme val="minor"/>
      </rPr>
      <t xml:space="preserve"> Sesudah</t>
    </r>
  </si>
  <si>
    <r>
      <rPr>
        <b/>
        <i/>
        <sz val="20"/>
        <color theme="1"/>
        <rFont val="Calibri"/>
        <family val="2"/>
        <scheme val="minor"/>
      </rPr>
      <t>SUSTAINABILITY</t>
    </r>
    <r>
      <rPr>
        <b/>
        <sz val="20"/>
        <color theme="1"/>
        <rFont val="Calibri"/>
        <family val="2"/>
        <scheme val="minor"/>
      </rPr>
      <t xml:space="preserve">  MATERIAL</t>
    </r>
  </si>
  <si>
    <t>Undo Material Replacement (Action ID: 3513755)</t>
  </si>
  <si>
    <t>Multiple Material Replacement (Action ID: 3892069)</t>
  </si>
  <si>
    <t>Material Replacement (Action ID: 13/06/2025 01:05:02)</t>
  </si>
  <si>
    <t>Multiple Material Replacement (Action ID: 30337623)</t>
  </si>
  <si>
    <t>Material Replacement (Action ID: 13/06/2025 08:25:43)</t>
  </si>
  <si>
    <t>Multiple Material Replacement (Action ID: 30900924)</t>
  </si>
  <si>
    <t>Material Replacement (Action ID: 13/06/2025 08:35:08)</t>
  </si>
  <si>
    <t>Multiple Material Replacement (Action ID: 35891809)</t>
  </si>
  <si>
    <t>Material Replacement (Action ID: 13/06/2025 09:58:21)</t>
  </si>
  <si>
    <t>Multiple Material Replacement (Action ID: 36576555)</t>
  </si>
  <si>
    <t>Material Replacement (Action ID: 13/06/2025 10:09:45)</t>
  </si>
  <si>
    <t>0,00</t>
  </si>
  <si>
    <t>Multiple Material Replacement (Action ID: 52354902)</t>
  </si>
  <si>
    <t>Material Replacement (Action ID: 15/06/2025 14:32:43)</t>
  </si>
  <si>
    <t>Undo Material Replacement (Action ID: 52354902)</t>
  </si>
  <si>
    <t>Undo Material Replacement (Action ID: 36576555)</t>
  </si>
  <si>
    <t>SUS-CBAC</t>
  </si>
  <si>
    <t>Multiple Material Replacement (Action ID: 58886039)</t>
  </si>
  <si>
    <t>Material Replacement (Action ID: 15/06/2025 16:21:55)</t>
  </si>
  <si>
    <t>Multiple Material Replacement (Action ID: 60119848)</t>
  </si>
  <si>
    <t>Material Replacement (Action ID: 15/06/2025 16:42:21)</t>
  </si>
  <si>
    <t>Author : agusti</t>
  </si>
  <si>
    <t>Permanenkan Perubahan (Action ID: 60119848)</t>
  </si>
  <si>
    <t>Multiple Material Replacement (Action ID: 83199930)</t>
  </si>
  <si>
    <t>Material Replacement (Action ID: 15/06/2025 23:06:45)</t>
  </si>
  <si>
    <t>Multiple Material Replacement (Action ID: 83905281)</t>
  </si>
  <si>
    <t>Material Replacement (Action ID: 15/06/2025 23:18:30)</t>
  </si>
  <si>
    <t>Multiple Material Replacement (Action ID: 84231312)</t>
  </si>
  <si>
    <t>Material Replacement (Action ID: 15/06/2025 23:24:01)</t>
  </si>
  <si>
    <t>Permanenkan Perubahan (Action ID: 84231312)</t>
  </si>
  <si>
    <t>SUSTAINABLE FILLER</t>
  </si>
  <si>
    <t>Multiple Material Replacement (Action ID: 85499633)</t>
  </si>
  <si>
    <t>Material Replacement (Action ID: 15/06/2025 23:45:10)</t>
  </si>
  <si>
    <t>Permanenkan Perubahan (Action ID: 85499633)</t>
  </si>
  <si>
    <t>Permanenkan Perubahan (Action ID: 83905281)</t>
  </si>
  <si>
    <t>Multiple Material Replacement (Action ID: 86264562)</t>
  </si>
  <si>
    <t>Material Replacement (Action ID: 15/06/2025 23:57:53)</t>
  </si>
  <si>
    <t>Undo Material Replacement (Action ID: 86264562)</t>
  </si>
  <si>
    <t>Multiple Material Replacement (Action ID: 86376812)</t>
  </si>
  <si>
    <t>Material Replacement (Action ID: 15/06/2025 23:59:47)</t>
  </si>
  <si>
    <t>Permanenkan Perubahan (Action ID: 86376812)</t>
  </si>
  <si>
    <t>Permanenkan Perubahan (Action ID: 83199930)</t>
  </si>
  <si>
    <t>Permanenkan Perubahan (Action ID: 58886039)</t>
  </si>
  <si>
    <t>Permanenkan Perubahan (Action ID: 35891809)</t>
  </si>
  <si>
    <t>Permanenkan Perubahan (Action ID: 30900924)</t>
  </si>
  <si>
    <t>Permanenkan Perubahan (Action ID: 30337623)</t>
  </si>
  <si>
    <t>cbab</t>
  </si>
  <si>
    <t>sus-cbab</t>
  </si>
  <si>
    <t>SUS-CBAB</t>
  </si>
  <si>
    <t>RECLAIM RUBBER</t>
  </si>
  <si>
    <t>Row 38 Col I</t>
  </si>
  <si>
    <t>Multiple Material Replacement (Action ID: 35387941)</t>
  </si>
  <si>
    <t>Material Replacement (Action ID: 16/06/2025 09:49:55)</t>
  </si>
  <si>
    <t>Permanenkan Perubahan (Action ID: 35387941)</t>
  </si>
  <si>
    <t>BUILD  VERSION 1.4 | LAST UPDATE 16/06/2025 | ACTIVE</t>
  </si>
  <si>
    <t>cbac</t>
  </si>
  <si>
    <t>sus-cbac</t>
  </si>
  <si>
    <t>16/06 11:09</t>
  </si>
  <si>
    <t>Row 99 Col I</t>
  </si>
  <si>
    <t>0,43</t>
  </si>
  <si>
    <t>Row 99 Col H</t>
  </si>
  <si>
    <t>0,09</t>
  </si>
  <si>
    <t>0,07</t>
  </si>
  <si>
    <t>Multiple Material Replacement (Action ID: 40177324)</t>
  </si>
  <si>
    <t>Material Replacement (Action ID: 16/06/2025 11:09:41)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</si>
</sst>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"/>
    <numFmt numFmtId="167" formatCode="0.00000"/>
    <numFmt numFmtId="168" formatCode="dd/mm\ hh:mm"/>
    <numFmt numFmtId="169" formatCode="0.0%"/>
    <numFmt numFmtId="170" formatCode="0.00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1"/>
      <color rgb="FF80808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rgb="FFFF0000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8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indexed="8"/>
      </right>
      <top style="medium">
        <color indexed="8"/>
      </top>
      <bottom style="thin">
        <color auto="1"/>
      </bottom>
      <diagonal/>
    </border>
    <border>
      <left style="medium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8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8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indexed="8"/>
      </right>
      <top style="medium">
        <color indexed="8"/>
      </top>
      <bottom style="thin">
        <color auto="1"/>
      </bottom>
      <diagonal/>
    </border>
    <border>
      <left style="medium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8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8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7">
    <xf numFmtId="0" fontId="0" fillId="0" borderId="0" xfId="0"/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0" fillId="0" borderId="1" xfId="0" applyBorder="1"/>
    <xf numFmtId="164" fontId="0" fillId="0" borderId="0" xfId="0" applyNumberFormat="1"/>
    <xf numFmtId="0" fontId="3" fillId="0" borderId="1" xfId="0" applyFont="1" applyBorder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3" fillId="0" borderId="0" xfId="0" applyFont="1"/>
    <xf numFmtId="0" fontId="3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2" fillId="0" borderId="6" xfId="0" applyFont="1" applyBorder="1" applyAlignment="1">
      <alignment vertical="center" wrapText="1"/>
    </xf>
    <xf numFmtId="10" fontId="0" fillId="0" borderId="7" xfId="1" applyNumberFormat="1" applyFont="1" applyBorder="1"/>
    <xf numFmtId="10" fontId="0" fillId="0" borderId="7" xfId="0" applyNumberFormat="1" applyBorder="1"/>
    <xf numFmtId="10" fontId="0" fillId="0" borderId="8" xfId="0" applyNumberFormat="1" applyBorder="1"/>
    <xf numFmtId="0" fontId="0" fillId="0" borderId="6" xfId="0" applyBorder="1" applyAlignment="1">
      <alignment vertical="center" wrapText="1"/>
    </xf>
    <xf numFmtId="0" fontId="3" fillId="3" borderId="6" xfId="0" applyFont="1" applyFill="1" applyBorder="1" applyAlignment="1">
      <alignment vertical="center" wrapText="1"/>
    </xf>
    <xf numFmtId="167" fontId="0" fillId="0" borderId="7" xfId="0" quotePrefix="1" applyNumberFormat="1" applyBorder="1" applyAlignment="1">
      <alignment horizontal="right" vertical="center"/>
    </xf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7" fillId="0" borderId="7" xfId="0" applyFont="1" applyBorder="1"/>
    <xf numFmtId="0" fontId="11" fillId="0" borderId="7" xfId="0" applyFont="1" applyBorder="1"/>
    <xf numFmtId="0" fontId="10" fillId="0" borderId="9" xfId="0" applyFont="1" applyBorder="1"/>
    <xf numFmtId="0" fontId="11" fillId="0" borderId="7" xfId="0" applyFont="1" applyBorder="1" applyAlignment="1">
      <alignment horizontal="right"/>
    </xf>
    <xf numFmtId="9" fontId="11" fillId="0" borderId="7" xfId="1" applyFont="1" applyBorder="1" applyAlignment="1">
      <alignment horizontal="right"/>
    </xf>
    <xf numFmtId="22" fontId="0" fillId="0" borderId="0" xfId="0" applyNumberFormat="1"/>
    <xf numFmtId="0" fontId="5" fillId="0" borderId="7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165" fontId="4" fillId="0" borderId="7" xfId="0" applyNumberFormat="1" applyFont="1" applyBorder="1" applyAlignment="1">
      <alignment horizontal="right" vertical="center" wrapText="1"/>
    </xf>
    <xf numFmtId="0" fontId="0" fillId="0" borderId="7" xfId="0" applyBorder="1"/>
    <xf numFmtId="0" fontId="3" fillId="0" borderId="0" xfId="0" applyFont="1" applyAlignment="1">
      <alignment horizontal="center"/>
    </xf>
    <xf numFmtId="0" fontId="0" fillId="0" borderId="7" xfId="0" applyFont="1" applyBorder="1" applyAlignment="1"/>
    <xf numFmtId="0" fontId="3" fillId="0" borderId="7" xfId="0" applyFont="1" applyBorder="1"/>
    <xf numFmtId="168" fontId="0" fillId="0" borderId="7" xfId="0" applyNumberFormat="1" applyFont="1" applyBorder="1" applyAlignment="1"/>
    <xf numFmtId="168" fontId="0" fillId="0" borderId="7" xfId="0" applyNumberFormat="1" applyBorder="1"/>
    <xf numFmtId="2" fontId="0" fillId="0" borderId="7" xfId="0" applyNumberFormat="1" applyFont="1" applyBorder="1" applyAlignment="1"/>
    <xf numFmtId="2" fontId="0" fillId="0" borderId="7" xfId="0" applyNumberFormat="1" applyBorder="1"/>
    <xf numFmtId="0" fontId="13" fillId="0" borderId="7" xfId="0" applyFont="1" applyBorder="1" applyAlignment="1"/>
    <xf numFmtId="10" fontId="0" fillId="0" borderId="0" xfId="0" applyNumberFormat="1"/>
    <xf numFmtId="0" fontId="3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vertical="center" wrapText="1"/>
    </xf>
    <xf numFmtId="0" fontId="3" fillId="0" borderId="7" xfId="0" applyFont="1" applyFill="1" applyBorder="1" applyAlignment="1">
      <alignment horizontal="center"/>
    </xf>
    <xf numFmtId="164" fontId="0" fillId="0" borderId="7" xfId="0" applyNumberFormat="1" applyBorder="1" applyAlignment="1">
      <alignment horizontal="center" vertical="center" wrapText="1"/>
    </xf>
    <xf numFmtId="0" fontId="3" fillId="0" borderId="7" xfId="0" applyFont="1" applyBorder="1" applyAlignment="1">
      <alignment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/>
    </xf>
    <xf numFmtId="9" fontId="0" fillId="0" borderId="7" xfId="1" applyFont="1" applyBorder="1"/>
    <xf numFmtId="10" fontId="0" fillId="4" borderId="18" xfId="0" applyNumberFormat="1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10" fontId="0" fillId="0" borderId="25" xfId="0" applyNumberFormat="1" applyBorder="1"/>
    <xf numFmtId="10" fontId="0" fillId="4" borderId="25" xfId="0" applyNumberFormat="1" applyFill="1" applyBorder="1"/>
    <xf numFmtId="0" fontId="0" fillId="0" borderId="26" xfId="0" applyBorder="1"/>
    <xf numFmtId="0" fontId="0" fillId="0" borderId="25" xfId="0" applyBorder="1"/>
    <xf numFmtId="9" fontId="0" fillId="0" borderId="7" xfId="0" applyNumberFormat="1" applyBorder="1"/>
    <xf numFmtId="9" fontId="0" fillId="0" borderId="23" xfId="0" applyNumberFormat="1" applyBorder="1"/>
    <xf numFmtId="10" fontId="0" fillId="4" borderId="26" xfId="0" applyNumberFormat="1" applyFill="1" applyBorder="1"/>
    <xf numFmtId="0" fontId="3" fillId="4" borderId="27" xfId="0" applyFont="1" applyFill="1" applyBorder="1" applyAlignment="1">
      <alignment vertical="center" wrapText="1"/>
    </xf>
    <xf numFmtId="10" fontId="0" fillId="0" borderId="25" xfId="1" applyNumberFormat="1" applyFont="1" applyBorder="1"/>
    <xf numFmtId="0" fontId="15" fillId="0" borderId="7" xfId="0" applyFont="1" applyFill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10" fontId="0" fillId="0" borderId="0" xfId="1" applyNumberFormat="1" applyFont="1"/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10" fontId="0" fillId="0" borderId="0" xfId="1" applyNumberFormat="1" applyFont="1" applyAlignment="1">
      <alignment horizontal="left" vertical="center"/>
    </xf>
    <xf numFmtId="167" fontId="0" fillId="0" borderId="0" xfId="0" applyNumberFormat="1"/>
    <xf numFmtId="166" fontId="0" fillId="0" borderId="0" xfId="0" applyNumberFormat="1"/>
    <xf numFmtId="164" fontId="0" fillId="0" borderId="7" xfId="0" applyNumberFormat="1" applyBorder="1" applyAlignment="1">
      <alignment vertical="center" wrapText="1"/>
    </xf>
    <xf numFmtId="164" fontId="3" fillId="0" borderId="7" xfId="0" applyNumberFormat="1" applyFont="1" applyBorder="1" applyAlignment="1">
      <alignment horizontal="right"/>
    </xf>
    <xf numFmtId="0" fontId="4" fillId="0" borderId="7" xfId="0" applyFont="1" applyBorder="1" applyAlignment="1">
      <alignment vertical="center" wrapText="1"/>
    </xf>
    <xf numFmtId="10" fontId="0" fillId="0" borderId="0" xfId="1" applyNumberFormat="1" applyFont="1" applyBorder="1"/>
    <xf numFmtId="0" fontId="14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7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left" vertical="center" wrapText="1"/>
    </xf>
    <xf numFmtId="0" fontId="16" fillId="0" borderId="7" xfId="0" applyFont="1" applyBorder="1"/>
    <xf numFmtId="0" fontId="14" fillId="0" borderId="14" xfId="0" applyFont="1" applyBorder="1" applyAlignment="1">
      <alignment horizontal="center"/>
    </xf>
    <xf numFmtId="0" fontId="16" fillId="0" borderId="7" xfId="0" applyFont="1" applyBorder="1" applyAlignment="1">
      <alignment horizontal="left" vertical="center" wrapText="1"/>
    </xf>
    <xf numFmtId="0" fontId="16" fillId="0" borderId="9" xfId="0" applyFont="1" applyBorder="1"/>
    <xf numFmtId="0" fontId="16" fillId="0" borderId="0" xfId="0" applyFont="1" applyBorder="1"/>
    <xf numFmtId="0" fontId="14" fillId="0" borderId="7" xfId="0" applyFont="1" applyBorder="1"/>
    <xf numFmtId="0" fontId="14" fillId="0" borderId="7" xfId="0" applyFont="1" applyFill="1" applyBorder="1" applyAlignment="1">
      <alignment horizontal="left" vertical="center" wrapText="1"/>
    </xf>
    <xf numFmtId="0" fontId="16" fillId="0" borderId="7" xfId="0" applyFont="1" applyBorder="1" applyAlignment="1">
      <alignment vertical="center" wrapText="1"/>
    </xf>
    <xf numFmtId="167" fontId="16" fillId="0" borderId="7" xfId="0" applyNumberFormat="1" applyFont="1" applyBorder="1" applyAlignment="1">
      <alignment vertical="center" wrapText="1"/>
    </xf>
    <xf numFmtId="0" fontId="0" fillId="0" borderId="32" xfId="0" applyBorder="1"/>
    <xf numFmtId="9" fontId="0" fillId="0" borderId="14" xfId="1" applyFont="1" applyBorder="1"/>
    <xf numFmtId="10" fontId="0" fillId="0" borderId="31" xfId="0" applyNumberFormat="1" applyBorder="1"/>
    <xf numFmtId="10" fontId="0" fillId="4" borderId="7" xfId="0" applyNumberFormat="1" applyFill="1" applyBorder="1"/>
    <xf numFmtId="0" fontId="3" fillId="2" borderId="7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66" fontId="3" fillId="0" borderId="7" xfId="0" applyNumberFormat="1" applyFont="1" applyBorder="1" applyAlignment="1">
      <alignment horizontal="right" vertical="center" wrapText="1"/>
    </xf>
    <xf numFmtId="165" fontId="0" fillId="0" borderId="7" xfId="0" applyNumberFormat="1" applyBorder="1" applyAlignment="1">
      <alignment horizontal="center" vertical="center" wrapText="1"/>
    </xf>
    <xf numFmtId="10" fontId="0" fillId="0" borderId="7" xfId="0" applyNumberFormat="1" applyBorder="1" applyAlignment="1">
      <alignment horizontal="center" vertical="center" wrapText="1"/>
    </xf>
    <xf numFmtId="166" fontId="3" fillId="0" borderId="7" xfId="0" applyNumberFormat="1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64" fontId="3" fillId="0" borderId="7" xfId="0" applyNumberFormat="1" applyFont="1" applyBorder="1" applyAlignment="1">
      <alignment horizontal="right" vertical="center"/>
    </xf>
    <xf numFmtId="0" fontId="3" fillId="3" borderId="7" xfId="0" applyFont="1" applyFill="1" applyBorder="1" applyAlignment="1">
      <alignment vertical="center" wrapText="1"/>
    </xf>
    <xf numFmtId="165" fontId="3" fillId="0" borderId="7" xfId="0" applyNumberFormat="1" applyFont="1" applyBorder="1" applyAlignment="1">
      <alignment horizontal="center" vertical="center" wrapText="1"/>
    </xf>
    <xf numFmtId="9" fontId="3" fillId="0" borderId="7" xfId="0" applyNumberFormat="1" applyFont="1" applyBorder="1" applyAlignment="1">
      <alignment horizontal="center" vertical="center" wrapText="1"/>
    </xf>
    <xf numFmtId="0" fontId="3" fillId="4" borderId="7" xfId="0" applyFont="1" applyFill="1" applyBorder="1" applyAlignment="1">
      <alignment vertical="center" wrapText="1"/>
    </xf>
    <xf numFmtId="10" fontId="3" fillId="0" borderId="7" xfId="0" applyNumberFormat="1" applyFont="1" applyBorder="1" applyAlignment="1">
      <alignment horizontal="center" vertical="center" wrapText="1"/>
    </xf>
    <xf numFmtId="0" fontId="3" fillId="5" borderId="7" xfId="0" applyFont="1" applyFill="1" applyBorder="1" applyAlignment="1">
      <alignment vertical="center" wrapText="1"/>
    </xf>
    <xf numFmtId="1" fontId="0" fillId="0" borderId="7" xfId="0" applyNumberFormat="1" applyBorder="1" applyAlignment="1">
      <alignment vertical="center" wrapText="1"/>
    </xf>
    <xf numFmtId="166" fontId="0" fillId="0" borderId="7" xfId="0" applyNumberFormat="1" applyBorder="1" applyAlignment="1">
      <alignment horizontal="right" vertical="center" wrapText="1"/>
    </xf>
    <xf numFmtId="0" fontId="0" fillId="0" borderId="7" xfId="0" applyBorder="1" applyAlignment="1">
      <alignment horizontal="left" vertical="center" wrapText="1"/>
    </xf>
    <xf numFmtId="164" fontId="3" fillId="0" borderId="7" xfId="0" applyNumberFormat="1" applyFont="1" applyBorder="1" applyAlignment="1">
      <alignment horizontal="right" vertical="center" wrapText="1"/>
    </xf>
    <xf numFmtId="164" fontId="0" fillId="0" borderId="7" xfId="0" applyNumberFormat="1" applyBorder="1" applyAlignment="1">
      <alignment horizontal="right" vertical="center" wrapText="1"/>
    </xf>
    <xf numFmtId="3" fontId="3" fillId="0" borderId="7" xfId="0" applyNumberFormat="1" applyFont="1" applyBorder="1" applyAlignment="1">
      <alignment horizontal="right" vertical="center" wrapText="1"/>
    </xf>
    <xf numFmtId="1" fontId="3" fillId="0" borderId="7" xfId="0" applyNumberFormat="1" applyFont="1" applyBorder="1" applyAlignment="1">
      <alignment vertical="center" wrapText="1"/>
    </xf>
    <xf numFmtId="164" fontId="0" fillId="0" borderId="7" xfId="0" applyNumberFormat="1" applyBorder="1" applyAlignment="1">
      <alignment horizontal="right"/>
    </xf>
    <xf numFmtId="165" fontId="0" fillId="0" borderId="7" xfId="0" applyNumberFormat="1" applyBorder="1" applyAlignment="1">
      <alignment horizontal="right" vertical="center" wrapText="1"/>
    </xf>
    <xf numFmtId="0" fontId="0" fillId="0" borderId="7" xfId="0" applyBorder="1" applyAlignment="1">
      <alignment horizontal="right"/>
    </xf>
    <xf numFmtId="165" fontId="0" fillId="0" borderId="7" xfId="0" applyNumberFormat="1" applyBorder="1" applyAlignment="1">
      <alignment vertical="center" wrapText="1"/>
    </xf>
    <xf numFmtId="0" fontId="0" fillId="0" borderId="7" xfId="0" applyBorder="1" applyAlignment="1">
      <alignment horizontal="right" vertical="center" wrapText="1"/>
    </xf>
    <xf numFmtId="164" fontId="3" fillId="0" borderId="7" xfId="0" applyNumberFormat="1" applyFont="1" applyBorder="1"/>
    <xf numFmtId="9" fontId="0" fillId="0" borderId="7" xfId="0" applyNumberFormat="1" applyBorder="1" applyAlignment="1">
      <alignment horizontal="center" vertical="center" wrapText="1"/>
    </xf>
    <xf numFmtId="49" fontId="2" fillId="0" borderId="7" xfId="0" applyNumberFormat="1" applyFont="1" applyBorder="1" applyAlignment="1">
      <alignment vertical="center" wrapText="1"/>
    </xf>
    <xf numFmtId="0" fontId="0" fillId="0" borderId="7" xfId="0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9" fontId="0" fillId="0" borderId="0" xfId="1" applyFont="1"/>
    <xf numFmtId="169" fontId="0" fillId="0" borderId="0" xfId="1" applyNumberFormat="1" applyFont="1"/>
    <xf numFmtId="0" fontId="0" fillId="0" borderId="0" xfId="0" applyFont="1" applyAlignment="1">
      <alignment horizontal="left" vertical="center"/>
    </xf>
    <xf numFmtId="0" fontId="0" fillId="0" borderId="7" xfId="0" applyFont="1" applyBorder="1" applyAlignment="1">
      <alignment vertical="center" wrapText="1"/>
    </xf>
    <xf numFmtId="164" fontId="0" fillId="0" borderId="7" xfId="0" applyNumberFormat="1" applyFont="1" applyBorder="1" applyAlignment="1">
      <alignment horizontal="right" vertical="center" wrapText="1"/>
    </xf>
    <xf numFmtId="1" fontId="0" fillId="0" borderId="7" xfId="0" applyNumberFormat="1" applyFont="1" applyBorder="1" applyAlignment="1">
      <alignment vertical="center" wrapText="1"/>
    </xf>
    <xf numFmtId="166" fontId="0" fillId="0" borderId="7" xfId="0" applyNumberFormat="1" applyFont="1" applyBorder="1" applyAlignment="1">
      <alignment horizontal="right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0" fontId="3" fillId="0" borderId="34" xfId="0" applyFont="1" applyBorder="1"/>
    <xf numFmtId="0" fontId="3" fillId="0" borderId="35" xfId="0" applyFont="1" applyBorder="1"/>
    <xf numFmtId="0" fontId="2" fillId="0" borderId="36" xfId="0" applyFont="1" applyBorder="1" applyAlignment="1">
      <alignment vertical="center" wrapText="1"/>
    </xf>
    <xf numFmtId="10" fontId="0" fillId="0" borderId="37" xfId="1" applyNumberFormat="1" applyFont="1" applyBorder="1"/>
    <xf numFmtId="10" fontId="0" fillId="0" borderId="38" xfId="1" applyNumberFormat="1" applyFont="1" applyBorder="1"/>
    <xf numFmtId="0" fontId="0" fillId="0" borderId="36" xfId="0" applyBorder="1" applyAlignment="1">
      <alignment vertical="center" wrapText="1"/>
    </xf>
    <xf numFmtId="0" fontId="3" fillId="3" borderId="36" xfId="0" applyFont="1" applyFill="1" applyBorder="1" applyAlignment="1">
      <alignment vertical="center" wrapText="1"/>
    </xf>
    <xf numFmtId="10" fontId="0" fillId="0" borderId="37" xfId="0" applyNumberFormat="1" applyBorder="1"/>
    <xf numFmtId="10" fontId="0" fillId="0" borderId="38" xfId="0" applyNumberFormat="1" applyBorder="1"/>
    <xf numFmtId="0" fontId="3" fillId="4" borderId="39" xfId="0" applyFont="1" applyFill="1" applyBorder="1" applyAlignment="1">
      <alignment vertical="center" wrapText="1"/>
    </xf>
    <xf numFmtId="10" fontId="0" fillId="0" borderId="40" xfId="1" applyNumberFormat="1" applyFont="1" applyBorder="1"/>
    <xf numFmtId="10" fontId="0" fillId="0" borderId="41" xfId="1" applyNumberFormat="1" applyFont="1" applyBorder="1"/>
    <xf numFmtId="170" fontId="16" fillId="0" borderId="37" xfId="1" applyNumberFormat="1" applyFont="1" applyBorder="1"/>
    <xf numFmtId="0" fontId="14" fillId="0" borderId="37" xfId="0" applyFont="1" applyBorder="1" applyAlignment="1">
      <alignment horizontal="center" vertical="center"/>
    </xf>
    <xf numFmtId="170" fontId="14" fillId="4" borderId="37" xfId="1" applyNumberFormat="1" applyFont="1" applyFill="1" applyBorder="1"/>
    <xf numFmtId="167" fontId="16" fillId="4" borderId="7" xfId="0" applyNumberFormat="1" applyFont="1" applyFill="1" applyBorder="1" applyAlignment="1">
      <alignment vertical="center" wrapText="1"/>
    </xf>
    <xf numFmtId="170" fontId="14" fillId="4" borderId="18" xfId="1" applyNumberFormat="1" applyFont="1" applyFill="1" applyBorder="1" applyAlignment="1">
      <alignment horizontal="center" vertical="center" wrapText="1"/>
    </xf>
    <xf numFmtId="170" fontId="14" fillId="4" borderId="7" xfId="1" applyNumberFormat="1" applyFont="1" applyFill="1" applyBorder="1" applyAlignment="1">
      <alignment horizontal="center" vertical="center" wrapText="1"/>
    </xf>
    <xf numFmtId="170" fontId="16" fillId="0" borderId="7" xfId="1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vertical="center" wrapText="1"/>
    </xf>
    <xf numFmtId="166" fontId="0" fillId="0" borderId="0" xfId="0" applyNumberFormat="1" applyAlignment="1">
      <alignment horizontal="left" vertical="center"/>
    </xf>
    <xf numFmtId="170" fontId="7" fillId="4" borderId="18" xfId="1" applyNumberFormat="1" applyFont="1" applyFill="1" applyBorder="1" applyAlignment="1">
      <alignment horizontal="center" vertical="center" wrapText="1"/>
    </xf>
    <xf numFmtId="170" fontId="11" fillId="0" borderId="18" xfId="1" applyNumberFormat="1" applyFont="1" applyBorder="1" applyAlignment="1">
      <alignment horizontal="center" vertical="center" wrapText="1"/>
    </xf>
    <xf numFmtId="0" fontId="19" fillId="0" borderId="7" xfId="0" applyFont="1" applyBorder="1" applyAlignment="1">
      <alignment horizontal="left" vertical="center" wrapText="1"/>
    </xf>
    <xf numFmtId="0" fontId="0" fillId="0" borderId="0" xfId="0" applyFont="1"/>
    <xf numFmtId="0" fontId="0" fillId="0" borderId="37" xfId="0" applyFont="1" applyBorder="1"/>
    <xf numFmtId="164" fontId="0" fillId="0" borderId="37" xfId="0" applyNumberFormat="1" applyFont="1" applyBorder="1" applyAlignment="1">
      <alignment horizontal="right"/>
    </xf>
    <xf numFmtId="170" fontId="7" fillId="4" borderId="7" xfId="1" applyNumberFormat="1" applyFont="1" applyFill="1" applyBorder="1" applyAlignment="1">
      <alignment horizontal="center"/>
    </xf>
    <xf numFmtId="0" fontId="5" fillId="0" borderId="37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165" fontId="4" fillId="0" borderId="37" xfId="0" applyNumberFormat="1" applyFont="1" applyBorder="1" applyAlignment="1">
      <alignment horizontal="right" vertical="center" wrapText="1"/>
    </xf>
    <xf numFmtId="167" fontId="0" fillId="0" borderId="37" xfId="0" quotePrefix="1" applyNumberFormat="1" applyFont="1" applyBorder="1" applyAlignment="1">
      <alignment horizontal="right" vertical="center"/>
    </xf>
    <xf numFmtId="0" fontId="0" fillId="0" borderId="37" xfId="0" applyFont="1" applyBorder="1" applyAlignment="1">
      <alignment vertical="center" wrapText="1"/>
    </xf>
    <xf numFmtId="164" fontId="0" fillId="0" borderId="37" xfId="0" applyNumberFormat="1" applyFont="1" applyBorder="1" applyAlignment="1">
      <alignment horizontal="right" vertical="center" wrapText="1"/>
    </xf>
    <xf numFmtId="1" fontId="0" fillId="0" borderId="37" xfId="0" applyNumberFormat="1" applyFont="1" applyBorder="1" applyAlignment="1">
      <alignment vertical="center" wrapText="1"/>
    </xf>
    <xf numFmtId="166" fontId="0" fillId="0" borderId="37" xfId="0" applyNumberFormat="1" applyFont="1" applyBorder="1" applyAlignment="1">
      <alignment horizontal="right" vertical="center" wrapText="1"/>
    </xf>
    <xf numFmtId="9" fontId="11" fillId="4" borderId="7" xfId="1" applyFont="1" applyFill="1" applyBorder="1" applyAlignment="1">
      <alignment horizontal="right"/>
    </xf>
    <xf numFmtId="167" fontId="0" fillId="0" borderId="37" xfId="0" quotePrefix="1" applyNumberFormat="1" applyBorder="1" applyAlignment="1">
      <alignment horizontal="right" vertical="center"/>
    </xf>
    <xf numFmtId="0" fontId="3" fillId="0" borderId="37" xfId="0" applyFont="1" applyBorder="1" applyAlignment="1">
      <alignment vertical="center" wrapText="1"/>
    </xf>
    <xf numFmtId="164" fontId="0" fillId="0" borderId="37" xfId="0" applyNumberFormat="1" applyBorder="1" applyAlignment="1">
      <alignment vertical="center" wrapText="1"/>
    </xf>
    <xf numFmtId="164" fontId="3" fillId="0" borderId="37" xfId="0" applyNumberFormat="1" applyFont="1" applyBorder="1" applyAlignment="1">
      <alignment horizontal="right" vertical="center" wrapText="1"/>
    </xf>
    <xf numFmtId="0" fontId="0" fillId="0" borderId="37" xfId="0" applyBorder="1" applyAlignment="1">
      <alignment vertical="center" wrapText="1"/>
    </xf>
    <xf numFmtId="1" fontId="0" fillId="0" borderId="37" xfId="0" applyNumberFormat="1" applyBorder="1" applyAlignment="1">
      <alignment vertical="center" wrapText="1"/>
    </xf>
    <xf numFmtId="166" fontId="0" fillId="0" borderId="37" xfId="0" applyNumberFormat="1" applyBorder="1" applyAlignment="1">
      <alignment horizontal="right" vertical="center" wrapText="1"/>
    </xf>
    <xf numFmtId="164" fontId="0" fillId="0" borderId="37" xfId="0" applyNumberFormat="1" applyFont="1" applyBorder="1" applyAlignment="1">
      <alignment vertical="center" wrapText="1"/>
    </xf>
    <xf numFmtId="0" fontId="0" fillId="0" borderId="37" xfId="0" applyBorder="1"/>
    <xf numFmtId="0" fontId="3" fillId="0" borderId="37" xfId="0" applyFont="1" applyBorder="1" applyAlignment="1">
      <alignment horizontal="left" vertical="center" wrapText="1"/>
    </xf>
    <xf numFmtId="166" fontId="3" fillId="0" borderId="37" xfId="0" applyNumberFormat="1" applyFont="1" applyBorder="1" applyAlignment="1">
      <alignment horizontal="right" vertical="center" wrapText="1"/>
    </xf>
    <xf numFmtId="0" fontId="0" fillId="0" borderId="37" xfId="0" applyFont="1" applyBorder="1" applyAlignment="1">
      <alignment horizontal="left" vertical="center" wrapText="1"/>
    </xf>
    <xf numFmtId="0" fontId="3" fillId="0" borderId="37" xfId="0" applyFont="1" applyBorder="1"/>
    <xf numFmtId="164" fontId="3" fillId="0" borderId="37" xfId="0" applyNumberFormat="1" applyFont="1" applyBorder="1" applyAlignment="1">
      <alignment horizontal="right"/>
    </xf>
    <xf numFmtId="0" fontId="3" fillId="0" borderId="37" xfId="0" applyFont="1" applyBorder="1" applyAlignment="1">
      <alignment horizontal="left" vertical="center"/>
    </xf>
    <xf numFmtId="164" fontId="3" fillId="0" borderId="37" xfId="0" applyNumberFormat="1" applyFont="1" applyBorder="1" applyAlignment="1">
      <alignment horizontal="right" vertical="center"/>
    </xf>
    <xf numFmtId="166" fontId="3" fillId="0" borderId="37" xfId="0" applyNumberFormat="1" applyFont="1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164" fontId="0" fillId="0" borderId="37" xfId="0" applyNumberFormat="1" applyBorder="1" applyAlignment="1">
      <alignment horizontal="right" vertical="center" wrapText="1"/>
    </xf>
    <xf numFmtId="3" fontId="3" fillId="0" borderId="37" xfId="0" applyNumberFormat="1" applyFont="1" applyBorder="1" applyAlignment="1">
      <alignment horizontal="right" vertical="center" wrapText="1"/>
    </xf>
    <xf numFmtId="164" fontId="0" fillId="0" borderId="37" xfId="0" applyNumberFormat="1" applyBorder="1" applyAlignment="1">
      <alignment horizontal="right"/>
    </xf>
    <xf numFmtId="164" fontId="3" fillId="0" borderId="37" xfId="0" applyNumberFormat="1" applyFont="1" applyBorder="1"/>
    <xf numFmtId="170" fontId="7" fillId="4" borderId="7" xfId="1" applyNumberFormat="1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vertical="center" wrapText="1"/>
    </xf>
    <xf numFmtId="167" fontId="0" fillId="0" borderId="0" xfId="0" applyNumberFormat="1" applyAlignment="1">
      <alignment horizontal="left" vertical="center"/>
    </xf>
    <xf numFmtId="167" fontId="0" fillId="0" borderId="37" xfId="0" applyNumberFormat="1" applyBorder="1" applyAlignment="1">
      <alignment vertical="center" wrapText="1"/>
    </xf>
    <xf numFmtId="167" fontId="0" fillId="0" borderId="37" xfId="0" applyNumberFormat="1" applyFont="1" applyBorder="1" applyAlignment="1">
      <alignment vertical="center" wrapText="1"/>
    </xf>
    <xf numFmtId="0" fontId="0" fillId="0" borderId="37" xfId="0" applyNumberFormat="1" applyFont="1" applyBorder="1" applyAlignment="1">
      <alignment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14" fontId="8" fillId="6" borderId="9" xfId="0" applyNumberFormat="1" applyFont="1" applyFill="1" applyBorder="1" applyAlignment="1">
      <alignment horizontal="center" vertical="top"/>
    </xf>
    <xf numFmtId="0" fontId="8" fillId="6" borderId="0" xfId="0" applyFont="1" applyFill="1" applyBorder="1" applyAlignment="1">
      <alignment horizontal="center" vertical="top"/>
    </xf>
    <xf numFmtId="0" fontId="8" fillId="6" borderId="10" xfId="0" applyFont="1" applyFill="1" applyBorder="1" applyAlignment="1">
      <alignment horizontal="center" vertical="top"/>
    </xf>
    <xf numFmtId="0" fontId="7" fillId="7" borderId="9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14" fontId="3" fillId="7" borderId="9" xfId="0" applyNumberFormat="1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0" borderId="16" xfId="0" applyBorder="1" applyAlignment="1">
      <alignment horizontal="right"/>
    </xf>
    <xf numFmtId="0" fontId="3" fillId="0" borderId="0" xfId="0" applyFont="1" applyAlignment="1">
      <alignment horizontal="center"/>
    </xf>
    <xf numFmtId="0" fontId="7" fillId="0" borderId="0" xfId="0" applyFont="1" applyBorder="1" applyAlignment="1">
      <alignment horizontal="left"/>
    </xf>
    <xf numFmtId="2" fontId="0" fillId="0" borderId="37" xfId="0" applyNumberFormat="1" applyBorder="1" applyAlignment="1">
      <alignment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Sustainability</a:t>
            </a:r>
            <a:r>
              <a:rPr lang="en-ID" baseline="0"/>
              <a:t> Material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SIMULATION_PROCESS!$E$70</c:f>
              <c:strCache>
                <c:ptCount val="1"/>
                <c:pt idx="0">
                  <c:v>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SIMULATION_PROCESS!$C$71:$C$73</c:f>
              <c:strCache>
                <c:ptCount val="3"/>
                <c:pt idx="0">
                  <c:v>SUS-SBDA</c:v>
                </c:pt>
                <c:pt idx="1">
                  <c:v>SUS-CBAB</c:v>
                </c:pt>
                <c:pt idx="2">
                  <c:v>SUS-CBAC</c:v>
                </c:pt>
              </c:strCache>
            </c:strRef>
          </c:cat>
          <c:val>
            <c:numRef>
              <c:f>SIMULATION_PROCESS!$E$71:$E$73</c:f>
              <c:numCache>
                <c:formatCode>0.00000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E-4796-8374-F0A9E281BAFB}"/>
            </c:ext>
          </c:extLst>
        </c:ser>
        <c:ser>
          <c:idx val="1"/>
          <c:order val="1"/>
          <c:tx>
            <c:strRef>
              <c:f>SIMULATION_PROCESS!$F$70</c:f>
              <c:strCache>
                <c:ptCount val="1"/>
                <c:pt idx="0">
                  <c:v>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SIMULATION_PROCESS!$C$71:$C$73</c:f>
              <c:strCache>
                <c:ptCount val="3"/>
                <c:pt idx="0">
                  <c:v>SUS-SBDA</c:v>
                </c:pt>
                <c:pt idx="1">
                  <c:v>SUS-CBAB</c:v>
                </c:pt>
                <c:pt idx="2">
                  <c:v>SUS-CBAC</c:v>
                </c:pt>
              </c:strCache>
            </c:strRef>
          </c:cat>
          <c:val>
            <c:numRef>
              <c:f>SIMULATION_PROCESS!$F$71:$F$73</c:f>
              <c:numCache>
                <c:formatCode>0.00000</c:formatCode>
                <c:ptCount val="3"/>
                <c:pt idx="0">
                  <c:v>1.101</c:v>
                </c:pt>
                <c:pt idx="1">
                  <c:v>0.69132500000000019</c:v>
                </c:pt>
                <c:pt idx="2">
                  <c:v>2.2242999999999999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BE-4796-8374-F0A9E281B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198928"/>
        <c:axId val="1260199760"/>
      </c:barChart>
      <c:catAx>
        <c:axId val="126019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199760"/>
        <c:crosses val="autoZero"/>
        <c:auto val="1"/>
        <c:lblAlgn val="ctr"/>
        <c:lblOffset val="100"/>
        <c:noMultiLvlLbl val="0"/>
      </c:catAx>
      <c:valAx>
        <c:axId val="126019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19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Material Replaced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SIMULATION_PROCESS!$E$64</c:f>
              <c:strCache>
                <c:ptCount val="1"/>
                <c:pt idx="0">
                  <c:v>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SIMULATION_PROCESS!$C$65:$C$67</c:f>
              <c:strCache>
                <c:ptCount val="3"/>
                <c:pt idx="0">
                  <c:v>SBDA</c:v>
                </c:pt>
                <c:pt idx="1">
                  <c:v>CBAB</c:v>
                </c:pt>
                <c:pt idx="2">
                  <c:v>CBAC</c:v>
                </c:pt>
              </c:strCache>
            </c:strRef>
          </c:cat>
          <c:val>
            <c:numRef>
              <c:f>SIMULATION_PROCESS!$E$65:$E$67</c:f>
              <c:numCache>
                <c:formatCode>0.00000</c:formatCode>
                <c:ptCount val="3"/>
                <c:pt idx="0">
                  <c:v>2.202</c:v>
                </c:pt>
                <c:pt idx="1">
                  <c:v>1.3826500000000004</c:v>
                </c:pt>
                <c:pt idx="2">
                  <c:v>4.4485999999999999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D-4156-9F3A-33760B2286E6}"/>
            </c:ext>
          </c:extLst>
        </c:ser>
        <c:ser>
          <c:idx val="1"/>
          <c:order val="1"/>
          <c:tx>
            <c:strRef>
              <c:f>SIMULATION_PROCESS!$F$64</c:f>
              <c:strCache>
                <c:ptCount val="1"/>
                <c:pt idx="0">
                  <c:v>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SIMULATION_PROCESS!$C$65:$C$67</c:f>
              <c:strCache>
                <c:ptCount val="3"/>
                <c:pt idx="0">
                  <c:v>SBDA</c:v>
                </c:pt>
                <c:pt idx="1">
                  <c:v>CBAB</c:v>
                </c:pt>
                <c:pt idx="2">
                  <c:v>CBAC</c:v>
                </c:pt>
              </c:strCache>
            </c:strRef>
          </c:cat>
          <c:val>
            <c:numRef>
              <c:f>SIMULATION_PROCESS!$F$65:$F$67</c:f>
              <c:numCache>
                <c:formatCode>0.00000</c:formatCode>
                <c:ptCount val="3"/>
                <c:pt idx="0">
                  <c:v>1.101</c:v>
                </c:pt>
                <c:pt idx="1">
                  <c:v>0.69132500000000019</c:v>
                </c:pt>
                <c:pt idx="2">
                  <c:v>2.2242999999999999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D-4156-9F3A-33760B228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3663344"/>
        <c:axId val="1353666672"/>
      </c:barChart>
      <c:catAx>
        <c:axId val="135366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666672"/>
        <c:crosses val="autoZero"/>
        <c:auto val="1"/>
        <c:lblAlgn val="ctr"/>
        <c:lblOffset val="100"/>
        <c:noMultiLvlLbl val="0"/>
      </c:catAx>
      <c:valAx>
        <c:axId val="135366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66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Sustainability With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SIMULATION_PROCESS!$D$45</c:f>
              <c:strCache>
                <c:ptCount val="1"/>
                <c:pt idx="0">
                  <c:v>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SIMULATION_PROCESS!$C$46:$C$48</c:f>
            </c:multiLvlStrRef>
          </c:cat>
          <c:val>
            <c:numRef>
              <c:f>SIMULATION_PROCESS!$D$46:$D$48</c:f>
            </c:numRef>
          </c:val>
          <c:extLst>
            <c:ext xmlns:c16="http://schemas.microsoft.com/office/drawing/2014/chart" uri="{C3380CC4-5D6E-409C-BE32-E72D297353CC}">
              <c16:uniqueId val="{00000000-EA8E-4729-B95B-F7D178643617}"/>
            </c:ext>
          </c:extLst>
        </c:ser>
        <c:ser>
          <c:idx val="1"/>
          <c:order val="1"/>
          <c:tx>
            <c:strRef>
              <c:f>SIMULATION_PROCESS!$E$45</c:f>
              <c:strCache>
                <c:ptCount val="1"/>
                <c:pt idx="0">
                  <c:v>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SIMULATION_PROCESS!$C$46:$C$48</c:f>
            </c:multiLvlStrRef>
          </c:cat>
          <c:val>
            <c:numRef>
              <c:f>SIMULATION_PROCESS!$E$46:$E$48</c:f>
            </c:numRef>
          </c:val>
          <c:extLst>
            <c:ext xmlns:c16="http://schemas.microsoft.com/office/drawing/2014/chart" uri="{C3380CC4-5D6E-409C-BE32-E72D297353CC}">
              <c16:uniqueId val="{00000001-EA8E-4729-B95B-F7D178643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0010352"/>
        <c:axId val="1190003280"/>
      </c:barChart>
      <c:catAx>
        <c:axId val="119001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003280"/>
        <c:crosses val="autoZero"/>
        <c:auto val="1"/>
        <c:lblAlgn val="ctr"/>
        <c:lblOffset val="100"/>
        <c:noMultiLvlLbl val="0"/>
      </c:catAx>
      <c:valAx>
        <c:axId val="119000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01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SIMULATION_PROCESS!$D$26</c:f>
              <c:strCache>
                <c:ptCount val="1"/>
                <c:pt idx="0">
                  <c:v>Total Sustainable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SIMULATION_PROCESS!$C$27:$C$28</c:f>
              <c:strCache>
                <c:ptCount val="2"/>
                <c:pt idx="0">
                  <c:v>Sebelum Replacement</c:v>
                </c:pt>
                <c:pt idx="1">
                  <c:v>Sesudah Replacement</c:v>
                </c:pt>
              </c:strCache>
            </c:strRef>
          </c:cat>
          <c:val>
            <c:numRef>
              <c:f>SIMULATION_PROCESS!$D$27:$D$28</c:f>
              <c:numCache>
                <c:formatCode>0.000%</c:formatCode>
                <c:ptCount val="2"/>
                <c:pt idx="0">
                  <c:v>0</c:v>
                </c:pt>
                <c:pt idx="1">
                  <c:v>0.20389592032165305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5-4B9B-88D9-86EE9FEF3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258847"/>
        <c:axId val="401259263"/>
      </c:barChart>
      <c:catAx>
        <c:axId val="40125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59263"/>
        <c:crosses val="autoZero"/>
        <c:auto val="1"/>
        <c:lblAlgn val="ctr"/>
        <c:lblOffset val="100"/>
        <c:noMultiLvlLbl val="0"/>
      </c:catAx>
      <c:valAx>
        <c:axId val="40125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58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Sustainability Combination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SIMULATION_PROCESS!$E$7</c:f>
              <c:strCache>
                <c:ptCount val="1"/>
                <c:pt idx="0">
                  <c:v>Sustainability 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SIMULATION_PROCESS!$C$8:$C$10</c:f>
              <c:strCache>
                <c:ptCount val="3"/>
                <c:pt idx="0">
                  <c:v>Material 1</c:v>
                </c:pt>
                <c:pt idx="1">
                  <c:v>Material 1 + 2</c:v>
                </c:pt>
                <c:pt idx="2">
                  <c:v>Material 1 + 2 + 3</c:v>
                </c:pt>
              </c:strCache>
            </c:strRef>
          </c:cat>
          <c:val>
            <c:numRef>
              <c:f>SIMULATION_PROCESS!$E$8:$E$10</c:f>
              <c:numCache>
                <c:formatCode>0.000%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7-4ACB-902F-605DB01EB034}"/>
            </c:ext>
          </c:extLst>
        </c:ser>
        <c:ser>
          <c:idx val="1"/>
          <c:order val="1"/>
          <c:tx>
            <c:strRef>
              <c:f>SIMULATION_PROCESS!$F$7</c:f>
              <c:strCache>
                <c:ptCount val="1"/>
                <c:pt idx="0">
                  <c:v>Sustainability 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SIMULATION_PROCESS!$C$8:$C$10</c:f>
              <c:strCache>
                <c:ptCount val="3"/>
                <c:pt idx="0">
                  <c:v>Material 1</c:v>
                </c:pt>
                <c:pt idx="1">
                  <c:v>Material 1 + 2</c:v>
                </c:pt>
                <c:pt idx="2">
                  <c:v>Material 1 + 2 + 3</c:v>
                </c:pt>
              </c:strCache>
            </c:strRef>
          </c:cat>
          <c:val>
            <c:numRef>
              <c:f>SIMULATION_PROCESS!$F$8:$F$10</c:f>
              <c:numCache>
                <c:formatCode>0.000%</c:formatCode>
                <c:ptCount val="3"/>
                <c:pt idx="0">
                  <c:v>5.9704581976496772E-2</c:v>
                </c:pt>
                <c:pt idx="1">
                  <c:v>9.5222162639846758E-2</c:v>
                </c:pt>
                <c:pt idx="2">
                  <c:v>0.20389592032165305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7-4ACB-902F-605DB01E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3852575"/>
        <c:axId val="1633856735"/>
      </c:barChart>
      <c:catAx>
        <c:axId val="163385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856735"/>
        <c:crosses val="autoZero"/>
        <c:auto val="1"/>
        <c:lblAlgn val="ctr"/>
        <c:lblOffset val="100"/>
        <c:noMultiLvlLbl val="0"/>
      </c:catAx>
      <c:valAx>
        <c:axId val="163385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85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NWT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SIMULATION_PROCESS!$E$26</c:f>
              <c:strCache>
                <c:ptCount val="1"/>
                <c:pt idx="0">
                  <c:v>Total NWT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SIMULATION_PROCESS!$C$27:$C$28</c:f>
              <c:strCache>
                <c:ptCount val="2"/>
                <c:pt idx="0">
                  <c:v>Sebelum Replacement</c:v>
                </c:pt>
                <c:pt idx="1">
                  <c:v>Sesudah Replacement</c:v>
                </c:pt>
              </c:strCache>
            </c:strRef>
          </c:cat>
          <c:val>
            <c:numRef>
              <c:f>SIMULATION_PROCESS!$E$27:$E$28</c:f>
              <c:numCache>
                <c:formatCode>0.000%</c:formatCode>
                <c:ptCount val="2"/>
                <c:pt idx="0">
                  <c:v>0</c:v>
                </c:pt>
                <c:pt idx="1">
                  <c:v>3.4036321831215709E-2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B-4F22-A57F-CD087EC39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258847"/>
        <c:axId val="401259263"/>
      </c:barChart>
      <c:catAx>
        <c:axId val="40125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59263"/>
        <c:crosses val="autoZero"/>
        <c:auto val="1"/>
        <c:lblAlgn val="ctr"/>
        <c:lblOffset val="100"/>
        <c:noMultiLvlLbl val="0"/>
      </c:catAx>
      <c:valAx>
        <c:axId val="40125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58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NWT Combination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SIMULATION_PROCESS!$G$7</c:f>
              <c:strCache>
                <c:ptCount val="1"/>
                <c:pt idx="0">
                  <c:v>NWT 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SIMULATION_PROCESS!$C$8:$C$10</c:f>
              <c:strCache>
                <c:ptCount val="3"/>
                <c:pt idx="0">
                  <c:v>Material 1</c:v>
                </c:pt>
                <c:pt idx="1">
                  <c:v>Material 1 + 2</c:v>
                </c:pt>
                <c:pt idx="2">
                  <c:v>Material 1 + 2 + 3</c:v>
                </c:pt>
              </c:strCache>
            </c:strRef>
          </c:cat>
          <c:val>
            <c:numRef>
              <c:f>SIMULATION_PROCESS!$G$8:$G$10</c:f>
              <c:numCache>
                <c:formatCode>0.000%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B-4F4D-9C44-0E4D8E43E0B6}"/>
            </c:ext>
          </c:extLst>
        </c:ser>
        <c:ser>
          <c:idx val="1"/>
          <c:order val="1"/>
          <c:tx>
            <c:strRef>
              <c:f>SIMULATION_PROCESS!$H$7</c:f>
              <c:strCache>
                <c:ptCount val="1"/>
                <c:pt idx="0">
                  <c:v>NWT 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SIMULATION_PROCESS!$C$8:$C$10</c:f>
              <c:strCache>
                <c:ptCount val="3"/>
                <c:pt idx="0">
                  <c:v>Material 1</c:v>
                </c:pt>
                <c:pt idx="1">
                  <c:v>Material 1 + 2</c:v>
                </c:pt>
                <c:pt idx="2">
                  <c:v>Material 1 + 2 + 3</c:v>
                </c:pt>
              </c:strCache>
            </c:strRef>
          </c:cat>
          <c:val>
            <c:numRef>
              <c:f>SIMULATION_PROCESS!$H$8:$H$10</c:f>
              <c:numCache>
                <c:formatCode>0.000%</c:formatCode>
                <c:ptCount val="3"/>
                <c:pt idx="0">
                  <c:v>1.013123359390234E-2</c:v>
                </c:pt>
                <c:pt idx="1">
                  <c:v>1.6415978925940048E-2</c:v>
                </c:pt>
                <c:pt idx="2">
                  <c:v>3.4036321831215709E-2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B-4F4D-9C44-0E4D8E4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3852575"/>
        <c:axId val="1633856735"/>
      </c:barChart>
      <c:catAx>
        <c:axId val="163385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856735"/>
        <c:crosses val="autoZero"/>
        <c:auto val="1"/>
        <c:lblAlgn val="ctr"/>
        <c:lblOffset val="100"/>
        <c:noMultiLvlLbl val="0"/>
      </c:catAx>
      <c:valAx>
        <c:axId val="163385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85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2890587</xdr:colOff>
      <xdr:row>14</xdr:row>
      <xdr:rowOff>54981</xdr:rowOff>
    </xdr:from>
    <xdr:to>
      <xdr:col>10</xdr:col>
      <xdr:colOff>3131605</xdr:colOff>
      <xdr:row>18</xdr:row>
      <xdr:rowOff>47360</xdr:rowOff>
    </xdr:to>
    <xdr:sp macro="[0]!submit_multiple_replacem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040530" y="3571067"/>
          <a:ext cx="3876846" cy="819693"/>
        </a:xfrm>
        <a:prstGeom prst="roundRect">
          <a:avLst/>
        </a:prstGeom>
        <a:solidFill>
          <a:srgbClr val="00B050"/>
        </a:solidFill>
        <a:ln>
          <a:gradFill flip="none" rotWithShape="1">
            <a:gsLst>
              <a:gs pos="19000">
                <a:schemeClr val="tx1"/>
              </a:gs>
              <a:gs pos="61000">
                <a:schemeClr val="accent3">
                  <a:lumMod val="95000"/>
                  <a:lumOff val="5000"/>
                </a:schemeClr>
              </a:gs>
              <a:gs pos="100000">
                <a:schemeClr val="accent3">
                  <a:lumMod val="60000"/>
                </a:schemeClr>
              </a:gs>
            </a:gsLst>
            <a:lin ang="16800000" scaled="0"/>
            <a:tileRect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800" b="1">
              <a:solidFill>
                <a:schemeClr val="bg1"/>
              </a:solidFill>
            </a:rPr>
            <a:t>SUBMIT</a:t>
          </a:r>
          <a:endParaRPr lang="en-ID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1752600</xdr:colOff>
      <xdr:row>32</xdr:row>
      <xdr:rowOff>150932</xdr:rowOff>
    </xdr:from>
    <xdr:to>
      <xdr:col>10</xdr:col>
      <xdr:colOff>1148935</xdr:colOff>
      <xdr:row>36</xdr:row>
      <xdr:rowOff>143311</xdr:rowOff>
    </xdr:to>
    <xdr:sp macro="[0]!redo_last_a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5425057" y="7183103"/>
          <a:ext cx="3032164" cy="819694"/>
        </a:xfrm>
        <a:prstGeom prst="roundRect">
          <a:avLst/>
        </a:prstGeom>
        <a:solidFill>
          <a:srgbClr val="00B050"/>
        </a:solidFill>
        <a:ln>
          <a:gradFill flip="none" rotWithShape="1">
            <a:gsLst>
              <a:gs pos="19000">
                <a:schemeClr val="tx1"/>
              </a:gs>
              <a:gs pos="61000">
                <a:schemeClr val="accent3">
                  <a:lumMod val="95000"/>
                  <a:lumOff val="5000"/>
                </a:schemeClr>
              </a:gs>
              <a:gs pos="100000">
                <a:schemeClr val="accent3">
                  <a:lumMod val="60000"/>
                </a:schemeClr>
              </a:gs>
            </a:gsLst>
            <a:lin ang="16800000" scaled="0"/>
            <a:tileRect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800" b="1">
              <a:solidFill>
                <a:schemeClr val="bg1"/>
              </a:solidFill>
            </a:rPr>
            <a:t>UNDO</a:t>
          </a:r>
          <a:r>
            <a:rPr lang="en-ID" sz="2800" b="1" baseline="0">
              <a:solidFill>
                <a:schemeClr val="bg1"/>
              </a:solidFill>
            </a:rPr>
            <a:t> </a:t>
          </a:r>
          <a:r>
            <a:rPr lang="en-US" sz="2800" b="1" baseline="0">
              <a:solidFill>
                <a:schemeClr val="bg1"/>
              </a:solidFill>
            </a:rPr>
            <a:t>⬅️</a:t>
          </a:r>
          <a:endParaRPr lang="en-ID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374334</xdr:colOff>
      <xdr:row>14</xdr:row>
      <xdr:rowOff>67750</xdr:rowOff>
    </xdr:from>
    <xdr:to>
      <xdr:col>9</xdr:col>
      <xdr:colOff>2725689</xdr:colOff>
      <xdr:row>18</xdr:row>
      <xdr:rowOff>60130</xdr:rowOff>
    </xdr:to>
    <xdr:sp macro="[0]!ResetAll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2914677" y="3583836"/>
          <a:ext cx="2960955" cy="819694"/>
        </a:xfrm>
        <a:prstGeom prst="roundRect">
          <a:avLst/>
        </a:prstGeom>
        <a:solidFill>
          <a:srgbClr val="FF0000"/>
        </a:solidFill>
        <a:ln>
          <a:gradFill flip="none" rotWithShape="1">
            <a:gsLst>
              <a:gs pos="19000">
                <a:schemeClr val="tx1"/>
              </a:gs>
              <a:gs pos="61000">
                <a:schemeClr val="accent3">
                  <a:lumMod val="95000"/>
                  <a:lumOff val="5000"/>
                </a:schemeClr>
              </a:gs>
              <a:gs pos="100000">
                <a:schemeClr val="accent3">
                  <a:lumMod val="60000"/>
                </a:schemeClr>
              </a:gs>
            </a:gsLst>
            <a:lin ang="16800000" scaled="0"/>
            <a:tileRect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800" b="1">
              <a:solidFill>
                <a:schemeClr val="bg1"/>
              </a:solidFill>
            </a:rPr>
            <a:t>RESET</a:t>
          </a:r>
          <a:endParaRPr lang="en-ID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1417320</xdr:colOff>
          <xdr:row>33</xdr:row>
          <xdr:rowOff>129540</xdr:rowOff>
        </xdr:from>
        <xdr:to>
          <xdr:col>10</xdr:col>
          <xdr:colOff>3162300</xdr:colOff>
          <xdr:row>36</xdr:row>
          <xdr:rowOff>129540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CEK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1143000</xdr:colOff>
          <xdr:row>10</xdr:row>
          <xdr:rowOff>152400</xdr:rowOff>
        </xdr:from>
        <xdr:to>
          <xdr:col>10</xdr:col>
          <xdr:colOff>3078480</xdr:colOff>
          <xdr:row>13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2024743</xdr:colOff>
      <xdr:row>32</xdr:row>
      <xdr:rowOff>161818</xdr:rowOff>
    </xdr:from>
    <xdr:to>
      <xdr:col>9</xdr:col>
      <xdr:colOff>1595250</xdr:colOff>
      <xdr:row>36</xdr:row>
      <xdr:rowOff>154197</xdr:rowOff>
    </xdr:to>
    <xdr:sp macro="[0]!permanenkan_terakhi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2235543" y="7193989"/>
          <a:ext cx="3032164" cy="819694"/>
        </a:xfrm>
        <a:prstGeom prst="roundRect">
          <a:avLst/>
        </a:prstGeom>
        <a:solidFill>
          <a:srgbClr val="FFC000"/>
        </a:solidFill>
        <a:ln>
          <a:gradFill flip="none" rotWithShape="1">
            <a:gsLst>
              <a:gs pos="19000">
                <a:schemeClr val="tx1"/>
              </a:gs>
              <a:gs pos="61000">
                <a:schemeClr val="accent3">
                  <a:lumMod val="95000"/>
                  <a:lumOff val="5000"/>
                </a:schemeClr>
              </a:gs>
              <a:gs pos="100000">
                <a:schemeClr val="accent3">
                  <a:lumMod val="60000"/>
                </a:schemeClr>
              </a:gs>
            </a:gsLst>
            <a:lin ang="16800000" scaled="0"/>
            <a:tileRect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bg1"/>
              </a:solidFill>
            </a:rPr>
            <a:t>Permanent</a:t>
          </a:r>
          <a:endParaRPr lang="en-ID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524385</xdr:colOff>
      <xdr:row>67</xdr:row>
      <xdr:rowOff>106520</xdr:rowOff>
    </xdr:from>
    <xdr:to>
      <xdr:col>13</xdr:col>
      <xdr:colOff>1730187</xdr:colOff>
      <xdr:row>75</xdr:row>
      <xdr:rowOff>49165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508001</xdr:colOff>
      <xdr:row>59</xdr:row>
      <xdr:rowOff>70467</xdr:rowOff>
    </xdr:from>
    <xdr:to>
      <xdr:col>13</xdr:col>
      <xdr:colOff>1748117</xdr:colOff>
      <xdr:row>67</xdr:row>
      <xdr:rowOff>24584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1950788</xdr:colOff>
      <xdr:row>40</xdr:row>
      <xdr:rowOff>136674</xdr:rowOff>
    </xdr:from>
    <xdr:to>
      <xdr:col>13</xdr:col>
      <xdr:colOff>394014</xdr:colOff>
      <xdr:row>55</xdr:row>
      <xdr:rowOff>176003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53787</xdr:colOff>
      <xdr:row>21</xdr:row>
      <xdr:rowOff>98612</xdr:rowOff>
    </xdr:from>
    <xdr:to>
      <xdr:col>13</xdr:col>
      <xdr:colOff>1640541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26893</xdr:colOff>
      <xdr:row>2</xdr:row>
      <xdr:rowOff>138591</xdr:rowOff>
    </xdr:from>
    <xdr:to>
      <xdr:col>13</xdr:col>
      <xdr:colOff>1620115</xdr:colOff>
      <xdr:row>10</xdr:row>
      <xdr:rowOff>62752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80683</xdr:colOff>
      <xdr:row>28</xdr:row>
      <xdr:rowOff>26894</xdr:rowOff>
    </xdr:from>
    <xdr:to>
      <xdr:col>13</xdr:col>
      <xdr:colOff>1649507</xdr:colOff>
      <xdr:row>37</xdr:row>
      <xdr:rowOff>26894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17929</xdr:colOff>
      <xdr:row>10</xdr:row>
      <xdr:rowOff>170328</xdr:rowOff>
    </xdr:from>
    <xdr:to>
      <xdr:col>13</xdr:col>
      <xdr:colOff>1611151</xdr:colOff>
      <xdr:row>18</xdr:row>
      <xdr:rowOff>295835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26F61-F538-4526-AAD6-604040BB301F}">
  <sheetPr codeName="Sheet13"/>
  <dimension ref="B1:R275"/>
  <sheetViews>
    <sheetView topLeftCell="A64" zoomScale="85" zoomScaleNormal="85" workbookViewId="0">
      <selection activeCell="L92" sqref="L92"/>
    </sheetView>
  </sheetViews>
  <sheetFormatPr defaultRowHeight="14.4" x14ac:dyDescent="0.3"/>
  <cols>
    <col min="1" max="1" width="8.88671875" customWidth="1"/>
    <col min="2" max="2" width="12.77734375" customWidth="1"/>
    <col min="3" max="3" width="30.77734375" customWidth="1"/>
    <col min="4" max="4" width="13.33203125" customWidth="1"/>
    <col min="5" max="5" width="10.88671875" customWidth="1"/>
    <col min="6" max="6" width="7.6640625" bestFit="1" customWidth="1"/>
    <col min="7" max="7" width="10.5546875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5" x14ac:dyDescent="0.3">
      <c r="B1" t="s">
        <v>58</v>
      </c>
      <c r="C1" t="s">
        <v>59</v>
      </c>
      <c r="I1" s="213" t="str">
        <f>IFERROR(VLOOKUP(H1,$B$3:$F$68,5,FALSE),"")</f>
        <v/>
      </c>
    </row>
    <row r="2" spans="2:15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3" t="str">
        <f>IFERROR(VLOOKUP(H2,$B$3:$F$68,5,FALSE),"")</f>
        <v/>
      </c>
      <c r="L2" s="111" t="s">
        <v>69</v>
      </c>
      <c r="M2" s="112" t="s">
        <v>221</v>
      </c>
      <c r="N2" s="112" t="s">
        <v>221</v>
      </c>
    </row>
    <row r="3" spans="2:15" s="1" customFormat="1" x14ac:dyDescent="0.3">
      <c r="B3" s="40" t="s">
        <v>60</v>
      </c>
      <c r="C3" s="41" t="s">
        <v>4</v>
      </c>
      <c r="D3" s="42">
        <v>0.96399999999999997</v>
      </c>
      <c r="E3" s="24">
        <f>IF(IF(B3="MDZ140R","",IFERROR((SUMIF($B$3:$B$70,"MDZ140R",$F$3:$F$70)*INDEX($Q$20:$Q$82,MATCH(B3,$N$20:$N$82,0))),""))=0,"",IF(B3="MDZ140R","",IFERROR((SUMIF($B$3:$B$70,"MDZ140R",$F$3:$F$70)*INDEX($Q$20:$Q$82,MATCH(B3,$N$20:$N$82,0))),"")))</f>
        <v>4.7781587999999996E-3</v>
      </c>
      <c r="F3" s="42">
        <f>IF(D3="","",D3+ IF(E3="",0,E3))</f>
        <v>0.96877815879999996</v>
      </c>
      <c r="H3" s="202" t="s">
        <v>71</v>
      </c>
      <c r="I3" s="213" t="str">
        <f>IFERROR(VLOOKUP(H3,$B$3:$F$68,5,FALSE),"")</f>
        <v/>
      </c>
      <c r="J3" s="203">
        <f>SUM(I3:I21)</f>
        <v>2.1548767663999997</v>
      </c>
      <c r="L3" s="80" t="s">
        <v>70</v>
      </c>
      <c r="M3" s="114">
        <f ca="1">VLOOKUP(L3,OFFSET($H$3,0,0,COUNTA($H:$H),3),3,FALSE)</f>
        <v>0</v>
      </c>
      <c r="N3" s="115">
        <f ca="1">(M3/$M$14)</f>
        <v>0</v>
      </c>
      <c r="O3" s="82"/>
    </row>
    <row r="4" spans="2:15" s="1" customFormat="1" x14ac:dyDescent="0.3">
      <c r="B4" s="40" t="s">
        <v>61</v>
      </c>
      <c r="C4" s="41" t="s">
        <v>5</v>
      </c>
      <c r="D4" s="42">
        <v>1.55E-2</v>
      </c>
      <c r="E4" s="24">
        <f>IF(IF(B4="MDZ140R","",IFERROR((SUMIF($B$3:$B$70,"MDZ140R",$F$3:$F$70)*INDEX($Q$20:$Q$82,MATCH(B4,$N$20:$N$82,0))),""))=0,"",IF(B4="MDZ140R","",IFERROR((SUMIF($B$3:$B$70,"MDZ140R",$F$3:$F$70)*INDEX($Q$20:$Q$82,MATCH(B4,$N$20:$N$82,0))),"")))</f>
        <v>4.7781587999999996E-3</v>
      </c>
      <c r="F4" s="42">
        <f t="shared" ref="F4:F82" si="0">IF(D4="","",D4+ IF(E4="",0,E4))</f>
        <v>2.0278158800000001E-2</v>
      </c>
      <c r="H4" s="192" t="s">
        <v>46</v>
      </c>
      <c r="I4" s="213">
        <f>IFERROR(VLOOKUP(H4,$B$3:$F$68,5,FALSE),"")</f>
        <v>0.86202676639999998</v>
      </c>
      <c r="J4" s="204"/>
      <c r="L4" s="56" t="s">
        <v>71</v>
      </c>
      <c r="M4" s="114">
        <f ca="1">VLOOKUP(L4,OFFSET($H$3,0,0,COUNTA($H:$H),3),3,FALSE)</f>
        <v>2.1548767663999997</v>
      </c>
      <c r="N4" s="115">
        <f t="shared" ref="N4:N13" ca="1" si="1">(M4/$M$14)</f>
        <v>0.11399955938976952</v>
      </c>
      <c r="O4" s="12"/>
    </row>
    <row r="5" spans="2:15" s="1" customFormat="1" x14ac:dyDescent="0.3">
      <c r="B5" s="40" t="s">
        <v>62</v>
      </c>
      <c r="C5" s="41" t="s">
        <v>196</v>
      </c>
      <c r="D5" s="42">
        <v>0.4995</v>
      </c>
      <c r="E5" s="24" t="str">
        <f>IF(IF(B5="MDZ140R","",IFERROR((SUMIF($B$3:$B$70,"MDZ140R",$F$3:$F$70)*INDEX($Q$20:$Q$82,MATCH(B5,$N$20:$N$82,0))),""))=0,"",IF(B5="MDZ140R","",IFERROR((SUMIF($B$3:$B$70,"MDZ140R",$F$3:$F$70)*INDEX($Q$20:$Q$82,MATCH(B5,$N$20:$N$82,0))),"")))</f>
        <v/>
      </c>
      <c r="F5" s="42">
        <f t="shared" si="0"/>
        <v>0.4995</v>
      </c>
      <c r="H5" s="192" t="s">
        <v>86</v>
      </c>
      <c r="I5" s="213" t="str">
        <f>IFERROR(VLOOKUP(H5,$B$3:$F$68,5,FALSE),"")</f>
        <v/>
      </c>
      <c r="J5" s="204"/>
      <c r="L5" s="80" t="s">
        <v>72</v>
      </c>
      <c r="M5" s="114">
        <f ca="1">VLOOKUP(L5,OFFSET($H$3,0,0,COUNTA($H:$H),3),3,FALSE)</f>
        <v>0.10725</v>
      </c>
      <c r="N5" s="115">
        <f t="shared" ca="1" si="1"/>
        <v>5.6738524147618204E-3</v>
      </c>
      <c r="O5" s="12"/>
    </row>
    <row r="6" spans="2:15" s="1" customFormat="1" x14ac:dyDescent="0.3">
      <c r="B6" s="40" t="s">
        <v>7</v>
      </c>
      <c r="C6" s="41" t="s">
        <v>8</v>
      </c>
      <c r="D6" s="42">
        <v>9.8299999999999998E-2</v>
      </c>
      <c r="E6" s="24">
        <f>IF(IF(B6="MDZ140R","",IFERROR((SUMIF($B$3:$B$70,"MDZ140R",$F$3:$F$70)*INDEX($Q$20:$Q$82,MATCH(B6,$N$20:$N$82,0))),""))=0,"",IF(B6="MDZ140R","",IFERROR((SUMIF($B$3:$B$70,"MDZ140R",$F$3:$F$70)*INDEX($Q$20:$Q$82,MATCH(B6,$N$20:$N$82,0))),"")))</f>
        <v>2.3888607999999999E-3</v>
      </c>
      <c r="F6" s="42">
        <f t="shared" si="0"/>
        <v>0.1006888608</v>
      </c>
      <c r="H6" s="192" t="s">
        <v>36</v>
      </c>
      <c r="I6" s="213">
        <f>IFERROR(VLOOKUP(H6,$B$3:$F$68,5,FALSE),"")</f>
        <v>0.36880000000000002</v>
      </c>
      <c r="J6" s="204"/>
      <c r="L6" s="56" t="s">
        <v>73</v>
      </c>
      <c r="M6" s="114">
        <f ca="1">VLOOKUP(L6,OFFSET($H$3,0,0,COUNTA($H:$H),3),3,FALSE)</f>
        <v>2.2921187908425336</v>
      </c>
      <c r="N6" s="115">
        <f t="shared" ca="1" si="1"/>
        <v>0.12126008145774222</v>
      </c>
      <c r="O6" s="12"/>
    </row>
    <row r="7" spans="2:15" s="1" customFormat="1" x14ac:dyDescent="0.3">
      <c r="B7" s="40" t="s">
        <v>9</v>
      </c>
      <c r="C7" s="41" t="s">
        <v>10</v>
      </c>
      <c r="D7" s="42">
        <v>0.83109999999999995</v>
      </c>
      <c r="E7" s="24">
        <f>IF(IF(B7="MDZ140R","",IFERROR((SUMIF($B$3:$B$70,"MDZ140R",$F$3:$F$70)*INDEX($Q$20:$Q$82,MATCH(B7,$N$20:$N$82,0))),""))=0,"",IF(B7="MDZ140R","",IFERROR((SUMIF($B$3:$B$70,"MDZ140R",$F$3:$F$70)*INDEX($Q$20:$Q$82,MATCH(B7,$N$20:$N$82,0))),"")))</f>
        <v>0.1433443268</v>
      </c>
      <c r="F7" s="42">
        <f t="shared" si="0"/>
        <v>0.97444432679999993</v>
      </c>
      <c r="H7" s="192" t="s">
        <v>87</v>
      </c>
      <c r="I7" s="213" t="str">
        <f>IFERROR(VLOOKUP(H7,$B$3:$F$68,5,FALSE),"")</f>
        <v/>
      </c>
      <c r="J7" s="204"/>
      <c r="L7" s="80" t="s">
        <v>74</v>
      </c>
      <c r="M7" s="114">
        <f ca="1">VLOOKUP(L7,OFFSET($H$3,0,0,COUNTA($H:$H),3),3,FALSE)</f>
        <v>0.37967499999999998</v>
      </c>
      <c r="N7" s="115">
        <f t="shared" ca="1" si="1"/>
        <v>2.0085966578785027E-2</v>
      </c>
      <c r="O7" s="12"/>
    </row>
    <row r="8" spans="2:15" s="1" customFormat="1" x14ac:dyDescent="0.3">
      <c r="B8" s="40" t="s">
        <v>11</v>
      </c>
      <c r="C8" s="41" t="s">
        <v>190</v>
      </c>
      <c r="D8" s="42">
        <v>0.99360000000000004</v>
      </c>
      <c r="E8" s="24">
        <v>1.2948110221686719</v>
      </c>
      <c r="F8" s="42">
        <v>0.69159946404253392</v>
      </c>
      <c r="H8" s="192" t="s">
        <v>88</v>
      </c>
      <c r="I8" s="213" t="str">
        <f>IFERROR(VLOOKUP(H8,$B$3:$F$68,5,FALSE),"")</f>
        <v/>
      </c>
      <c r="J8" s="204"/>
      <c r="L8" s="56" t="s">
        <v>75</v>
      </c>
      <c r="M8" s="114">
        <f ca="1">VLOOKUP(L8,OFFSET($H$3,0,0,COUNTA($H:$H),3),3,FALSE)</f>
        <v>0.98144517840000001</v>
      </c>
      <c r="N8" s="115">
        <f t="shared" ca="1" si="1"/>
        <v>5.1921446111153249E-2</v>
      </c>
      <c r="O8" s="12"/>
    </row>
    <row r="9" spans="2:15" s="1" customFormat="1" x14ac:dyDescent="0.3">
      <c r="B9" s="40" t="s">
        <v>13</v>
      </c>
      <c r="C9" s="41" t="s">
        <v>68</v>
      </c>
      <c r="D9" s="42">
        <v>0.73429999999999995</v>
      </c>
      <c r="E9" s="24" t="str">
        <f>IF(IF(B9="MDZ140R","",IFERROR((SUMIF($B$3:$B$70,"MDZ140R",$F$3:$F$70)*INDEX($Q$20:$Q$82,MATCH(B9,$N$20:$N$82,0))),""))=0,"",IF(B9="MDZ140R","",IFERROR((SUMIF($B$3:$B$70,"MDZ140R",$F$3:$F$70)*INDEX($Q$20:$Q$82,MATCH(B9,$N$20:$N$82,0))),"")))</f>
        <v/>
      </c>
      <c r="F9" s="42">
        <f t="shared" si="0"/>
        <v>0.73429999999999995</v>
      </c>
      <c r="H9" s="192" t="s">
        <v>89</v>
      </c>
      <c r="I9" s="213" t="str">
        <f>IFERROR(VLOOKUP(H9,$B$3:$F$68,5,FALSE),"")</f>
        <v/>
      </c>
      <c r="J9" s="204"/>
      <c r="L9" s="80" t="s">
        <v>76</v>
      </c>
      <c r="M9" s="114">
        <f ca="1">VLOOKUP(L9,OFFSET($H$3,0,0,COUNTA($H:$H),3),3,FALSE)</f>
        <v>0</v>
      </c>
      <c r="N9" s="115">
        <f t="shared" ca="1" si="1"/>
        <v>0</v>
      </c>
      <c r="O9" s="12"/>
    </row>
    <row r="10" spans="2:15" s="1" customFormat="1" x14ac:dyDescent="0.3">
      <c r="B10" s="40" t="s">
        <v>14</v>
      </c>
      <c r="C10" s="41" t="s">
        <v>15</v>
      </c>
      <c r="D10" s="42">
        <v>0.96950000000000003</v>
      </c>
      <c r="E10" s="24">
        <f>IF(IF(B10="MDZ140R","",IFERROR((SUMIF($B$3:$B$70,"MDZ140R",$F$3:$F$70)*INDEX($Q$20:$Q$82,MATCH(B10,$N$20:$N$82,0))),""))=0,"",IF(B10="MDZ140R","",IFERROR((SUMIF($B$3:$B$70,"MDZ140R",$F$3:$F$70)*INDEX($Q$20:$Q$82,MATCH(B10,$N$20:$N$82,0))),"")))</f>
        <v>1.1945178399999999E-2</v>
      </c>
      <c r="F10" s="42">
        <f t="shared" si="0"/>
        <v>0.98144517840000001</v>
      </c>
      <c r="H10" s="192" t="s">
        <v>13</v>
      </c>
      <c r="I10" s="213">
        <f>IFERROR(VLOOKUP(H10,$B$3:$F$68,5,FALSE),"")</f>
        <v>0.73429999999999995</v>
      </c>
      <c r="J10" s="204"/>
      <c r="L10" s="56" t="s">
        <v>77</v>
      </c>
      <c r="M10" s="114">
        <f>VLOOKUP(L10,H1:INDEX(J:J,MATCH("zzzz",H:H)),3,FALSE)</f>
        <v>10.201935098</v>
      </c>
      <c r="N10" s="115">
        <f t="shared" ca="1" si="1"/>
        <v>0.53971351133828127</v>
      </c>
      <c r="O10" s="12"/>
    </row>
    <row r="11" spans="2:15" s="1" customFormat="1" x14ac:dyDescent="0.3">
      <c r="B11" s="40" t="s">
        <v>16</v>
      </c>
      <c r="C11" s="41" t="s">
        <v>17</v>
      </c>
      <c r="D11" s="42">
        <v>0.63880000000000003</v>
      </c>
      <c r="E11" s="24" t="str">
        <f>IF(IF(B11="MDZ140R","",IFERROR((SUMIF($B$3:$B$70,"MDZ140R",$F$3:$F$70)*INDEX($Q$20:$Q$82,MATCH(B11,$N$20:$N$82,0))),""))=0,"",IF(B11="MDZ140R","",IFERROR((SUMIF($B$3:$B$70,"MDZ140R",$F$3:$F$70)*INDEX($Q$20:$Q$82,MATCH(B11,$N$20:$N$82,0))),"")))</f>
        <v/>
      </c>
      <c r="F11" s="42">
        <f t="shared" si="0"/>
        <v>0.63880000000000003</v>
      </c>
      <c r="H11" s="192" t="s">
        <v>31</v>
      </c>
      <c r="I11" s="211">
        <v>0.10725</v>
      </c>
      <c r="J11" s="204"/>
      <c r="L11" s="80" t="s">
        <v>78</v>
      </c>
      <c r="M11" s="114">
        <f>VLOOKUP(L11,H2:INDEX(J:J,MATCH("zzzz",H:H)),3,FALSE)</f>
        <v>0</v>
      </c>
      <c r="N11" s="115">
        <f t="shared" ca="1" si="1"/>
        <v>0</v>
      </c>
      <c r="O11" s="12"/>
    </row>
    <row r="12" spans="2:15" s="1" customFormat="1" x14ac:dyDescent="0.3">
      <c r="B12" s="40" t="s">
        <v>18</v>
      </c>
      <c r="C12" s="41" t="s">
        <v>19</v>
      </c>
      <c r="D12" s="42">
        <v>0.59430000000000005</v>
      </c>
      <c r="E12" s="24">
        <f>IF(IF(B12="MDZ140R","",IFERROR((SUMIF($B$3:$B$70,"MDZ140R",$F$3:$F$70)*INDEX($Q$20:$Q$82,MATCH(B12,$N$20:$N$82,0))),""))=0,"",IF(B12="MDZ140R","",IFERROR((SUMIF($B$3:$B$70,"MDZ140R",$F$3:$F$70)*INDEX($Q$20:$Q$82,MATCH(B12,$N$20:$N$82,0))),"")))</f>
        <v>9.5563175999999993E-3</v>
      </c>
      <c r="F12" s="42">
        <f t="shared" si="0"/>
        <v>0.60385631760000003</v>
      </c>
      <c r="H12" s="192" t="s">
        <v>90</v>
      </c>
      <c r="I12" s="213">
        <f>IFERROR(VLOOKUP(H12,$B$3:$F$68,5,FALSE),"")</f>
        <v>8.2500000000000004E-2</v>
      </c>
      <c r="J12" s="204"/>
      <c r="L12" s="56" t="s">
        <v>79</v>
      </c>
      <c r="M12" s="114">
        <f>VLOOKUP(L12,H3:INDEX(J:J,MATCH("zzzz",H:H)),3,FALSE)</f>
        <v>2.7852000000000001</v>
      </c>
      <c r="N12" s="115">
        <f t="shared" ca="1" si="1"/>
        <v>0.14734558270950698</v>
      </c>
      <c r="O12" s="12"/>
    </row>
    <row r="13" spans="2:15" s="1" customFormat="1" x14ac:dyDescent="0.3">
      <c r="B13" s="40" t="s">
        <v>85</v>
      </c>
      <c r="C13" s="41" t="s">
        <v>207</v>
      </c>
      <c r="D13" s="42">
        <v>0.65500000000000003</v>
      </c>
      <c r="E13" s="24" t="str">
        <f>IF(IF(B13="MDZ140R","",IFERROR((SUMIF($B$3:$B$70,"MDZ140R",$F$3:$F$70)*INDEX($Q$20:$Q$82,MATCH(B13,$N$20:$N$82,0))),""))=0,"",IF(B13="MDZ140R","",IFERROR((SUMIF($B$3:$B$70,"MDZ140R",$F$3:$F$70)*INDEX($Q$20:$Q$82,MATCH(B13,$N$20:$N$82,0))),"")))</f>
        <v/>
      </c>
      <c r="F13" s="42">
        <f t="shared" si="0"/>
        <v>0.65500000000000003</v>
      </c>
      <c r="H13" s="192" t="s">
        <v>91</v>
      </c>
      <c r="I13" s="213" t="str">
        <f>IFERROR(VLOOKUP(H13,$B$3:$F$68,5,FALSE),"")</f>
        <v/>
      </c>
      <c r="J13" s="204"/>
      <c r="L13" s="80" t="s">
        <v>80</v>
      </c>
      <c r="M13" s="114">
        <f>VLOOKUP(L13,H3:INDEX(J:J,MATCH("zzzz",H:H)),3,FALSE)</f>
        <v>0</v>
      </c>
      <c r="N13" s="115">
        <f t="shared" ca="1" si="1"/>
        <v>0</v>
      </c>
      <c r="O13" s="12"/>
    </row>
    <row r="14" spans="2:15" s="1" customFormat="1" x14ac:dyDescent="0.3">
      <c r="B14" s="40" t="s">
        <v>63</v>
      </c>
      <c r="C14" s="41" t="s">
        <v>23</v>
      </c>
      <c r="D14" s="42">
        <v>0.78739999999999999</v>
      </c>
      <c r="E14" s="24">
        <f>IF(IF(B14="MDZ140R","",IFERROR((SUMIF($B$3:$B$70,"MDZ140R",$F$3:$F$70)*INDEX($Q$20:$Q$82,MATCH(B14,$N$20:$N$82,0))),""))=0,"",IF(B14="MDZ140R","",IFERROR((SUMIF($B$3:$B$70,"MDZ140R",$F$3:$F$70)*INDEX($Q$20:$Q$82,MATCH(B14,$N$20:$N$82,0))),"")))</f>
        <v>2.3888607999999999E-3</v>
      </c>
      <c r="F14" s="42">
        <f t="shared" si="0"/>
        <v>0.78978886079999999</v>
      </c>
      <c r="H14" s="192" t="s">
        <v>92</v>
      </c>
      <c r="I14" s="213" t="str">
        <f>IFERROR(VLOOKUP(H14,$B$3:$F$68,5,FALSE),"")</f>
        <v/>
      </c>
      <c r="J14" s="204"/>
      <c r="L14" s="119" t="s">
        <v>81</v>
      </c>
      <c r="M14" s="120">
        <f ca="1">SUM(M3:M13)</f>
        <v>18.902500833642531</v>
      </c>
      <c r="N14" s="121">
        <f ca="1">SUM(N3:N13)</f>
        <v>1</v>
      </c>
    </row>
    <row r="15" spans="2:15" s="1" customFormat="1" x14ac:dyDescent="0.3">
      <c r="B15" s="40" t="s">
        <v>64</v>
      </c>
      <c r="C15" s="41" t="s">
        <v>25</v>
      </c>
      <c r="D15" s="42">
        <v>0.1052</v>
      </c>
      <c r="E15" s="24">
        <f>IF(IF(B15="MDZ140R","",IFERROR((SUMIF($B$3:$B$70,"MDZ140R",$F$3:$F$70)*INDEX($Q$20:$Q$82,MATCH(B15,$N$20:$N$82,0))),""))=0,"",IF(B15="MDZ140R","",IFERROR((SUMIF($B$3:$B$70,"MDZ140R",$F$3:$F$70)*INDEX($Q$20:$Q$82,MATCH(B15,$N$20:$N$82,0))),"")))</f>
        <v>7.1670196000000004E-3</v>
      </c>
      <c r="F15" s="42">
        <f t="shared" si="0"/>
        <v>0.11236701960000001</v>
      </c>
      <c r="H15" s="192" t="s">
        <v>93</v>
      </c>
      <c r="I15" s="213" t="str">
        <f>IFERROR(VLOOKUP(H15,$B$3:$F$68,5,FALSE),"")</f>
        <v/>
      </c>
      <c r="J15" s="204"/>
      <c r="L15" s="122" t="s">
        <v>82</v>
      </c>
      <c r="M15" s="120">
        <f ca="1">SUM(M3,M5,M7,M9,M11,M13)</f>
        <v>0.486925</v>
      </c>
      <c r="N15" s="123">
        <f ca="1">SUM(N13,N11,N9,N7,N5,N3)</f>
        <v>2.5759818993546846E-2</v>
      </c>
    </row>
    <row r="16" spans="2:15" s="1" customFormat="1" x14ac:dyDescent="0.3">
      <c r="B16" s="40" t="s">
        <v>24</v>
      </c>
      <c r="C16" s="41" t="s">
        <v>26</v>
      </c>
      <c r="D16" s="42">
        <v>0.85850000000000004</v>
      </c>
      <c r="E16" s="24">
        <f>IF(IF(B16="MDZ140R","",IFERROR((SUMIF($B$3:$B$70,"MDZ140R",$F$3:$F$70)*INDEX($Q$20:$Q$82,MATCH(B16,$N$20:$N$82,0))),""))=0,"",IF(B16="MDZ140R","",IFERROR((SUMIF($B$3:$B$70,"MDZ140R",$F$3:$F$70)*INDEX($Q$20:$Q$82,MATCH(B16,$N$20:$N$82,0))),"")))</f>
        <v>2.3888607999999999E-3</v>
      </c>
      <c r="F16" s="42">
        <f t="shared" si="0"/>
        <v>0.86088886080000004</v>
      </c>
      <c r="H16" s="192" t="s">
        <v>94</v>
      </c>
      <c r="I16" s="213" t="str">
        <f>IFERROR(VLOOKUP(H16,$B$3:$F$68,5,FALSE),"")</f>
        <v/>
      </c>
      <c r="J16" s="204"/>
    </row>
    <row r="17" spans="2:18" s="1" customFormat="1" x14ac:dyDescent="0.3">
      <c r="B17" s="40" t="s">
        <v>27</v>
      </c>
      <c r="C17" s="41" t="s">
        <v>28</v>
      </c>
      <c r="D17" s="42">
        <v>0.2989</v>
      </c>
      <c r="E17" s="24">
        <f>IF(IF(B17="MDZ140R","",IFERROR((SUMIF($B$3:$B$70,"MDZ140R",$F$3:$F$70)*INDEX($Q$20:$Q$82,MATCH(B17,$N$20:$N$82,0))),""))=0,"",IF(B17="MDZ140R","",IFERROR((SUMIF($B$3:$B$70,"MDZ140R",$F$3:$F$70)*INDEX($Q$20:$Q$82,MATCH(B17,$N$20:$N$82,0))),"")))</f>
        <v>2.3888607999999999E-3</v>
      </c>
      <c r="F17" s="42">
        <f t="shared" si="0"/>
        <v>0.3012888608</v>
      </c>
      <c r="H17" s="192" t="s">
        <v>95</v>
      </c>
      <c r="I17" s="213" t="str">
        <f>IFERROR(VLOOKUP(H17,$B$3:$F$68,5,FALSE),"")</f>
        <v/>
      </c>
      <c r="J17" s="204"/>
    </row>
    <row r="18" spans="2:18" s="1" customFormat="1" x14ac:dyDescent="0.3">
      <c r="B18" s="40" t="s">
        <v>84</v>
      </c>
      <c r="C18" s="41" t="s">
        <v>108</v>
      </c>
      <c r="D18" s="42">
        <v>0.31869999999999998</v>
      </c>
      <c r="E18" s="24">
        <f>IF(IF(B18="MDZ140R","",IFERROR((SUMIF($B$3:$B$70,"MDZ140R",$F$3:$F$70)*INDEX($Q$20:$Q$82,MATCH(B18,$N$20:$N$82,0))),""))=0,"",IF(B18="MDZ140R","",IFERROR((SUMIF($B$3:$B$70,"MDZ140R",$F$3:$F$70)*INDEX($Q$20:$Q$82,MATCH(B18,$N$20:$N$82,0))),"")))</f>
        <v>0.17918029919999998</v>
      </c>
      <c r="F18" s="42">
        <f t="shared" si="0"/>
        <v>0.49788029919999999</v>
      </c>
      <c r="H18" s="192" t="s">
        <v>96</v>
      </c>
      <c r="I18" s="213" t="str">
        <f>IFERROR(VLOOKUP(H18,$B$3:$F$68,5,FALSE),"")</f>
        <v/>
      </c>
      <c r="J18" s="198"/>
      <c r="K18" s="2">
        <v>6.7964829831804498E-3</v>
      </c>
    </row>
    <row r="19" spans="2:18" s="1" customFormat="1" x14ac:dyDescent="0.3">
      <c r="B19" s="40" t="s">
        <v>29</v>
      </c>
      <c r="C19" s="41" t="s">
        <v>30</v>
      </c>
      <c r="D19" s="42">
        <v>0.72870000000000001</v>
      </c>
      <c r="E19" s="24" t="str">
        <f>IF(IF(B19="MDZ140R","",IFERROR((SUMIF($B$3:$B$70,"MDZ140R",$F$3:$F$70)*INDEX($Q$20:$Q$82,MATCH(B19,$N$20:$N$82,0))),""))=0,"",IF(B19="MDZ140R","",IFERROR((SUMIF($B$3:$B$70,"MDZ140R",$F$3:$F$70)*INDEX($Q$20:$Q$82,MATCH(B19,$N$20:$N$82,0))),"")))</f>
        <v/>
      </c>
      <c r="F19" s="42">
        <f t="shared" si="0"/>
        <v>0.72870000000000001</v>
      </c>
      <c r="H19" s="192" t="s">
        <v>97</v>
      </c>
      <c r="I19" s="213" t="str">
        <f>IFERROR(VLOOKUP(H19,$B$3:$F$68,5,FALSE),"")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0" t="s">
        <v>31</v>
      </c>
      <c r="C20" s="41" t="s">
        <v>67</v>
      </c>
      <c r="D20" s="42">
        <v>0.2145</v>
      </c>
      <c r="E20" s="24" t="str">
        <f>IF(IF(B20="MDZ140R","",IFERROR((SUMIF($B$3:$B$70,"MDZ140R",$F$3:$F$70)*INDEX($Q$20:$Q$82,MATCH(B20,$N$20:$N$82,0))),""))=0,"",IF(B20="MDZ140R","",IFERROR((SUMIF($B$3:$B$70,"MDZ140R",$F$3:$F$70)*INDEX($Q$20:$Q$82,MATCH(B20,$N$20:$N$82,0))),"")))</f>
        <v/>
      </c>
      <c r="F20" s="42">
        <f t="shared" si="0"/>
        <v>0.2145</v>
      </c>
      <c r="H20" s="192" t="s">
        <v>98</v>
      </c>
      <c r="I20" s="213" t="str">
        <f>IFERROR(VLOOKUP(H20,$B$3:$F$68,5,FALSE),"")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0" t="s">
        <v>34</v>
      </c>
      <c r="C21" s="41" t="s">
        <v>35</v>
      </c>
      <c r="D21" s="42">
        <v>0.1724</v>
      </c>
      <c r="E21" s="24">
        <f>IF(IF(B21="MDZ140R","",IFERROR((SUMIF($B$3:$B$70,"MDZ140R",$F$3:$F$70)*INDEX($Q$20:$Q$82,MATCH(B21,$N$20:$N$82,0))),""))=0,"",IF(B21="MDZ140R","",IFERROR((SUMIF($B$3:$B$70,"MDZ140R",$F$3:$F$70)*INDEX($Q$20:$Q$82,MATCH(B21,$N$20:$N$82,0))),"")))</f>
        <v>4.7781587999999996E-3</v>
      </c>
      <c r="F21" s="42">
        <f t="shared" si="0"/>
        <v>0.17717815879999999</v>
      </c>
      <c r="H21" s="192" t="s">
        <v>99</v>
      </c>
      <c r="I21" s="213" t="str">
        <f>IFERROR(VLOOKUP(H21,$B$3:$F$68,5,FALSE),"")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0" t="s">
        <v>36</v>
      </c>
      <c r="C22" s="41" t="s">
        <v>37</v>
      </c>
      <c r="D22" s="42">
        <v>0.36880000000000002</v>
      </c>
      <c r="E22" s="24" t="str">
        <f>IF(IF(B22="MDZ140R","",IFERROR((SUMIF($B$3:$B$70,"MDZ140R",$F$3:$F$70)*INDEX($Q$20:$Q$82,MATCH(B22,$N$20:$N$82,0))),""))=0,"",IF(B22="MDZ140R","",IFERROR((SUMIF($B$3:$B$70,"MDZ140R",$F$3:$F$70)*INDEX($Q$20:$Q$82,MATCH(B22,$N$20:$N$82,0))),"")))</f>
        <v/>
      </c>
      <c r="F22" s="42">
        <f t="shared" si="0"/>
        <v>0.36880000000000002</v>
      </c>
      <c r="H22" s="197" t="s">
        <v>70</v>
      </c>
      <c r="I22" s="213" t="str">
        <f>IFERROR(VLOOKUP(H22,$B$3:$F$68,5,FALSE),"")</f>
        <v/>
      </c>
      <c r="J22" s="198">
        <f>SUM(I22:I35)</f>
        <v>0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9"/>
      <c r="C23" s="180"/>
      <c r="D23" s="181"/>
      <c r="E23" s="182"/>
      <c r="F23" s="181"/>
      <c r="H23" s="199"/>
      <c r="I23" s="213" t="str">
        <f>IFERROR(VLOOKUP(H23,$B$3:$F$68,5,FALSE),"")</f>
        <v/>
      </c>
      <c r="J23" s="186"/>
      <c r="L23" s="183"/>
      <c r="M23" s="183"/>
      <c r="N23" s="183"/>
      <c r="O23" s="183"/>
      <c r="P23" s="185"/>
      <c r="Q23" s="186"/>
      <c r="R23" s="183"/>
    </row>
    <row r="24" spans="2:18" s="144" customFormat="1" x14ac:dyDescent="0.3">
      <c r="B24" s="179"/>
      <c r="C24" s="180"/>
      <c r="D24" s="181"/>
      <c r="E24" s="182"/>
      <c r="F24" s="181"/>
      <c r="H24" s="199"/>
      <c r="I24" s="213" t="str">
        <f>IFERROR(VLOOKUP(H24,$B$3:$F$68,5,FALSE),"")</f>
        <v/>
      </c>
      <c r="J24" s="186"/>
      <c r="L24" s="183"/>
      <c r="M24" s="183"/>
      <c r="N24" s="183"/>
      <c r="O24" s="183"/>
      <c r="P24" s="185"/>
      <c r="Q24" s="186"/>
      <c r="R24" s="183"/>
    </row>
    <row r="25" spans="2:18" s="144" customFormat="1" x14ac:dyDescent="0.3">
      <c r="B25" s="179"/>
      <c r="C25" s="180"/>
      <c r="D25" s="181"/>
      <c r="E25" s="182"/>
      <c r="F25" s="181"/>
      <c r="H25" s="199"/>
      <c r="I25" s="213" t="str">
        <f>IFERROR(VLOOKUP(H25,$B$3:$F$68,5,FALSE),"")</f>
        <v/>
      </c>
      <c r="J25" s="186"/>
      <c r="L25" s="183"/>
      <c r="M25" s="183"/>
      <c r="N25" s="183"/>
      <c r="O25" s="183"/>
      <c r="P25" s="185"/>
      <c r="Q25" s="186"/>
      <c r="R25" s="183"/>
    </row>
    <row r="26" spans="2:18" s="144" customFormat="1" x14ac:dyDescent="0.3">
      <c r="B26" s="179"/>
      <c r="C26" s="180"/>
      <c r="D26" s="181"/>
      <c r="E26" s="182"/>
      <c r="F26" s="181"/>
      <c r="H26" s="192"/>
      <c r="I26" s="213" t="str">
        <f>IFERROR(VLOOKUP(H26,$B$3:$F$68,5,FALSE),"")</f>
        <v/>
      </c>
      <c r="J26" s="204"/>
      <c r="L26" s="183"/>
      <c r="M26" s="183"/>
      <c r="N26" s="183"/>
      <c r="O26" s="183"/>
      <c r="P26" s="185"/>
      <c r="Q26" s="186"/>
      <c r="R26" s="183"/>
    </row>
    <row r="27" spans="2:18" s="1" customFormat="1" x14ac:dyDescent="0.3">
      <c r="B27" s="40" t="s">
        <v>38</v>
      </c>
      <c r="C27" s="41" t="s">
        <v>39</v>
      </c>
      <c r="D27" s="42">
        <v>0.46</v>
      </c>
      <c r="E27" s="24" t="str">
        <f>IF(IF(B27="MDZ140R","",IFERROR((SUMIF($B$3:$B$70,"MDZ140R",$F$3:$F$70)*INDEX($Q$20:$Q$82,MATCH(B27,$N$20:$N$82,0))),""))=0,"",IF(B27="MDZ140R","",IFERROR((SUMIF($B$3:$B$70,"MDZ140R",$F$3:$F$70)*INDEX($Q$20:$Q$82,MATCH(B27,$N$20:$N$82,0))),"")))</f>
        <v/>
      </c>
      <c r="F27" s="42">
        <f t="shared" si="0"/>
        <v>0.46</v>
      </c>
      <c r="H27" s="192"/>
      <c r="I27" s="213" t="str">
        <f>IFERROR(VLOOKUP(H27,$B$3:$F$68,5,FALSE),"")</f>
        <v/>
      </c>
      <c r="J27" s="204"/>
      <c r="L27" s="56"/>
      <c r="M27" s="56"/>
      <c r="N27" s="56" t="s">
        <v>14</v>
      </c>
      <c r="O27" s="56" t="s">
        <v>15</v>
      </c>
      <c r="P27" s="125">
        <v>5</v>
      </c>
      <c r="Q27" s="126">
        <v>2.7321999999999999E-2</v>
      </c>
      <c r="R27" s="56"/>
    </row>
    <row r="28" spans="2:18" s="1" customFormat="1" x14ac:dyDescent="0.3">
      <c r="B28" s="40" t="s">
        <v>65</v>
      </c>
      <c r="C28" s="41" t="s">
        <v>40</v>
      </c>
      <c r="D28" s="42">
        <v>0.99299999999999999</v>
      </c>
      <c r="E28" s="24" t="str">
        <f>IF(IF(B28="MDZ140R","",IFERROR((SUMIF($B$3:$B$70,"MDZ140R",$F$3:$F$70)*INDEX($Q$20:$Q$82,MATCH(B28,$N$20:$N$82,0))),""))=0,"",IF(B28="MDZ140R","",IFERROR((SUMIF($B$3:$B$70,"MDZ140R",$F$3:$F$70)*INDEX($Q$20:$Q$82,MATCH(B28,$N$20:$N$82,0))),"")))</f>
        <v/>
      </c>
      <c r="F28" s="42">
        <f t="shared" si="0"/>
        <v>0.99299999999999999</v>
      </c>
      <c r="H28" s="192"/>
      <c r="I28" s="213" t="str">
        <f>IFERROR(VLOOKUP(H28,$B$3:$F$68,5,FALSE),"")</f>
        <v/>
      </c>
      <c r="J28" s="204"/>
      <c r="L28" s="56"/>
      <c r="M28" s="56"/>
      <c r="N28" s="56" t="s">
        <v>60</v>
      </c>
      <c r="O28" s="56" t="s">
        <v>4</v>
      </c>
      <c r="P28" s="125">
        <v>2</v>
      </c>
      <c r="Q28" s="126">
        <v>1.0928999999999999E-2</v>
      </c>
      <c r="R28" s="56"/>
    </row>
    <row r="29" spans="2:18" s="1" customFormat="1" x14ac:dyDescent="0.3">
      <c r="B29" s="40" t="s">
        <v>41</v>
      </c>
      <c r="C29" s="41" t="s">
        <v>66</v>
      </c>
      <c r="D29" s="42">
        <v>0.26150000000000001</v>
      </c>
      <c r="E29" s="24" t="str">
        <f>IF(IF(B29="MDZ140R","",IFERROR((SUMIF($B$3:$B$70,"MDZ140R",$F$3:$F$70)*INDEX($Q$20:$Q$82,MATCH(B29,$N$20:$N$82,0))),""))=0,"",IF(B29="MDZ140R","",IFERROR((SUMIF($B$3:$B$70,"MDZ140R",$F$3:$F$70)*INDEX($Q$20:$Q$82,MATCH(B29,$N$20:$N$82,0))),"")))</f>
        <v/>
      </c>
      <c r="F29" s="42">
        <f t="shared" si="0"/>
        <v>0.26150000000000001</v>
      </c>
      <c r="H29" s="192"/>
      <c r="I29" s="213" t="str">
        <f>IFERROR(VLOOKUP(H29,$B$3:$F$68,5,FALSE),"")</f>
        <v/>
      </c>
      <c r="J29" s="204"/>
      <c r="L29" s="56"/>
      <c r="M29" s="56"/>
      <c r="N29" s="56" t="s">
        <v>61</v>
      </c>
      <c r="O29" s="56" t="s">
        <v>5</v>
      </c>
      <c r="P29" s="125">
        <v>2</v>
      </c>
      <c r="Q29" s="126">
        <v>1.0928999999999999E-2</v>
      </c>
      <c r="R29" s="56"/>
    </row>
    <row r="30" spans="2:18" s="1" customFormat="1" x14ac:dyDescent="0.3">
      <c r="B30" s="40" t="s">
        <v>42</v>
      </c>
      <c r="C30" s="41" t="s">
        <v>43</v>
      </c>
      <c r="D30" s="42">
        <v>0.15989999999999999</v>
      </c>
      <c r="E30" s="24" t="str">
        <f>IF(IF(B30="MDZ140R","",IFERROR((SUMIF($B$3:$B$70,"MDZ140R",$F$3:$F$70)*INDEX($Q$20:$Q$82,MATCH(B30,$N$20:$N$82,0))),""))=0,"",IF(B30="MDZ140R","",IFERROR((SUMIF($B$3:$B$70,"MDZ140R",$F$3:$F$70)*INDEX($Q$20:$Q$82,MATCH(B30,$N$20:$N$82,0))),"")))</f>
        <v/>
      </c>
      <c r="F30" s="42">
        <f t="shared" si="0"/>
        <v>0.15989999999999999</v>
      </c>
      <c r="H30" s="192"/>
      <c r="I30" s="213" t="str">
        <f>IFERROR(VLOOKUP(H30,$B$3:$F$68,5,FALSE),"")</f>
        <v/>
      </c>
      <c r="J30" s="204"/>
      <c r="L30" s="56"/>
      <c r="M30" s="56"/>
      <c r="N30" s="56" t="s">
        <v>18</v>
      </c>
      <c r="O30" s="56" t="s">
        <v>110</v>
      </c>
      <c r="P30" s="125">
        <v>4</v>
      </c>
      <c r="Q30" s="126">
        <v>2.1857999999999999E-2</v>
      </c>
      <c r="R30" s="56"/>
    </row>
    <row r="31" spans="2:18" s="1" customFormat="1" x14ac:dyDescent="0.3">
      <c r="B31" s="40" t="s">
        <v>45</v>
      </c>
      <c r="C31" s="41" t="s">
        <v>183</v>
      </c>
      <c r="D31" s="42">
        <v>0.89500000000000002</v>
      </c>
      <c r="E31" s="24" t="str">
        <f>IF(IF(B31="MDZ140R","",IFERROR((SUMIF($B$3:$B$70,"MDZ140R",$F$3:$F$70)*INDEX($Q$20:$Q$82,MATCH(B31,$N$20:$N$82,0))),""))=0,"",IF(B31="MDZ140R","",IFERROR((SUMIF($B$3:$B$70,"MDZ140R",$F$3:$F$70)*INDEX($Q$20:$Q$82,MATCH(B31,$N$20:$N$82,0))),"")))</f>
        <v/>
      </c>
      <c r="F31" s="42">
        <f t="shared" si="0"/>
        <v>0.89500000000000002</v>
      </c>
      <c r="H31" s="192"/>
      <c r="I31" s="213" t="str">
        <f>IFERROR(VLOOKUP(H31,$B$3:$F$68,5,FALSE),"")</f>
        <v/>
      </c>
      <c r="J31" s="204"/>
      <c r="L31" s="56"/>
      <c r="M31" s="56"/>
      <c r="N31" s="56" t="s">
        <v>24</v>
      </c>
      <c r="O31" s="56" t="s">
        <v>111</v>
      </c>
      <c r="P31" s="125">
        <v>1</v>
      </c>
      <c r="Q31" s="126">
        <v>5.4640000000000001E-3</v>
      </c>
      <c r="R31" s="56"/>
    </row>
    <row r="32" spans="2:18" s="1" customFormat="1" x14ac:dyDescent="0.3">
      <c r="B32" s="40" t="s">
        <v>46</v>
      </c>
      <c r="C32" s="41" t="s">
        <v>47</v>
      </c>
      <c r="D32" s="42">
        <v>0.80230000000000001</v>
      </c>
      <c r="E32" s="24">
        <f>IF(IF(B32="MDZ140R","",IFERROR((SUMIF($B$3:$B$70,"MDZ140R",$F$3:$F$70)*INDEX($Q$20:$Q$82,MATCH(B32,$N$20:$N$82,0))),""))=0,"",IF(B32="MDZ140R","",IFERROR((SUMIF($B$3:$B$70,"MDZ140R",$F$3:$F$70)*INDEX($Q$20:$Q$82,MATCH(B32,$N$20:$N$82,0))),"")))</f>
        <v>5.9726766399999999E-2</v>
      </c>
      <c r="F32" s="42">
        <f t="shared" si="0"/>
        <v>0.86202676639999998</v>
      </c>
      <c r="H32" s="205"/>
      <c r="I32" s="213" t="str">
        <f>IFERROR(VLOOKUP(H32,$B$3:$F$68,5,FALSE),"")</f>
        <v/>
      </c>
      <c r="J32" s="204"/>
      <c r="L32" s="56"/>
      <c r="M32" s="56"/>
      <c r="N32" s="56" t="s">
        <v>64</v>
      </c>
      <c r="O32" s="127">
        <v>4020</v>
      </c>
      <c r="P32" s="125">
        <v>3</v>
      </c>
      <c r="Q32" s="126">
        <v>1.6393000000000001E-2</v>
      </c>
      <c r="R32" s="56"/>
    </row>
    <row r="33" spans="2:18" s="1" customFormat="1" x14ac:dyDescent="0.3">
      <c r="B33" s="40" t="s">
        <v>107</v>
      </c>
      <c r="C33" s="41" t="s">
        <v>200</v>
      </c>
      <c r="D33" s="42">
        <v>0.43719999999999998</v>
      </c>
      <c r="E33" s="24" t="str">
        <f>IF(IF(B33="MDZ140R","",IFERROR((SUMIF($B$3:$B$70,"MDZ140R",$F$3:$F$70)*INDEX($Q$20:$Q$82,MATCH(B33,$N$20:$N$82,0))),""))=0,"",IF(B33="MDZ140R","",IFERROR((SUMIF($B$3:$B$70,"MDZ140R",$F$3:$F$70)*INDEX($Q$20:$Q$82,MATCH(B33,$N$20:$N$82,0))),"")))</f>
        <v/>
      </c>
      <c r="F33" s="42">
        <f t="shared" si="0"/>
        <v>0.43719999999999998</v>
      </c>
      <c r="H33" s="192"/>
      <c r="I33" s="213" t="str">
        <f>IFERROR(VLOOKUP(H33,$B$3:$F$68,5,FALSE),"")</f>
        <v/>
      </c>
      <c r="J33" s="198"/>
      <c r="L33" s="56"/>
      <c r="M33" s="56"/>
      <c r="N33" s="56" t="s">
        <v>34</v>
      </c>
      <c r="O33" s="56" t="s">
        <v>112</v>
      </c>
      <c r="P33" s="125">
        <v>2</v>
      </c>
      <c r="Q33" s="126">
        <v>1.0928999999999999E-2</v>
      </c>
      <c r="R33" s="56"/>
    </row>
    <row r="34" spans="2:18" s="1" customFormat="1" x14ac:dyDescent="0.3">
      <c r="B34" s="40" t="s">
        <v>48</v>
      </c>
      <c r="C34" s="41" t="s">
        <v>49</v>
      </c>
      <c r="D34" s="42">
        <v>0.79530000000000001</v>
      </c>
      <c r="E34" s="24" t="str">
        <f>IF(IF(B34="MDZ140R","",IFERROR((SUMIF($B$3:$B$70,"MDZ140R",$F$3:$F$70)*INDEX($Q$20:$Q$82,MATCH(B34,$N$20:$N$82,0))),""))=0,"",IF(B34="MDZ140R","",IFERROR((SUMIF($B$3:$B$70,"MDZ140R",$F$3:$F$70)*INDEX($Q$20:$Q$82,MATCH(B34,$N$20:$N$82,0))),"")))</f>
        <v/>
      </c>
      <c r="F34" s="42">
        <f t="shared" si="0"/>
        <v>0.79530000000000001</v>
      </c>
      <c r="H34" s="192"/>
      <c r="I34" s="213" t="str">
        <f>IFERROR(VLOOKUP(H34,$B$3:$F$68,5,FALSE),"")</f>
        <v/>
      </c>
      <c r="J34" s="198"/>
      <c r="L34" s="56"/>
      <c r="M34" s="56"/>
      <c r="N34" s="56" t="s">
        <v>63</v>
      </c>
      <c r="O34" s="56" t="s">
        <v>23</v>
      </c>
      <c r="P34" s="125">
        <v>1</v>
      </c>
      <c r="Q34" s="126">
        <v>5.4640000000000001E-3</v>
      </c>
      <c r="R34" s="56"/>
    </row>
    <row r="35" spans="2:18" s="1" customFormat="1" x14ac:dyDescent="0.3">
      <c r="B35" s="40" t="s">
        <v>44</v>
      </c>
      <c r="C35" s="41" t="s">
        <v>146</v>
      </c>
      <c r="D35" s="42">
        <v>0.59870000000000001</v>
      </c>
      <c r="E35" s="24" t="str">
        <f>IF(IF(B35="MDZ140R","",IFERROR((SUMIF($B$3:$B$70,"MDZ140R",$F$3:$F$70)*INDEX($Q$20:$Q$82,MATCH(B35,$N$20:$N$82,0))),""))=0,"",IF(B35="MDZ140R","",IFERROR((SUMIF($B$3:$B$70,"MDZ140R",$F$3:$F$70)*INDEX($Q$20:$Q$82,MATCH(B35,$N$20:$N$82,0))),"")))</f>
        <v/>
      </c>
      <c r="F35" s="42">
        <f t="shared" si="0"/>
        <v>0.59870000000000001</v>
      </c>
      <c r="H35" s="189"/>
      <c r="I35" s="213" t="str">
        <f>IFERROR(VLOOKUP(H35,$B$3:$F$68,5,FALSE),"")</f>
        <v/>
      </c>
      <c r="J35" s="198"/>
      <c r="L35" s="56"/>
      <c r="M35" s="56"/>
      <c r="N35" s="56" t="s">
        <v>7</v>
      </c>
      <c r="O35" s="56" t="s">
        <v>8</v>
      </c>
      <c r="P35" s="125">
        <v>1</v>
      </c>
      <c r="Q35" s="126">
        <v>5.4640000000000001E-3</v>
      </c>
      <c r="R35" s="56"/>
    </row>
    <row r="36" spans="2:18" s="1" customFormat="1" x14ac:dyDescent="0.3">
      <c r="B36" s="40" t="s">
        <v>50</v>
      </c>
      <c r="C36" s="41" t="s">
        <v>51</v>
      </c>
      <c r="D36" s="42">
        <v>0.30640000000000001</v>
      </c>
      <c r="E36" s="24" t="str">
        <f>IF(IF(B36="MDZ140R","",IFERROR((SUMIF($B$3:$B$70,"MDZ140R",$F$3:$F$70)*INDEX($Q$20:$Q$82,MATCH(B36,$N$20:$N$82,0))),""))=0,"",IF(B36="MDZ140R","",IFERROR((SUMIF($B$3:$B$70,"MDZ140R",$F$3:$F$70)*INDEX($Q$20:$Q$82,MATCH(B36,$N$20:$N$82,0))),"")))</f>
        <v/>
      </c>
      <c r="F36" s="42">
        <f t="shared" si="0"/>
        <v>0.30640000000000001</v>
      </c>
      <c r="H36" s="189" t="s">
        <v>72</v>
      </c>
      <c r="I36" s="213" t="str">
        <f>IFERROR(VLOOKUP(H36,$B$3:$F$68,5,FALSE),"")</f>
        <v/>
      </c>
      <c r="J36" s="191">
        <f>SUM(I36:I81)</f>
        <v>0.10725</v>
      </c>
      <c r="L36" s="56"/>
      <c r="M36" s="56"/>
      <c r="N36" s="56" t="s">
        <v>27</v>
      </c>
      <c r="O36" s="56" t="s">
        <v>113</v>
      </c>
      <c r="P36" s="125">
        <v>1</v>
      </c>
      <c r="Q36" s="126">
        <v>5.4640000000000001E-3</v>
      </c>
      <c r="R36" s="56"/>
    </row>
    <row r="37" spans="2:18" s="144" customFormat="1" x14ac:dyDescent="0.3">
      <c r="B37" s="179"/>
      <c r="C37" s="180"/>
      <c r="D37" s="181"/>
      <c r="E37" s="182"/>
      <c r="F37" s="181"/>
      <c r="H37" s="183" t="s">
        <v>386</v>
      </c>
      <c r="I37" s="214">
        <v>0.10725</v>
      </c>
      <c r="J37" s="184"/>
      <c r="L37" s="183"/>
      <c r="M37" s="183"/>
      <c r="N37" s="183"/>
      <c r="O37" s="183"/>
      <c r="P37" s="185"/>
      <c r="Q37" s="186"/>
      <c r="R37" s="183"/>
    </row>
    <row r="38" spans="2:18" s="144" customFormat="1" x14ac:dyDescent="0.3">
      <c r="B38" s="179"/>
      <c r="C38" s="180"/>
      <c r="D38" s="181"/>
      <c r="E38" s="182"/>
      <c r="F38" s="181"/>
      <c r="H38" s="183"/>
      <c r="I38" s="215"/>
      <c r="J38" s="184"/>
      <c r="L38" s="183"/>
      <c r="M38" s="183"/>
      <c r="N38" s="183"/>
      <c r="O38" s="183"/>
      <c r="P38" s="185"/>
      <c r="Q38" s="186"/>
      <c r="R38" s="183"/>
    </row>
    <row r="39" spans="2:18" s="144" customFormat="1" x14ac:dyDescent="0.3">
      <c r="B39" s="179"/>
      <c r="C39" s="180"/>
      <c r="D39" s="181"/>
      <c r="E39" s="182"/>
      <c r="F39" s="181"/>
      <c r="H39" s="183"/>
      <c r="I39" s="213"/>
      <c r="J39" s="184"/>
      <c r="L39" s="183"/>
      <c r="M39" s="183"/>
      <c r="N39" s="183"/>
      <c r="O39" s="183"/>
      <c r="P39" s="185"/>
      <c r="Q39" s="186"/>
      <c r="R39" s="183"/>
    </row>
    <row r="40" spans="2:18" s="144" customFormat="1" x14ac:dyDescent="0.3">
      <c r="B40" s="179"/>
      <c r="C40" s="180"/>
      <c r="D40" s="181"/>
      <c r="E40" s="182"/>
      <c r="F40" s="181"/>
      <c r="H40" s="183"/>
      <c r="I40" s="213"/>
      <c r="J40" s="184"/>
      <c r="L40" s="183"/>
      <c r="M40" s="183"/>
      <c r="N40" s="183"/>
      <c r="O40" s="183"/>
      <c r="P40" s="185"/>
      <c r="Q40" s="186"/>
      <c r="R40" s="183"/>
    </row>
    <row r="41" spans="2:18" s="144" customFormat="1" x14ac:dyDescent="0.3">
      <c r="B41" s="179"/>
      <c r="C41" s="180"/>
      <c r="D41" s="181"/>
      <c r="E41" s="182"/>
      <c r="F41" s="181"/>
      <c r="H41" s="189"/>
      <c r="I41" s="213" t="str">
        <f>IFERROR(VLOOKUP(H41,$B$3:$F$68,5,FALSE),"")</f>
        <v/>
      </c>
      <c r="J41" s="191"/>
      <c r="L41" s="183"/>
      <c r="M41" s="183"/>
      <c r="N41" s="183"/>
      <c r="O41" s="183"/>
      <c r="P41" s="185"/>
      <c r="Q41" s="186"/>
      <c r="R41" s="183"/>
    </row>
    <row r="42" spans="2:18" s="144" customFormat="1" x14ac:dyDescent="0.3">
      <c r="B42" s="179"/>
      <c r="C42" s="180"/>
      <c r="D42" s="181"/>
      <c r="E42" s="182"/>
      <c r="F42" s="181"/>
      <c r="H42" s="192"/>
      <c r="I42" s="213" t="str">
        <f>IFERROR(VLOOKUP(H42,$B$3:$F$68,5,FALSE),"")</f>
        <v/>
      </c>
      <c r="J42" s="206"/>
      <c r="L42" s="183"/>
      <c r="M42" s="183"/>
      <c r="N42" s="183"/>
      <c r="O42" s="183"/>
      <c r="P42" s="185"/>
      <c r="Q42" s="186"/>
      <c r="R42" s="183"/>
    </row>
    <row r="43" spans="2:18" s="144" customFormat="1" x14ac:dyDescent="0.3">
      <c r="B43" s="179"/>
      <c r="C43" s="180"/>
      <c r="D43" s="181"/>
      <c r="E43" s="182"/>
      <c r="F43" s="181"/>
      <c r="H43" s="192"/>
      <c r="I43" s="213" t="str">
        <f>IFERROR(VLOOKUP(H43,$B$3:$F$68,5,FALSE),"")</f>
        <v/>
      </c>
      <c r="J43" s="206"/>
      <c r="L43" s="183"/>
      <c r="M43" s="183"/>
      <c r="N43" s="183"/>
      <c r="O43" s="183"/>
      <c r="P43" s="185"/>
      <c r="Q43" s="186"/>
      <c r="R43" s="183"/>
    </row>
    <row r="44" spans="2:18" s="1" customFormat="1" x14ac:dyDescent="0.3">
      <c r="B44" s="179"/>
      <c r="C44" s="180"/>
      <c r="D44" s="181"/>
      <c r="E44" s="188"/>
      <c r="F44" s="181"/>
      <c r="H44" s="192"/>
      <c r="I44" s="213" t="str">
        <f>IFERROR(VLOOKUP(H44,$B$3:$F$68,5,FALSE),"")</f>
        <v/>
      </c>
      <c r="J44" s="206"/>
      <c r="L44" s="192"/>
      <c r="M44" s="192"/>
      <c r="N44" s="192"/>
      <c r="O44" s="192"/>
      <c r="P44" s="193"/>
      <c r="Q44" s="194"/>
      <c r="R44" s="192"/>
    </row>
    <row r="45" spans="2:18" s="144" customFormat="1" x14ac:dyDescent="0.3">
      <c r="B45" s="40" t="s">
        <v>53</v>
      </c>
      <c r="C45" s="41" t="s">
        <v>54</v>
      </c>
      <c r="D45" s="42">
        <v>0.24959999999999999</v>
      </c>
      <c r="E45" s="24" t="str">
        <f>IF(IF(B45="MDZ140R","",IFERROR((SUMIF($B$3:$B$70,"MDZ140R",$F$3:$F$70)*INDEX($Q$20:$Q$82,MATCH(B45,$N$20:$N$82,0))),""))=0,"",IF(B45="MDZ140R","",IFERROR((SUMIF($B$3:$B$70,"MDZ140R",$F$3:$F$70)*INDEX($Q$20:$Q$82,MATCH(B45,$N$20:$N$82,0))),"")))</f>
        <v/>
      </c>
      <c r="F45" s="42">
        <f t="shared" ref="F45:F66" si="2">IF(D45="","",D45+ IF(E45="",0,E45))</f>
        <v>0.24959999999999999</v>
      </c>
      <c r="H45" s="192"/>
      <c r="I45" s="213" t="str">
        <f>IFERROR(VLOOKUP(H45,$B$3:$F$68,5,FALSE),"")</f>
        <v/>
      </c>
      <c r="J45" s="206"/>
      <c r="L45" s="145"/>
      <c r="M45" s="145"/>
      <c r="N45" s="145"/>
      <c r="O45" s="145"/>
      <c r="P45" s="147"/>
      <c r="Q45" s="148"/>
      <c r="R45" s="145"/>
    </row>
    <row r="46" spans="2:18" s="1" customFormat="1" x14ac:dyDescent="0.3">
      <c r="B46" s="89" t="s">
        <v>55</v>
      </c>
      <c r="C46" s="89" t="s">
        <v>56</v>
      </c>
      <c r="D46" s="42">
        <v>7.6899999999999996E-2</v>
      </c>
      <c r="E46" s="24" t="str">
        <f>IF(IF(B46="MDZ140R","",IFERROR((SUMIF($B$3:$B$70,"MDZ140R",$F$3:$F$70)*INDEX($Q$20:$Q$82,MATCH(B46,$N$20:$N$82,0))),""))=0,"",IF(B46="MDZ140R","",IFERROR((SUMIF($B$3:$B$70,"MDZ140R",$F$3:$F$70)*INDEX($Q$20:$Q$82,MATCH(B46,$N$20:$N$82,0))),"")))</f>
        <v/>
      </c>
      <c r="F46" s="42">
        <f t="shared" si="2"/>
        <v>7.6899999999999996E-2</v>
      </c>
      <c r="H46" s="192"/>
      <c r="I46" s="213" t="str">
        <f>IFERROR(VLOOKUP(H46,$B$3:$F$68,5,FALSE),"")</f>
        <v/>
      </c>
      <c r="J46" s="206"/>
      <c r="L46" s="56"/>
      <c r="M46" s="56"/>
      <c r="N46" s="56"/>
      <c r="O46" s="56"/>
      <c r="P46" s="125"/>
      <c r="Q46" s="126"/>
      <c r="R46" s="56"/>
    </row>
    <row r="47" spans="2:18" s="1" customFormat="1" x14ac:dyDescent="0.3">
      <c r="B47" s="89" t="s">
        <v>114</v>
      </c>
      <c r="C47" s="89" t="s">
        <v>115</v>
      </c>
      <c r="D47" s="42">
        <v>0.6825</v>
      </c>
      <c r="E47" s="24" t="str">
        <f>IF(IF(B47="MDZ140R","",IFERROR((SUMIF($B$3:$B$70,"MDZ140R",$F$3:$F$70)*INDEX($Q$20:$Q$82,MATCH(B47,$N$20:$N$82,0))),""))=0,"",IF(B47="MDZ140R","",IFERROR((SUMIF($B$3:$B$70,"MDZ140R",$F$3:$F$70)*INDEX($Q$20:$Q$82,MATCH(B47,$N$20:$N$82,0))),"")))</f>
        <v/>
      </c>
      <c r="F47" s="42">
        <f t="shared" si="2"/>
        <v>0.6825</v>
      </c>
      <c r="H47" s="192"/>
      <c r="I47" s="213" t="str">
        <f>IFERROR(VLOOKUP(H47,$B$3:$F$68,5,FALSE),"")</f>
        <v/>
      </c>
      <c r="J47" s="206"/>
      <c r="L47" s="56"/>
      <c r="M47" s="56"/>
      <c r="N47" s="56"/>
      <c r="O47" s="56"/>
      <c r="P47" s="125"/>
      <c r="Q47" s="126"/>
      <c r="R47" s="56"/>
    </row>
    <row r="48" spans="2:18" s="1" customFormat="1" x14ac:dyDescent="0.3">
      <c r="B48" s="89" t="s">
        <v>119</v>
      </c>
      <c r="C48" s="89" t="s">
        <v>120</v>
      </c>
      <c r="D48" s="42">
        <v>0.24640000000000001</v>
      </c>
      <c r="E48" s="24" t="str">
        <f>IF(IF(B48="MDZ140R","",IFERROR((SUMIF($B$3:$B$70,"MDZ140R",$F$3:$F$70)*INDEX($Q$20:$Q$82,MATCH(B48,$N$20:$N$82,0))),""))=0,"",IF(B48="MDZ140R","",IFERROR((SUMIF($B$3:$B$70,"MDZ140R",$F$3:$F$70)*INDEX($Q$20:$Q$82,MATCH(B48,$N$20:$N$82,0))),"")))</f>
        <v/>
      </c>
      <c r="F48" s="42">
        <f t="shared" si="2"/>
        <v>0.24640000000000001</v>
      </c>
      <c r="H48" s="192"/>
      <c r="I48" s="213" t="str">
        <f>IFERROR(VLOOKUP(H48,$B$3:$F$68,5,FALSE),"")</f>
        <v/>
      </c>
      <c r="J48" s="206"/>
      <c r="L48" s="56"/>
      <c r="M48" s="56"/>
      <c r="N48" s="56"/>
      <c r="O48" s="56"/>
      <c r="P48" s="125"/>
      <c r="Q48" s="126"/>
      <c r="R48" s="56"/>
    </row>
    <row r="49" spans="2:18" s="1" customFormat="1" x14ac:dyDescent="0.3">
      <c r="B49" s="89" t="s">
        <v>90</v>
      </c>
      <c r="C49" s="89" t="s">
        <v>195</v>
      </c>
      <c r="D49" s="42">
        <v>8.2500000000000004E-2</v>
      </c>
      <c r="E49" s="24" t="str">
        <f>IF(IF(B49="MDZ140R","",IFERROR((SUMIF($B$3:$B$70,"MDZ140R",$F$3:$F$70)*INDEX($Q$20:$Q$82,MATCH(B49,$N$20:$N$82,0))),""))=0,"",IF(B49="MDZ140R","",IFERROR((SUMIF($B$3:$B$70,"MDZ140R",$F$3:$F$70)*INDEX($Q$20:$Q$82,MATCH(B49,$N$20:$N$82,0))),"")))</f>
        <v/>
      </c>
      <c r="F49" s="42">
        <f t="shared" si="2"/>
        <v>8.2500000000000004E-2</v>
      </c>
      <c r="H49" s="192"/>
      <c r="I49" s="213" t="str">
        <f>IFERROR(VLOOKUP(H49,$B$3:$F$68,5,FALSE),"")</f>
        <v/>
      </c>
      <c r="J49" s="206"/>
      <c r="L49" s="56"/>
      <c r="M49" s="56"/>
      <c r="N49" s="56"/>
      <c r="O49" s="56"/>
      <c r="P49" s="125"/>
      <c r="Q49" s="126"/>
      <c r="R49" s="56"/>
    </row>
    <row r="50" spans="2:18" s="1" customFormat="1" x14ac:dyDescent="0.3">
      <c r="B50" s="89" t="s">
        <v>22</v>
      </c>
      <c r="C50" s="89" t="s">
        <v>117</v>
      </c>
      <c r="D50" s="42">
        <v>6.3100000000000003E-2</v>
      </c>
      <c r="E50" s="24" t="str">
        <f>IF(IF(B50="MDZ140R","",IFERROR((SUMIF($B$3:$B$70,"MDZ140R",$F$3:$F$70)*INDEX($Q$20:$Q$82,MATCH(B50,$N$20:$N$82,0))),""))=0,"",IF(B50="MDZ140R","",IFERROR((SUMIF($B$3:$B$70,"MDZ140R",$F$3:$F$70)*INDEX($Q$20:$Q$82,MATCH(B50,$N$20:$N$82,0))),"")))</f>
        <v/>
      </c>
      <c r="F50" s="42">
        <f t="shared" si="2"/>
        <v>6.3100000000000003E-2</v>
      </c>
      <c r="H50" s="192"/>
      <c r="I50" s="213" t="str">
        <f>IFERROR(VLOOKUP(H50,$B$3:$F$68,5,FALSE),"")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89" t="s">
        <v>185</v>
      </c>
      <c r="C51" s="89" t="s">
        <v>205</v>
      </c>
      <c r="D51" s="11">
        <v>0.80010000000000003</v>
      </c>
      <c r="E51" s="24" t="str">
        <f>IF(IF(B51="MDZ140R","",IFERROR((SUMIF($B$3:$B$70,"MDZ140R",$F$3:$F$70)*INDEX($Q$20:$Q$82,MATCH(B51,$N$20:$N$82,0))),""))=0,"",IF(B51="MDZ140R","",IFERROR((SUMIF($B$3:$B$70,"MDZ140R",$F$3:$F$70)*INDEX($Q$20:$Q$82,MATCH(B51,$N$20:$N$82,0))),"")))</f>
        <v/>
      </c>
      <c r="F51" s="42">
        <f t="shared" si="2"/>
        <v>0.80010000000000003</v>
      </c>
      <c r="H51" s="192"/>
      <c r="I51" s="213" t="str">
        <f>IFERROR(VLOOKUP(H51,$B$3:$F$68,5,FALSE),"")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 t="s">
        <v>139</v>
      </c>
      <c r="C52" s="89" t="s">
        <v>188</v>
      </c>
      <c r="D52" s="42">
        <v>0.1305</v>
      </c>
      <c r="E52" s="24" t="str">
        <f>IF(IF(B52="MDZ140R","",IFERROR((SUMIF($B$3:$B$70,"MDZ140R",$F$3:$F$70)*INDEX($Q$20:$Q$82,MATCH(B52,$N$20:$N$82,0))),""))=0,"",IF(B52="MDZ140R","",IFERROR((SUMIF($B$3:$B$70,"MDZ140R",$F$3:$F$70)*INDEX($Q$20:$Q$82,MATCH(B52,$N$20:$N$82,0))),"")))</f>
        <v/>
      </c>
      <c r="F52" s="42">
        <f t="shared" si="2"/>
        <v>0.1305</v>
      </c>
      <c r="H52" s="192"/>
      <c r="I52" s="213" t="str">
        <f>IFERROR(VLOOKUP(H52,$B$3:$F$68,5,FALSE),"")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 t="s">
        <v>172</v>
      </c>
      <c r="C53" s="89" t="s">
        <v>206</v>
      </c>
      <c r="D53" s="42">
        <v>0.92669999999999997</v>
      </c>
      <c r="E53" s="24" t="str">
        <f>IF(IF(B53="MDZ140R","",IFERROR((SUMIF($B$3:$B$70,"MDZ140R",$F$3:$F$70)*INDEX($Q$20:$Q$82,MATCH(B53,$N$20:$N$82,0))),""))=0,"",IF(B53="MDZ140R","",IFERROR((SUMIF($B$3:$B$70,"MDZ140R",$F$3:$F$70)*INDEX($Q$20:$Q$82,MATCH(B53,$N$20:$N$82,0))),"")))</f>
        <v/>
      </c>
      <c r="F53" s="42">
        <f t="shared" si="2"/>
        <v>0.92669999999999997</v>
      </c>
      <c r="H53" s="192"/>
      <c r="I53" s="213" t="str">
        <f>IFERROR(VLOOKUP(H53,$B$3:$F$68,5,FALSE),"")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 t="s">
        <v>143</v>
      </c>
      <c r="C54" s="89" t="s">
        <v>144</v>
      </c>
      <c r="D54" s="42">
        <v>0.92789999999999995</v>
      </c>
      <c r="E54" s="24" t="str">
        <f>IF(IF(B54="MDZ140R","",IFERROR((SUMIF($B$3:$B$70,"MDZ140R",$F$3:$F$70)*INDEX($Q$20:$Q$82,MATCH(B54,$N$20:$N$82,0))),""))=0,"",IF(B54="MDZ140R","",IFERROR((SUMIF($B$3:$B$70,"MDZ140R",$F$3:$F$70)*INDEX($Q$20:$Q$82,MATCH(B54,$N$20:$N$82,0))),"")))</f>
        <v/>
      </c>
      <c r="F54" s="42">
        <f t="shared" si="2"/>
        <v>0.92789999999999995</v>
      </c>
      <c r="H54" s="192"/>
      <c r="I54" s="213" t="str">
        <f>IFERROR(VLOOKUP(H54,$B$3:$F$68,5,FALSE),"")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43"/>
      <c r="C55" s="43"/>
      <c r="D55" s="43"/>
      <c r="E55" s="24" t="str">
        <f>IF(IF(B55="MDZ140R","",IFERROR((SUMIF($B$3:$B$70,"MDZ140R",$F$3:$F$70)*INDEX($Q$20:$Q$82,MATCH(B55,$N$20:$N$82,0))),""))=0,"",IF(B55="MDZ140R","",IFERROR((SUMIF($B$3:$B$70,"MDZ140R",$F$3:$F$70)*INDEX($Q$20:$Q$82,MATCH(B55,$N$20:$N$82,0))),"")))</f>
        <v/>
      </c>
      <c r="F55" s="42" t="str">
        <f t="shared" si="2"/>
        <v/>
      </c>
      <c r="H55" s="192"/>
      <c r="I55" s="213" t="str">
        <f>IFERROR(VLOOKUP(H55,$B$3:$F$68,5,FALSE),"")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43"/>
      <c r="C56" s="43"/>
      <c r="D56" s="43"/>
      <c r="E56" s="24" t="str">
        <f>IF(IF(B56="MDZ140R","",IFERROR((SUMIF($B$3:$B$70,"MDZ140R",$F$3:$F$70)*INDEX($Q$20:$Q$82,MATCH(B56,$N$20:$N$82,0))),""))=0,"",IF(B56="MDZ140R","",IFERROR((SUMIF($B$3:$B$70,"MDZ140R",$F$3:$F$70)*INDEX($Q$20:$Q$82,MATCH(B56,$N$20:$N$82,0))),"")))</f>
        <v/>
      </c>
      <c r="F56" s="42" t="str">
        <f t="shared" si="2"/>
        <v/>
      </c>
      <c r="H56" s="192"/>
      <c r="I56" s="213" t="str">
        <f>IFERROR(VLOOKUP(H56,$B$3:$F$68,5,FALSE),"")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43"/>
      <c r="C57" s="43"/>
      <c r="D57" s="43"/>
      <c r="E57" s="24" t="str">
        <f>IF(IF(B57="MDZ140R","",IFERROR((SUMIF($B$3:$B$70,"MDZ140R",$F$3:$F$70)*INDEX($Q$20:$Q$82,MATCH(B57,$N$20:$N$82,0))),""))=0,"",IF(B57="MDZ140R","",IFERROR((SUMIF($B$3:$B$70,"MDZ140R",$F$3:$F$70)*INDEX($Q$20:$Q$82,MATCH(B57,$N$20:$N$82,0))),"")))</f>
        <v/>
      </c>
      <c r="F57" s="42" t="str">
        <f t="shared" si="2"/>
        <v/>
      </c>
      <c r="H57" s="192"/>
      <c r="I57" s="213" t="str">
        <f>IFERROR(VLOOKUP(H57,$B$3:$F$68,5,FALSE),"")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/>
      <c r="C58" s="89"/>
      <c r="D58" s="42"/>
      <c r="E58" s="24" t="str">
        <f>IF(IF(B58="MDZ140R","",IFERROR((SUMIF($B$3:$B$70,"MDZ140R",$F$3:$F$70)*INDEX($Q$20:$Q$82,MATCH(B58,$N$20:$N$82,0))),""))=0,"",IF(B58="MDZ140R","",IFERROR((SUMIF($B$3:$B$70,"MDZ140R",$F$3:$F$70)*INDEX($Q$20:$Q$82,MATCH(B58,$N$20:$N$82,0))),"")))</f>
        <v/>
      </c>
      <c r="F58" s="42" t="str">
        <f t="shared" si="2"/>
        <v/>
      </c>
      <c r="H58" s="192"/>
      <c r="I58" s="213" t="str">
        <f>IFERROR(VLOOKUP(H58,$B$3:$F$68,5,FALSE),"")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/>
      <c r="C59" s="89"/>
      <c r="D59" s="42"/>
      <c r="E59" s="24" t="str">
        <f>IF(IF(B59="MDZ140R","",IFERROR((SUMIF($B$3:$B$70,"MDZ140R",$F$3:$F$70)*INDEX($Q$20:$Q$82,MATCH(B59,$N$20:$N$82,0))),""))=0,"",IF(B59="MDZ140R","",IFERROR((SUMIF($B$3:$B$70,"MDZ140R",$F$3:$F$70)*INDEX($Q$20:$Q$82,MATCH(B59,$N$20:$N$82,0))),"")))</f>
        <v/>
      </c>
      <c r="F59" s="42" t="str">
        <f t="shared" si="2"/>
        <v/>
      </c>
      <c r="H59" s="192"/>
      <c r="I59" s="213" t="str">
        <f>IFERROR(VLOOKUP(H59,$B$3:$F$68,5,FALSE),"")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/>
      <c r="C60" s="89"/>
      <c r="D60" s="42"/>
      <c r="E60" s="24" t="str">
        <f>IF(IF(B60="MDZ140R","",IFERROR((SUMIF($B$3:$B$70,"MDZ140R",$F$3:$F$70)*INDEX($Q$20:$Q$82,MATCH(B60,$N$20:$N$82,0))),""))=0,"",IF(B60="MDZ140R","",IFERROR((SUMIF($B$3:$B$70,"MDZ140R",$F$3:$F$70)*INDEX($Q$20:$Q$82,MATCH(B60,$N$20:$N$82,0))),"")))</f>
        <v/>
      </c>
      <c r="F60" s="42" t="str">
        <f t="shared" si="2"/>
        <v/>
      </c>
      <c r="H60" s="192"/>
      <c r="I60" s="213" t="str">
        <f>IFERROR(VLOOKUP(H60,$B$3:$F$68,5,FALSE),"")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/>
      <c r="C61" s="89"/>
      <c r="D61" s="42"/>
      <c r="E61" s="24" t="str">
        <f>IF(IF(B61="MDZ140R","",IFERROR((SUMIF($B$3:$B$70,"MDZ140R",$F$3:$F$70)*INDEX($Q$20:$Q$82,MATCH(B61,$N$20:$N$82,0))),""))=0,"",IF(B61="MDZ140R","",IFERROR((SUMIF($B$3:$B$70,"MDZ140R",$F$3:$F$70)*INDEX($Q$20:$Q$82,MATCH(B61,$N$20:$N$82,0))),"")))</f>
        <v/>
      </c>
      <c r="F61" s="42" t="str">
        <f t="shared" si="2"/>
        <v/>
      </c>
      <c r="H61" s="192"/>
      <c r="I61" s="213" t="str">
        <f>IFERROR(VLOOKUP(H61,$B$3:$F$68,5,FALSE),"")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/>
      <c r="C62" s="89"/>
      <c r="D62" s="42"/>
      <c r="E62" s="24" t="str">
        <f>IF(IF(B62="MDZ140R","",IFERROR((SUMIF($B$3:$B$70,"MDZ140R",$F$3:$F$70)*INDEX($Q$20:$Q$82,MATCH(B62,$N$20:$N$82,0))),""))=0,"",IF(B62="MDZ140R","",IFERROR((SUMIF($B$3:$B$70,"MDZ140R",$F$3:$F$70)*INDEX($Q$20:$Q$82,MATCH(B62,$N$20:$N$82,0))),"")))</f>
        <v/>
      </c>
      <c r="F62" s="42" t="str">
        <f t="shared" si="2"/>
        <v/>
      </c>
      <c r="H62" s="192"/>
      <c r="I62" s="213" t="str">
        <f>IFERROR(VLOOKUP(H62,$B$3:$F$68,5,FALSE),"")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/>
      <c r="C63" s="89"/>
      <c r="D63" s="42"/>
      <c r="E63" s="24" t="str">
        <f>IF(IF(B63="MDZ140R","",IFERROR((SUMIF($B$3:$B$70,"MDZ140R",$F$3:$F$70)*INDEX($Q$20:$Q$82,MATCH(B63,$N$20:$N$82,0))),""))=0,"",IF(B63="MDZ140R","",IFERROR((SUMIF($B$3:$B$70,"MDZ140R",$F$3:$F$70)*INDEX($Q$20:$Q$82,MATCH(B63,$N$20:$N$82,0))),"")))</f>
        <v/>
      </c>
      <c r="F63" s="42" t="str">
        <f t="shared" si="2"/>
        <v/>
      </c>
      <c r="H63" s="192"/>
      <c r="I63" s="213" t="str">
        <f>IFERROR(VLOOKUP(H63,$B$3:$F$68,5,FALSE),"")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89"/>
      <c r="C64" s="89"/>
      <c r="D64" s="42"/>
      <c r="E64" s="24" t="str">
        <f>IF(IF(B64="MDZ140R","",IFERROR((SUMIF($B$3:$B$70,"MDZ140R",$F$3:$F$70)*INDEX($Q$20:$Q$82,MATCH(B64,$N$20:$N$82,0))),""))=0,"",IF(B64="MDZ140R","",IFERROR((SUMIF($B$3:$B$70,"MDZ140R",$F$3:$F$70)*INDEX($Q$20:$Q$82,MATCH(B64,$N$20:$N$82,0))),"")))</f>
        <v/>
      </c>
      <c r="F64" s="42" t="str">
        <f t="shared" si="2"/>
        <v/>
      </c>
      <c r="H64" s="192"/>
      <c r="I64" s="213" t="str">
        <f>IFERROR(VLOOKUP(H64,$B$3:$F$68,5,FALSE),"")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89"/>
      <c r="C65" s="89"/>
      <c r="D65" s="42"/>
      <c r="E65" s="24" t="str">
        <f>IF(IF(B65="MDZ140R","",IFERROR((SUMIF($B$3:$B$70,"MDZ140R",$F$3:$F$70)*INDEX($Q$20:$Q$82,MATCH(B65,$N$20:$N$82,0))),""))=0,"",IF(B65="MDZ140R","",IFERROR((SUMIF($B$3:$B$70,"MDZ140R",$F$3:$F$70)*INDEX($Q$20:$Q$82,MATCH(B65,$N$20:$N$82,0))),"")))</f>
        <v/>
      </c>
      <c r="F65" s="42" t="str">
        <f t="shared" si="2"/>
        <v/>
      </c>
      <c r="H65" s="192"/>
      <c r="I65" s="213" t="str">
        <f>IFERROR(VLOOKUP(H65,$B$3:$F$68,5,FALSE),"")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89"/>
      <c r="C66" s="89"/>
      <c r="D66" s="42"/>
      <c r="E66" s="24" t="str">
        <f>IF(IF(B66="MDZ140R","",IFERROR((SUMIF($B$3:$B$70,"MDZ140R",$F$3:$F$70)*INDEX($Q$20:$Q$82,MATCH(B66,$N$20:$N$82,0))),""))=0,"",IF(B66="MDZ140R","",IFERROR((SUMIF($B$3:$B$70,"MDZ140R",$F$3:$F$70)*INDEX($Q$20:$Q$82,MATCH(B66,$N$20:$N$82,0))),"")))</f>
        <v/>
      </c>
      <c r="F66" s="42" t="str">
        <f t="shared" si="2"/>
        <v/>
      </c>
      <c r="H66" s="192"/>
      <c r="I66" s="213" t="str">
        <f>IFERROR(VLOOKUP(H66,$B$3:$F$68,5,FALSE),"")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89"/>
      <c r="C67" s="89"/>
      <c r="D67" s="42"/>
      <c r="E67" s="24"/>
      <c r="F67" s="42"/>
      <c r="H67" s="192"/>
      <c r="I67" s="213" t="str">
        <f>IFERROR(VLOOKUP(H67,$B$3:$F$68,5,FALSE),"")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89"/>
      <c r="C68" s="89"/>
      <c r="D68" s="42"/>
      <c r="E68" s="24" t="str">
        <f>IF(IF(B68="MDZ140R","",IFERROR((SUMIF($B$3:$B$70,"MDZ140R",$F$3:$F$70)*INDEX($Q$20:$Q$82,MATCH(B68,$N$20:$N$82,0))),""))=0,"",IF(B68="MDZ140R","",IFERROR((SUMIF($B$3:$B$70,"MDZ140R",$F$3:$F$70)*INDEX($Q$20:$Q$82,MATCH(B68,$N$20:$N$82,0))),"")))</f>
        <v/>
      </c>
      <c r="F68" s="42" t="str">
        <f>IF(D68="","",D68+ IF(E68="",0,E68))</f>
        <v/>
      </c>
      <c r="H68" s="192"/>
      <c r="I68" s="213" t="str">
        <f>IFERROR(VLOOKUP(H68,$B$3:$F$68,5,FALSE),"")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89"/>
      <c r="C69" s="89"/>
      <c r="D69" s="42"/>
      <c r="E69" s="24" t="str">
        <f>IF(IF(B69="MDZ140R","",IFERROR((SUMIF($B$3:$B$70,"MDZ140R",$F$3:$F$70)*INDEX($Q$20:$Q$82,MATCH(B69,$N$20:$N$82,0))),""))=0,"",IF(B69="MDZ140R","",IFERROR((SUMIF($B$3:$B$70,"MDZ140R",$F$3:$F$70)*INDEX($Q$20:$Q$82,MATCH(B69,$N$20:$N$82,0))),"")))</f>
        <v/>
      </c>
      <c r="F69" s="42" t="str">
        <f>IF(D69="","",D69+ IF(E69="",0,E69))</f>
        <v/>
      </c>
      <c r="H69" s="192"/>
      <c r="I69" s="213" t="str">
        <f>IFERROR(VLOOKUP(H69,$B$3:$F$68,5,FALSE),"")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127"/>
      <c r="C70" s="60" t="s">
        <v>145</v>
      </c>
      <c r="D70" s="133">
        <f>SUM(D3:D69)</f>
        <v>20.742500000000003</v>
      </c>
      <c r="E70" s="134"/>
      <c r="F70" s="135">
        <f>D70+E70</f>
        <v>20.742500000000003</v>
      </c>
      <c r="H70" s="192"/>
      <c r="I70" s="213" t="str">
        <f>IFERROR(VLOOKUP(H70,$B$3:$F$68,5,FALSE),"")</f>
        <v/>
      </c>
      <c r="J70" s="206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127"/>
      <c r="C71" s="60"/>
      <c r="D71" s="133"/>
      <c r="E71" s="134"/>
      <c r="F71" s="135"/>
      <c r="H71" s="192"/>
      <c r="I71" s="213" t="str">
        <f>IFERROR(VLOOKUP(H71,$B$3:$F$68,5,FALSE),"")</f>
        <v/>
      </c>
      <c r="J71" s="206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136"/>
      <c r="C72" s="136"/>
      <c r="D72" s="133">
        <v>0</v>
      </c>
      <c r="E72" s="134"/>
      <c r="F72" s="135">
        <f>D72+E72</f>
        <v>0</v>
      </c>
      <c r="H72" s="192"/>
      <c r="I72" s="213" t="str">
        <f>IFERROR(VLOOKUP(H72,$B$3:$F$68,5,FALSE),"")</f>
        <v/>
      </c>
      <c r="J72" s="206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136"/>
      <c r="C73" s="136"/>
      <c r="D73" s="133">
        <v>0</v>
      </c>
      <c r="E73" s="134"/>
      <c r="F73" s="135">
        <f>D73+E73</f>
        <v>0</v>
      </c>
      <c r="H73" s="192"/>
      <c r="I73" s="213" t="str">
        <f>IFERROR(VLOOKUP(H73,$B$3:$F$68,5,FALSE),"")</f>
        <v/>
      </c>
      <c r="J73" s="206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40"/>
      <c r="C74" s="41"/>
      <c r="D74" s="42"/>
      <c r="E74" s="24"/>
      <c r="F74" s="42"/>
      <c r="H74" s="192"/>
      <c r="I74" s="213" t="str">
        <f>IFERROR(VLOOKUP(H74,$B$3:$F$68,5,FALSE),"")</f>
        <v/>
      </c>
      <c r="J74" s="206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B75" s="40"/>
      <c r="C75" s="41"/>
      <c r="D75" s="42"/>
      <c r="E75" s="24"/>
      <c r="F75" s="42"/>
      <c r="H75" s="192"/>
      <c r="I75" s="213" t="str">
        <f>IFERROR(VLOOKUP(H75,$B$3:$F$68,5,FALSE),"")</f>
        <v/>
      </c>
      <c r="J75" s="191"/>
      <c r="L75" s="56"/>
      <c r="M75" s="56"/>
      <c r="N75" s="56"/>
      <c r="O75" s="56"/>
      <c r="P75" s="125"/>
      <c r="Q75" s="126"/>
      <c r="R75" s="56"/>
    </row>
    <row r="76" spans="2:18" s="1" customFormat="1" x14ac:dyDescent="0.3">
      <c r="B76" s="40"/>
      <c r="C76" s="41"/>
      <c r="D76" s="42"/>
      <c r="E76" s="24" t="str">
        <f>IF(IF(B76="MDZ140R","",IFERROR((SUMIF($B$3:$B$70,"MDZ140R",$F$3:$F$70)*INDEX($Q$20:$Q$82,MATCH(B76,$N$20:$N$82,0))),""))=0,"",IF(B76="MDZ140R","",IFERROR((SUMIF($B$3:$B$70,"MDZ140R",$F$3:$F$70)*INDEX($Q$20:$Q$82,MATCH(B76,$N$20:$N$82,0))),"")))</f>
        <v/>
      </c>
      <c r="F76" s="42" t="str">
        <f t="shared" si="0"/>
        <v/>
      </c>
      <c r="H76" s="192"/>
      <c r="I76" s="213" t="str">
        <f>IFERROR(VLOOKUP(H76,$B$3:$F$68,5,FALSE),"")</f>
        <v/>
      </c>
      <c r="J76" s="191"/>
      <c r="L76" s="56"/>
      <c r="M76" s="56"/>
      <c r="N76" s="56"/>
      <c r="O76" s="56"/>
      <c r="P76" s="125"/>
      <c r="Q76" s="126"/>
      <c r="R76" s="56"/>
    </row>
    <row r="77" spans="2:18" s="1" customFormat="1" x14ac:dyDescent="0.3">
      <c r="B77" s="40"/>
      <c r="C77" s="41"/>
      <c r="D77" s="42"/>
      <c r="E77" s="24" t="str">
        <f>IF(IF(B77="MDZ140R","",IFERROR((SUMIF($B$3:$B$70,"MDZ140R",$F$3:$F$70)*INDEX($Q$20:$Q$82,MATCH(B77,$N$20:$N$82,0))),""))=0,"",IF(B77="MDZ140R","",IFERROR((SUMIF($B$3:$B$70,"MDZ140R",$F$3:$F$70)*INDEX($Q$20:$Q$82,MATCH(B77,$N$20:$N$82,0))),"")))</f>
        <v/>
      </c>
      <c r="F77" s="42" t="str">
        <f t="shared" si="0"/>
        <v/>
      </c>
      <c r="H77" s="192"/>
      <c r="I77" s="213" t="str">
        <f>IFERROR(VLOOKUP(H77,$B$3:$F$68,5,FALSE),"")</f>
        <v/>
      </c>
      <c r="J77" s="191"/>
      <c r="L77" s="56"/>
      <c r="M77" s="56"/>
      <c r="N77" s="56"/>
      <c r="O77" s="56"/>
      <c r="P77" s="125"/>
      <c r="Q77" s="126"/>
      <c r="R77" s="56"/>
    </row>
    <row r="78" spans="2:18" s="1" customFormat="1" x14ac:dyDescent="0.3">
      <c r="B78" s="40"/>
      <c r="C78" s="41"/>
      <c r="D78" s="42"/>
      <c r="E78" s="24" t="str">
        <f>IF(IF(B78="MDZ140R","",IFERROR((SUMIF($B$3:$B$70,"MDZ140R",$F$3:$F$70)*INDEX($Q$20:$Q$82,MATCH(B78,$N$20:$N$82,0))),""))=0,"",IF(B78="MDZ140R","",IFERROR((SUMIF($B$3:$B$70,"MDZ140R",$F$3:$F$70)*INDEX($Q$20:$Q$82,MATCH(B78,$N$20:$N$82,0))),"")))</f>
        <v/>
      </c>
      <c r="F78" s="42" t="str">
        <f t="shared" si="0"/>
        <v/>
      </c>
      <c r="H78" s="192"/>
      <c r="I78" s="213" t="str">
        <f>IFERROR(VLOOKUP(H78,$B$3:$F$68,5,FALSE),"")</f>
        <v/>
      </c>
      <c r="J78" s="191"/>
      <c r="L78" s="56"/>
      <c r="M78" s="56"/>
      <c r="N78" s="56"/>
      <c r="O78" s="56"/>
      <c r="P78" s="125"/>
      <c r="Q78" s="126"/>
      <c r="R78" s="56"/>
    </row>
    <row r="79" spans="2:18" s="1" customFormat="1" x14ac:dyDescent="0.3">
      <c r="B79" s="40"/>
      <c r="C79" s="41"/>
      <c r="D79" s="42"/>
      <c r="E79" s="24" t="str">
        <f>IF(IF(B79="MDZ140R","",IFERROR((SUMIF($B$3:$B$70,"MDZ140R",$F$3:$F$70)*INDEX($Q$20:$Q$82,MATCH(B79,$N$20:$N$82,0))),""))=0,"",IF(B79="MDZ140R","",IFERROR((SUMIF($B$3:$B$70,"MDZ140R",$F$3:$F$70)*INDEX($Q$20:$Q$82,MATCH(B79,$N$20:$N$82,0))),"")))</f>
        <v/>
      </c>
      <c r="F79" s="42" t="str">
        <f t="shared" si="0"/>
        <v/>
      </c>
      <c r="H79" s="192"/>
      <c r="I79" s="213" t="str">
        <f>IFERROR(VLOOKUP(H79,$B$3:$F$68,5,FALSE),"")</f>
        <v/>
      </c>
      <c r="J79" s="191"/>
      <c r="L79" s="56"/>
      <c r="M79" s="56"/>
      <c r="N79" s="56"/>
      <c r="O79" s="56"/>
      <c r="P79" s="125"/>
      <c r="Q79" s="126"/>
      <c r="R79" s="56"/>
    </row>
    <row r="80" spans="2:18" s="1" customFormat="1" x14ac:dyDescent="0.3">
      <c r="B80" s="40"/>
      <c r="C80" s="41"/>
      <c r="D80" s="42"/>
      <c r="E80" s="24" t="str">
        <f>IF(IF(B80="MDZ140R","",IFERROR((SUMIF($B$3:$B$70,"MDZ140R",$F$3:$F$70)*INDEX($Q$20:$Q$82,MATCH(B80,$N$20:$N$82,0))),""))=0,"",IF(B80="MDZ140R","",IFERROR((SUMIF($B$3:$B$70,"MDZ140R",$F$3:$F$70)*INDEX($Q$20:$Q$82,MATCH(B80,$N$20:$N$82,0))),"")))</f>
        <v/>
      </c>
      <c r="F80" s="42" t="str">
        <f t="shared" si="0"/>
        <v/>
      </c>
      <c r="H80" s="192"/>
      <c r="I80" s="213" t="str">
        <f>IFERROR(VLOOKUP(H80,$B$3:$F$68,5,FALSE),"")</f>
        <v/>
      </c>
      <c r="J80" s="191"/>
      <c r="L80" s="56"/>
      <c r="M80" s="56"/>
      <c r="N80" s="56"/>
      <c r="O80" s="56"/>
      <c r="P80" s="125"/>
      <c r="Q80" s="126"/>
      <c r="R80" s="56"/>
    </row>
    <row r="81" spans="2:18" s="1" customFormat="1" x14ac:dyDescent="0.3">
      <c r="B81" s="40"/>
      <c r="C81" s="41"/>
      <c r="D81" s="42"/>
      <c r="E81" s="24" t="str">
        <f>IF(IF(B81="MDZ140R","",IFERROR((SUMIF($B$3:$B$70,"MDZ140R",$F$3:$F$70)*INDEX($Q$20:$Q$82,MATCH(B81,$N$20:$N$82,0))),""))=0,"",IF(B81="MDZ140R","",IFERROR((SUMIF($B$3:$B$70,"MDZ140R",$F$3:$F$70)*INDEX($Q$20:$Q$82,MATCH(B81,$N$20:$N$82,0))),"")))</f>
        <v/>
      </c>
      <c r="F81" s="42" t="str">
        <f t="shared" si="0"/>
        <v/>
      </c>
      <c r="H81" s="192"/>
      <c r="I81" s="213" t="str">
        <f>IFERROR(VLOOKUP(H81,$B$3:$F$68,5,FALSE),"")</f>
        <v/>
      </c>
      <c r="J81" s="207"/>
      <c r="L81" s="56"/>
      <c r="M81" s="56"/>
      <c r="N81" s="56"/>
      <c r="O81" s="56"/>
      <c r="P81" s="125"/>
      <c r="Q81" s="126"/>
      <c r="R81" s="56"/>
    </row>
    <row r="82" spans="2:18" s="1" customFormat="1" x14ac:dyDescent="0.3">
      <c r="B82" s="40"/>
      <c r="C82" s="41"/>
      <c r="D82" s="42"/>
      <c r="E82" s="24" t="str">
        <f>IF(IF(B82="MDZ140R","",IFERROR((SUMIF($B$3:$B$70,"MDZ140R",$F$3:$F$70)*INDEX($Q$20:$Q$82,MATCH(B82,$N$20:$N$82,0))),""))=0,"",IF(B82="MDZ140R","",IFERROR((SUMIF($B$3:$B$70,"MDZ140R",$F$3:$F$70)*INDEX($Q$20:$Q$82,MATCH(B82,$N$20:$N$82,0))),"")))</f>
        <v/>
      </c>
      <c r="F82" s="42" t="str">
        <f t="shared" si="0"/>
        <v/>
      </c>
      <c r="H82" s="189" t="s">
        <v>73</v>
      </c>
      <c r="I82" s="213" t="str">
        <f>IFERROR(VLOOKUP(H82,$B$3:$F$68,5,FALSE),"")</f>
        <v/>
      </c>
      <c r="J82" s="191">
        <f>SUM(I82:I96)</f>
        <v>2.2921187908425336</v>
      </c>
      <c r="L82" s="56"/>
      <c r="M82" s="56"/>
      <c r="N82" s="56"/>
      <c r="O82" s="56"/>
      <c r="P82" s="125"/>
      <c r="Q82" s="126"/>
      <c r="R82" s="56"/>
    </row>
    <row r="83" spans="2:18" s="1" customFormat="1" x14ac:dyDescent="0.3">
      <c r="H83" s="196" t="s">
        <v>44</v>
      </c>
      <c r="I83" s="211">
        <v>0.149675</v>
      </c>
      <c r="J83" s="201"/>
      <c r="K83" s="1">
        <v>0.29935</v>
      </c>
      <c r="L83" s="56"/>
      <c r="M83" s="56"/>
      <c r="N83" s="56"/>
      <c r="O83" s="59" t="s">
        <v>3</v>
      </c>
      <c r="P83" s="131">
        <f>SUM(P20:P36)</f>
        <v>182</v>
      </c>
      <c r="Q83" s="131">
        <f>SUM(Q20:Q36)</f>
        <v>0.994533</v>
      </c>
      <c r="R83" s="59">
        <v>0</v>
      </c>
    </row>
    <row r="84" spans="2:18" x14ac:dyDescent="0.3">
      <c r="H84" s="196" t="s">
        <v>38</v>
      </c>
      <c r="I84" s="246">
        <v>0.23</v>
      </c>
      <c r="J84" s="201"/>
      <c r="K84">
        <v>0.46</v>
      </c>
    </row>
    <row r="85" spans="2:18" x14ac:dyDescent="0.3">
      <c r="H85" s="196" t="s">
        <v>9</v>
      </c>
      <c r="I85" s="213">
        <f>IFERROR(VLOOKUP(H85,$B$3:$F$68,5,FALSE),"")</f>
        <v>0.97444432679999993</v>
      </c>
      <c r="J85" s="201"/>
    </row>
    <row r="86" spans="2:18" x14ac:dyDescent="0.3">
      <c r="H86" s="196" t="s">
        <v>119</v>
      </c>
      <c r="I86" s="213">
        <f>IFERROR(VLOOKUP(H86,$B$3:$F$68,5,FALSE),"")</f>
        <v>0.24640000000000001</v>
      </c>
      <c r="J86" s="201"/>
    </row>
    <row r="87" spans="2:18" x14ac:dyDescent="0.3">
      <c r="H87" s="196" t="s">
        <v>133</v>
      </c>
      <c r="I87" s="213" t="str">
        <f>IFERROR(VLOOKUP(H87,$B$3:$F$68,5,FALSE),"")</f>
        <v/>
      </c>
      <c r="J87" s="201"/>
    </row>
    <row r="88" spans="2:18" x14ac:dyDescent="0.3">
      <c r="H88" s="196" t="s">
        <v>147</v>
      </c>
      <c r="I88" s="213" t="str">
        <f>IFERROR(VLOOKUP(H88,$B$3:$F$68,5,FALSE),"")</f>
        <v/>
      </c>
      <c r="J88" s="201"/>
    </row>
    <row r="89" spans="2:18" x14ac:dyDescent="0.3">
      <c r="H89" s="196" t="s">
        <v>148</v>
      </c>
      <c r="I89" s="213" t="str">
        <f>IFERROR(VLOOKUP(H89,$B$3:$F$68,5,FALSE),"")</f>
        <v/>
      </c>
      <c r="J89" s="201"/>
    </row>
    <row r="90" spans="2:18" x14ac:dyDescent="0.3">
      <c r="H90" s="196" t="s">
        <v>11</v>
      </c>
      <c r="I90" s="213">
        <f>IFERROR(VLOOKUP(H90,$B$3:$F$68,5,FALSE),"")</f>
        <v>0.69159946404253392</v>
      </c>
      <c r="J90" s="201"/>
      <c r="K90" t="s">
        <v>216</v>
      </c>
    </row>
    <row r="91" spans="2:18" x14ac:dyDescent="0.3">
      <c r="H91" s="196" t="s">
        <v>149</v>
      </c>
      <c r="I91" s="213" t="str">
        <f>IFERROR(VLOOKUP(H91,$B$3:$F$68,5,FALSE),"")</f>
        <v/>
      </c>
      <c r="J91" s="201"/>
    </row>
    <row r="92" spans="2:18" x14ac:dyDescent="0.3">
      <c r="H92" s="196" t="s">
        <v>121</v>
      </c>
      <c r="I92" s="213" t="str">
        <f>IFERROR(VLOOKUP(H92,$B$3:$F$68,5,FALSE),"")</f>
        <v/>
      </c>
      <c r="J92" s="201"/>
    </row>
    <row r="93" spans="2:18" x14ac:dyDescent="0.3">
      <c r="H93" s="196" t="s">
        <v>150</v>
      </c>
      <c r="I93" s="213" t="str">
        <f>IFERROR(VLOOKUP(H93,$B$3:$F$68,5,FALSE),"")</f>
        <v/>
      </c>
      <c r="J93" s="191"/>
    </row>
    <row r="94" spans="2:18" x14ac:dyDescent="0.3">
      <c r="H94" s="196"/>
      <c r="I94" s="213" t="str">
        <f>IFERROR(VLOOKUP(H94,$B$3:$F$68,5,FALSE),"")</f>
        <v/>
      </c>
      <c r="J94" s="201"/>
    </row>
    <row r="95" spans="2:18" x14ac:dyDescent="0.3">
      <c r="H95" s="196"/>
      <c r="I95" s="213" t="str">
        <f>IFERROR(VLOOKUP(H95,$B$3:$F$68,5,FALSE),"")</f>
        <v/>
      </c>
      <c r="J95" s="201"/>
    </row>
    <row r="96" spans="2:18" x14ac:dyDescent="0.3">
      <c r="H96" s="196"/>
      <c r="I96" s="213" t="str">
        <f>IFERROR(VLOOKUP(H96,$B$3:$F$68,5,FALSE),"")</f>
        <v/>
      </c>
      <c r="J96" s="201"/>
    </row>
    <row r="97" spans="8:10" x14ac:dyDescent="0.3">
      <c r="H97" s="200" t="s">
        <v>74</v>
      </c>
      <c r="I97" s="213" t="str">
        <f>IFERROR(VLOOKUP(H97,$B$3:$F$68,5,FALSE),"")</f>
        <v/>
      </c>
      <c r="J97" s="201">
        <f>SUM(I97:I106)</f>
        <v>0.37967499999999998</v>
      </c>
    </row>
    <row r="98" spans="8:10" s="175" customFormat="1" x14ac:dyDescent="0.3">
      <c r="H98" s="176" t="s">
        <v>429</v>
      </c>
      <c r="I98" s="214">
        <v>0.23</v>
      </c>
      <c r="J98" s="177"/>
    </row>
    <row r="99" spans="8:10" s="175" customFormat="1" x14ac:dyDescent="0.3">
      <c r="H99" s="176" t="s">
        <v>461</v>
      </c>
      <c r="I99" s="214">
        <v>0.149675</v>
      </c>
      <c r="J99" s="177"/>
    </row>
    <row r="100" spans="8:10" s="175" customFormat="1" x14ac:dyDescent="0.3">
      <c r="H100" s="176"/>
      <c r="I100" s="213" t="str">
        <f>IFERROR(VLOOKUP(H100,$B$3:$F$68,5,FALSE),"")</f>
        <v/>
      </c>
      <c r="J100" s="177"/>
    </row>
    <row r="101" spans="8:10" s="175" customFormat="1" x14ac:dyDescent="0.3">
      <c r="H101" s="176"/>
      <c r="I101" s="213" t="str">
        <f>IFERROR(VLOOKUP(H101,$B$3:$F$68,5,FALSE),"")</f>
        <v/>
      </c>
      <c r="J101" s="177"/>
    </row>
    <row r="102" spans="8:10" s="175" customFormat="1" x14ac:dyDescent="0.3">
      <c r="H102" s="176"/>
      <c r="I102" s="213" t="str">
        <f>IFERROR(VLOOKUP(H102,$B$3:$F$68,5,FALSE),"")</f>
        <v/>
      </c>
      <c r="J102" s="177"/>
    </row>
    <row r="103" spans="8:10" x14ac:dyDescent="0.3">
      <c r="H103" s="176"/>
      <c r="I103" s="213" t="str">
        <f>IFERROR(VLOOKUP(H103,$B$3:$F$68,5,FALSE),"")</f>
        <v/>
      </c>
      <c r="J103" s="177"/>
    </row>
    <row r="104" spans="8:10" s="175" customFormat="1" x14ac:dyDescent="0.3">
      <c r="H104" s="196"/>
      <c r="I104" s="213" t="str">
        <f>IFERROR(VLOOKUP(H104,$B$3:$F$68,5,FALSE),"")</f>
        <v/>
      </c>
      <c r="J104" s="208"/>
    </row>
    <row r="105" spans="8:10" x14ac:dyDescent="0.3">
      <c r="H105" s="196"/>
      <c r="I105" s="213" t="str">
        <f>IFERROR(VLOOKUP(H105,$B$3:$F$68,5,FALSE),"")</f>
        <v/>
      </c>
      <c r="J105" s="201"/>
    </row>
    <row r="106" spans="8:10" x14ac:dyDescent="0.3">
      <c r="H106" s="196"/>
      <c r="I106" s="213" t="str">
        <f>IFERROR(VLOOKUP(H106,$B$3:$F$68,5,FALSE),"")</f>
        <v/>
      </c>
      <c r="J106" s="201"/>
    </row>
    <row r="107" spans="8:10" s="175" customFormat="1" x14ac:dyDescent="0.3">
      <c r="H107" s="200" t="s">
        <v>75</v>
      </c>
      <c r="I107" s="213" t="str">
        <f>IFERROR(VLOOKUP(H107,$B$3:$F$68,5,FALSE),"")</f>
        <v/>
      </c>
      <c r="J107" s="201">
        <f>SUM(I107:I113)</f>
        <v>0.98144517840000001</v>
      </c>
    </row>
    <row r="108" spans="8:10" x14ac:dyDescent="0.3">
      <c r="H108" s="196" t="s">
        <v>215</v>
      </c>
      <c r="I108" s="213" t="str">
        <f>IFERROR(VLOOKUP(H108,$B$3:$F$68,5,FALSE),"")</f>
        <v/>
      </c>
      <c r="J108" s="201"/>
    </row>
    <row r="109" spans="8:10" x14ac:dyDescent="0.3">
      <c r="H109" s="196" t="s">
        <v>151</v>
      </c>
      <c r="I109" s="213" t="str">
        <f>IFERROR(VLOOKUP(H109,$B$3:$F$68,5,FALSE),"")</f>
        <v/>
      </c>
      <c r="J109" s="201"/>
    </row>
    <row r="110" spans="8:10" x14ac:dyDescent="0.3">
      <c r="H110" s="196" t="s">
        <v>14</v>
      </c>
      <c r="I110" s="211">
        <v>0.98144517840000001</v>
      </c>
      <c r="J110" s="201"/>
    </row>
    <row r="111" spans="8:10" x14ac:dyDescent="0.3">
      <c r="H111" s="196" t="s">
        <v>152</v>
      </c>
      <c r="I111" s="213" t="str">
        <f>IFERROR(VLOOKUP(H111,$B$3:$F$68,5,FALSE),"")</f>
        <v/>
      </c>
      <c r="J111" s="201"/>
    </row>
    <row r="112" spans="8:10" x14ac:dyDescent="0.3">
      <c r="H112" s="196" t="s">
        <v>211</v>
      </c>
      <c r="I112" s="213" t="str">
        <f>IFERROR(VLOOKUP(H112,$B$3:$F$68,5,FALSE),"")</f>
        <v/>
      </c>
      <c r="J112" s="201"/>
    </row>
    <row r="113" spans="8:10" x14ac:dyDescent="0.3">
      <c r="H113" s="196" t="s">
        <v>212</v>
      </c>
      <c r="I113" s="213" t="str">
        <f>IFERROR(VLOOKUP(H113,$B$3:$F$68,5,FALSE),"")</f>
        <v/>
      </c>
      <c r="J113" s="201"/>
    </row>
    <row r="114" spans="8:10" x14ac:dyDescent="0.3">
      <c r="H114" s="200" t="s">
        <v>76</v>
      </c>
      <c r="I114" s="213" t="str">
        <f>IFERROR(VLOOKUP(H114,$B$3:$F$68,5,FALSE),"")</f>
        <v/>
      </c>
      <c r="J114" s="201">
        <f>SUM(I114:I118)</f>
        <v>0</v>
      </c>
    </row>
    <row r="115" spans="8:10" x14ac:dyDescent="0.3">
      <c r="H115" s="196"/>
      <c r="I115" s="213" t="str">
        <f>IFERROR(VLOOKUP(H115,$B$3:$F$68,5,FALSE),"")</f>
        <v/>
      </c>
      <c r="J115" s="208"/>
    </row>
    <row r="116" spans="8:10" x14ac:dyDescent="0.3">
      <c r="H116" s="196"/>
      <c r="I116" s="213" t="str">
        <f>IFERROR(VLOOKUP(H116,$B$3:$F$68,5,FALSE),"")</f>
        <v/>
      </c>
      <c r="J116" s="201"/>
    </row>
    <row r="117" spans="8:10" x14ac:dyDescent="0.3">
      <c r="H117" s="196"/>
      <c r="I117" s="213" t="str">
        <f>IFERROR(VLOOKUP(H117,$B$3:$F$68,5,FALSE),"")</f>
        <v/>
      </c>
      <c r="J117" s="201"/>
    </row>
    <row r="118" spans="8:10" s="175" customFormat="1" x14ac:dyDescent="0.3">
      <c r="H118" s="196"/>
      <c r="I118" s="213" t="str">
        <f>IFERROR(VLOOKUP(H118,$B$3:$F$68,5,FALSE),"")</f>
        <v/>
      </c>
      <c r="J118" s="201"/>
    </row>
    <row r="119" spans="8:10" x14ac:dyDescent="0.3">
      <c r="H119" s="200" t="s">
        <v>78</v>
      </c>
      <c r="I119" s="213" t="str">
        <f>IFERROR(VLOOKUP(H119,$B$3:$F$68,5,FALSE),"")</f>
        <v/>
      </c>
      <c r="J119" s="201">
        <f>SUM(I119:I125)</f>
        <v>0</v>
      </c>
    </row>
    <row r="120" spans="8:10" x14ac:dyDescent="0.3">
      <c r="H120" s="176"/>
      <c r="I120" s="213" t="str">
        <f>IFERROR(VLOOKUP(H120,$B$3:$F$68,5,FALSE),"")</f>
        <v/>
      </c>
      <c r="J120" s="177"/>
    </row>
    <row r="121" spans="8:10" s="175" customFormat="1" x14ac:dyDescent="0.3">
      <c r="H121" s="196"/>
      <c r="I121" s="213" t="str">
        <f>IFERROR(VLOOKUP(H121,$B$3:$F$68,5,FALSE),"")</f>
        <v/>
      </c>
      <c r="J121" s="208"/>
    </row>
    <row r="122" spans="8:10" x14ac:dyDescent="0.3">
      <c r="H122" s="196"/>
      <c r="I122" s="213" t="str">
        <f>IFERROR(VLOOKUP(H122,$B$3:$F$68,5,FALSE),"")</f>
        <v/>
      </c>
      <c r="J122" s="208"/>
    </row>
    <row r="123" spans="8:10" x14ac:dyDescent="0.3">
      <c r="H123" s="196"/>
      <c r="I123" s="213" t="str">
        <f>IFERROR(VLOOKUP(H123,$B$3:$F$68,5,FALSE),"")</f>
        <v/>
      </c>
      <c r="J123" s="208"/>
    </row>
    <row r="124" spans="8:10" x14ac:dyDescent="0.3">
      <c r="H124" s="196"/>
      <c r="I124" s="213" t="str">
        <f>IFERROR(VLOOKUP(H124,$B$3:$F$68,5,FALSE),"")</f>
        <v/>
      </c>
      <c r="J124" s="201"/>
    </row>
    <row r="125" spans="8:10" x14ac:dyDescent="0.3">
      <c r="H125" s="196"/>
      <c r="I125" s="213" t="str">
        <f>IFERROR(VLOOKUP(H125,$B$3:$F$68,5,FALSE),"")</f>
        <v/>
      </c>
      <c r="J125" s="201"/>
    </row>
    <row r="126" spans="8:10" x14ac:dyDescent="0.3">
      <c r="H126" s="200" t="s">
        <v>77</v>
      </c>
      <c r="I126" s="213" t="str">
        <f>IFERROR(VLOOKUP(H126,$B$3:$F$68,5,FALSE),"")</f>
        <v/>
      </c>
      <c r="J126" s="201">
        <f>SUM(I126:I174)</f>
        <v>10.201935098</v>
      </c>
    </row>
    <row r="127" spans="8:10" x14ac:dyDescent="0.3">
      <c r="H127" s="196" t="s">
        <v>60</v>
      </c>
      <c r="I127" s="213">
        <f>IFERROR(VLOOKUP(H127,$B$3:$F$68,5,FALSE),"")</f>
        <v>0.96877815879999996</v>
      </c>
      <c r="J127" s="201"/>
    </row>
    <row r="128" spans="8:10" x14ac:dyDescent="0.3">
      <c r="H128" s="196" t="s">
        <v>153</v>
      </c>
      <c r="I128" s="213" t="str">
        <f>IFERROR(VLOOKUP(H128,$B$3:$F$68,5,FALSE),"")</f>
        <v/>
      </c>
      <c r="J128" s="201"/>
    </row>
    <row r="129" spans="8:10" x14ac:dyDescent="0.3">
      <c r="H129" s="196" t="s">
        <v>154</v>
      </c>
      <c r="I129" s="213" t="str">
        <f>IFERROR(VLOOKUP(H129,$B$3:$F$68,5,FALSE),"")</f>
        <v/>
      </c>
      <c r="J129" s="201"/>
    </row>
    <row r="130" spans="8:10" x14ac:dyDescent="0.3">
      <c r="H130" s="196" t="s">
        <v>114</v>
      </c>
      <c r="I130" s="213">
        <f>IFERROR(VLOOKUP(H130,$B$3:$F$68,5,FALSE),"")</f>
        <v>0.6825</v>
      </c>
      <c r="J130" s="201"/>
    </row>
    <row r="131" spans="8:10" x14ac:dyDescent="0.3">
      <c r="H131" s="196" t="s">
        <v>116</v>
      </c>
      <c r="I131" s="213" t="str">
        <f>IFERROR(VLOOKUP(H131,$B$3:$F$68,5,FALSE),"")</f>
        <v/>
      </c>
      <c r="J131" s="200"/>
    </row>
    <row r="132" spans="8:10" x14ac:dyDescent="0.3">
      <c r="H132" s="196" t="s">
        <v>62</v>
      </c>
      <c r="I132" s="213">
        <f>IFERROR(VLOOKUP(H132,$B$3:$F$68,5,FALSE),"")</f>
        <v>0.4995</v>
      </c>
      <c r="J132" s="200"/>
    </row>
    <row r="133" spans="8:10" x14ac:dyDescent="0.3">
      <c r="H133" s="196" t="s">
        <v>48</v>
      </c>
      <c r="I133" s="213">
        <f>IFERROR(VLOOKUP(H133,$B$3:$F$68,5,FALSE),"")</f>
        <v>0.79530000000000001</v>
      </c>
      <c r="J133" s="200"/>
    </row>
    <row r="134" spans="8:10" x14ac:dyDescent="0.3">
      <c r="H134" s="196" t="s">
        <v>63</v>
      </c>
      <c r="I134" s="213">
        <f>IFERROR(VLOOKUP(H134,$B$3:$F$68,5,FALSE),"")</f>
        <v>0.78978886079999999</v>
      </c>
      <c r="J134" s="200"/>
    </row>
    <row r="135" spans="8:10" x14ac:dyDescent="0.3">
      <c r="H135" s="196" t="s">
        <v>131</v>
      </c>
      <c r="I135" s="213" t="str">
        <f>IFERROR(VLOOKUP(H135,$B$3:$F$68,5,FALSE),"")</f>
        <v/>
      </c>
      <c r="J135" s="200"/>
    </row>
    <row r="136" spans="8:10" x14ac:dyDescent="0.3">
      <c r="H136" s="196" t="s">
        <v>155</v>
      </c>
      <c r="I136" s="213" t="str">
        <f>IFERROR(VLOOKUP(H136,$B$3:$F$68,5,FALSE),"")</f>
        <v/>
      </c>
      <c r="J136" s="200"/>
    </row>
    <row r="137" spans="8:10" x14ac:dyDescent="0.3">
      <c r="H137" s="196" t="s">
        <v>156</v>
      </c>
      <c r="I137" s="213" t="str">
        <f>IFERROR(VLOOKUP(H137,$B$3:$F$68,5,FALSE),"")</f>
        <v/>
      </c>
      <c r="J137" s="200"/>
    </row>
    <row r="138" spans="8:10" x14ac:dyDescent="0.3">
      <c r="H138" s="196" t="s">
        <v>64</v>
      </c>
      <c r="I138" s="213">
        <f>IFERROR(VLOOKUP(H138,$B$3:$F$68,5,FALSE),"")</f>
        <v>0.11236701960000001</v>
      </c>
      <c r="J138" s="200"/>
    </row>
    <row r="139" spans="8:10" x14ac:dyDescent="0.3">
      <c r="H139" s="196" t="s">
        <v>24</v>
      </c>
      <c r="I139" s="213">
        <f>IFERROR(VLOOKUP(H139,$B$3:$F$68,5,FALSE),"")</f>
        <v>0.86088886080000004</v>
      </c>
      <c r="J139" s="200"/>
    </row>
    <row r="140" spans="8:10" x14ac:dyDescent="0.3">
      <c r="H140" s="196" t="s">
        <v>34</v>
      </c>
      <c r="I140" s="213">
        <f>IFERROR(VLOOKUP(H140,$B$3:$F$68,5,FALSE),"")</f>
        <v>0.17717815879999999</v>
      </c>
      <c r="J140" s="200"/>
    </row>
    <row r="141" spans="8:10" x14ac:dyDescent="0.3">
      <c r="H141" s="196" t="s">
        <v>157</v>
      </c>
      <c r="I141" s="213" t="str">
        <f>IFERROR(VLOOKUP(H141,$B$3:$F$68,5,FALSE),"")</f>
        <v/>
      </c>
      <c r="J141" s="200"/>
    </row>
    <row r="142" spans="8:10" x14ac:dyDescent="0.3">
      <c r="H142" s="196" t="s">
        <v>158</v>
      </c>
      <c r="I142" s="213" t="str">
        <f>IFERROR(VLOOKUP(H142,$B$3:$F$68,5,FALSE),"")</f>
        <v/>
      </c>
      <c r="J142" s="200"/>
    </row>
    <row r="143" spans="8:10" x14ac:dyDescent="0.3">
      <c r="H143" s="196" t="s">
        <v>159</v>
      </c>
      <c r="I143" s="213" t="str">
        <f>IFERROR(VLOOKUP(H143,$B$3:$F$68,5,FALSE),"")</f>
        <v/>
      </c>
      <c r="J143" s="200"/>
    </row>
    <row r="144" spans="8:10" x14ac:dyDescent="0.3">
      <c r="H144" s="196" t="s">
        <v>160</v>
      </c>
      <c r="I144" s="213" t="str">
        <f>IFERROR(VLOOKUP(H144,$B$3:$F$68,5,FALSE),"")</f>
        <v/>
      </c>
      <c r="J144" s="200"/>
    </row>
    <row r="145" spans="8:10" x14ac:dyDescent="0.3">
      <c r="H145" s="196" t="s">
        <v>50</v>
      </c>
      <c r="I145" s="213">
        <f>IFERROR(VLOOKUP(H145,$B$3:$F$68,5,FALSE),"")</f>
        <v>0.30640000000000001</v>
      </c>
      <c r="J145" s="200"/>
    </row>
    <row r="146" spans="8:10" x14ac:dyDescent="0.3">
      <c r="H146" s="196" t="s">
        <v>161</v>
      </c>
      <c r="I146" s="213" t="str">
        <f>IFERROR(VLOOKUP(H146,$B$3:$F$68,5,FALSE),"")</f>
        <v/>
      </c>
      <c r="J146" s="200"/>
    </row>
    <row r="147" spans="8:10" x14ac:dyDescent="0.3">
      <c r="H147" s="196" t="s">
        <v>162</v>
      </c>
      <c r="I147" s="213" t="str">
        <f>IFERROR(VLOOKUP(H147,$B$3:$F$68,5,FALSE),"")</f>
        <v/>
      </c>
      <c r="J147" s="200"/>
    </row>
    <row r="148" spans="8:10" x14ac:dyDescent="0.3">
      <c r="H148" s="196" t="s">
        <v>7</v>
      </c>
      <c r="I148" s="213">
        <f>IFERROR(VLOOKUP(H148,$B$3:$F$68,5,FALSE),"")</f>
        <v>0.1006888608</v>
      </c>
      <c r="J148" s="200"/>
    </row>
    <row r="149" spans="8:10" x14ac:dyDescent="0.3">
      <c r="H149" s="196" t="s">
        <v>27</v>
      </c>
      <c r="I149" s="213">
        <f>IFERROR(VLOOKUP(H149,$B$3:$F$68,5,FALSE),"")</f>
        <v>0.3012888608</v>
      </c>
      <c r="J149" s="200"/>
    </row>
    <row r="150" spans="8:10" x14ac:dyDescent="0.3">
      <c r="H150" s="196" t="s">
        <v>163</v>
      </c>
      <c r="I150" s="213" t="str">
        <f>IFERROR(VLOOKUP(H150,$B$3:$F$68,5,FALSE),"")</f>
        <v/>
      </c>
      <c r="J150" s="200"/>
    </row>
    <row r="151" spans="8:10" x14ac:dyDescent="0.3">
      <c r="H151" s="196" t="s">
        <v>164</v>
      </c>
      <c r="I151" s="213" t="str">
        <f>IFERROR(VLOOKUP(H151,$B$3:$F$68,5,FALSE),"")</f>
        <v/>
      </c>
      <c r="J151" s="200"/>
    </row>
    <row r="152" spans="8:10" x14ac:dyDescent="0.3">
      <c r="H152" s="196" t="s">
        <v>165</v>
      </c>
      <c r="I152" s="213" t="str">
        <f>IFERROR(VLOOKUP(H152,$B$3:$F$68,5,FALSE),"")</f>
        <v/>
      </c>
      <c r="J152" s="200"/>
    </row>
    <row r="153" spans="8:10" x14ac:dyDescent="0.3">
      <c r="H153" s="196" t="s">
        <v>166</v>
      </c>
      <c r="I153" s="213" t="str">
        <f>IFERROR(VLOOKUP(H153,$B$3:$F$68,5,FALSE),"")</f>
        <v/>
      </c>
      <c r="J153" s="200"/>
    </row>
    <row r="154" spans="8:10" x14ac:dyDescent="0.3">
      <c r="H154" s="196" t="s">
        <v>135</v>
      </c>
      <c r="I154" s="213" t="str">
        <f>IFERROR(VLOOKUP(H154,$B$3:$F$68,5,FALSE),"")</f>
        <v/>
      </c>
      <c r="J154" s="200"/>
    </row>
    <row r="155" spans="8:10" x14ac:dyDescent="0.3">
      <c r="H155" s="196" t="s">
        <v>123</v>
      </c>
      <c r="I155" s="213" t="str">
        <f>IFERROR(VLOOKUP(H155,$B$3:$F$68,5,FALSE),"")</f>
        <v/>
      </c>
      <c r="J155" s="200"/>
    </row>
    <row r="156" spans="8:10" x14ac:dyDescent="0.3">
      <c r="H156" s="196" t="s">
        <v>125</v>
      </c>
      <c r="I156" s="213" t="str">
        <f>IFERROR(VLOOKUP(H156,$B$3:$F$68,5,FALSE),"")</f>
        <v/>
      </c>
      <c r="J156" s="200"/>
    </row>
    <row r="157" spans="8:10" x14ac:dyDescent="0.3">
      <c r="H157" s="196" t="s">
        <v>167</v>
      </c>
      <c r="I157" s="213" t="str">
        <f>IFERROR(VLOOKUP(H157,$B$3:$F$68,5,FALSE),"")</f>
        <v/>
      </c>
      <c r="J157" s="200"/>
    </row>
    <row r="158" spans="8:10" x14ac:dyDescent="0.3">
      <c r="H158" s="196" t="s">
        <v>65</v>
      </c>
      <c r="I158" s="213">
        <f>IFERROR(VLOOKUP(H158,$B$3:$F$68,5,FALSE),"")</f>
        <v>0.99299999999999999</v>
      </c>
      <c r="J158" s="200"/>
    </row>
    <row r="159" spans="8:10" x14ac:dyDescent="0.3">
      <c r="H159" s="196" t="s">
        <v>41</v>
      </c>
      <c r="I159" s="213">
        <f>IFERROR(VLOOKUP(H159,$B$3:$F$68,5,FALSE),"")</f>
        <v>0.26150000000000001</v>
      </c>
      <c r="J159" s="200"/>
    </row>
    <row r="160" spans="8:10" x14ac:dyDescent="0.3">
      <c r="H160" s="196" t="s">
        <v>42</v>
      </c>
      <c r="I160" s="213">
        <f>IFERROR(VLOOKUP(H160,$B$3:$F$68,5,FALSE),"")</f>
        <v>0.15989999999999999</v>
      </c>
      <c r="J160" s="200"/>
    </row>
    <row r="161" spans="8:10" x14ac:dyDescent="0.3">
      <c r="H161" s="196" t="s">
        <v>29</v>
      </c>
      <c r="I161" s="213">
        <f>IFERROR(VLOOKUP(H161,$B$3:$F$68,5,FALSE),"")</f>
        <v>0.72870000000000001</v>
      </c>
      <c r="J161" s="200"/>
    </row>
    <row r="162" spans="8:10" x14ac:dyDescent="0.3">
      <c r="H162" s="196" t="s">
        <v>16</v>
      </c>
      <c r="I162" s="213">
        <f>IFERROR(VLOOKUP(H162,$B$3:$F$68,5,FALSE),"")</f>
        <v>0.63880000000000003</v>
      </c>
      <c r="J162" s="200"/>
    </row>
    <row r="163" spans="8:10" x14ac:dyDescent="0.3">
      <c r="H163" s="196" t="s">
        <v>168</v>
      </c>
      <c r="I163" s="213" t="str">
        <f>IFERROR(VLOOKUP(H163,$B$3:$F$68,5,FALSE),"")</f>
        <v/>
      </c>
      <c r="J163" s="200"/>
    </row>
    <row r="164" spans="8:10" x14ac:dyDescent="0.3">
      <c r="H164" s="196" t="s">
        <v>18</v>
      </c>
      <c r="I164" s="213">
        <f>IFERROR(VLOOKUP(H164,$B$3:$F$68,5,FALSE),"")</f>
        <v>0.60385631760000003</v>
      </c>
      <c r="J164" s="200"/>
    </row>
    <row r="165" spans="8:10" x14ac:dyDescent="0.3">
      <c r="H165" s="196" t="s">
        <v>45</v>
      </c>
      <c r="I165" s="213">
        <f>IFERROR(VLOOKUP(H165,$B$3:$F$68,5,FALSE),"")</f>
        <v>0.89500000000000002</v>
      </c>
      <c r="J165" s="200"/>
    </row>
    <row r="166" spans="8:10" x14ac:dyDescent="0.3">
      <c r="H166" s="196" t="s">
        <v>53</v>
      </c>
      <c r="I166" s="213">
        <f>IFERROR(VLOOKUP(H166,$B$3:$F$68,5,FALSE),"")</f>
        <v>0.24959999999999999</v>
      </c>
      <c r="J166" s="200"/>
    </row>
    <row r="167" spans="8:10" x14ac:dyDescent="0.3">
      <c r="H167" s="196" t="s">
        <v>187</v>
      </c>
      <c r="I167" s="213" t="str">
        <f>IFERROR(VLOOKUP(H167,$B$3:$F$68,5,FALSE),"")</f>
        <v/>
      </c>
      <c r="J167" s="200"/>
    </row>
    <row r="168" spans="8:10" x14ac:dyDescent="0.3">
      <c r="H168" s="196" t="s">
        <v>52</v>
      </c>
      <c r="I168" s="213" t="str">
        <f>IFERROR(VLOOKUP(H168,$B$3:$F$68,5,FALSE),"")</f>
        <v/>
      </c>
      <c r="J168" s="200"/>
    </row>
    <row r="169" spans="8:10" x14ac:dyDescent="0.3">
      <c r="H169" s="196" t="s">
        <v>55</v>
      </c>
      <c r="I169" s="213">
        <f>IFERROR(VLOOKUP(H169,$B$3:$F$68,5,FALSE),"")</f>
        <v>7.6899999999999996E-2</v>
      </c>
      <c r="J169" s="200"/>
    </row>
    <row r="170" spans="8:10" x14ac:dyDescent="0.3">
      <c r="H170" s="196" t="s">
        <v>169</v>
      </c>
      <c r="I170" s="213" t="str">
        <f>IFERROR(VLOOKUP(H170,$B$3:$F$68,5,FALSE),"")</f>
        <v/>
      </c>
      <c r="J170" s="200"/>
    </row>
    <row r="171" spans="8:10" x14ac:dyDescent="0.3">
      <c r="H171" s="196" t="s">
        <v>213</v>
      </c>
      <c r="I171" s="213" t="str">
        <f>IFERROR(VLOOKUP(H171,$B$3:$F$68,5,FALSE),"")</f>
        <v/>
      </c>
      <c r="J171" s="200"/>
    </row>
    <row r="172" spans="8:10" x14ac:dyDescent="0.3">
      <c r="H172" s="196" t="s">
        <v>214</v>
      </c>
      <c r="I172" s="213" t="str">
        <f>IFERROR(VLOOKUP(H172,$B$3:$F$68,5,FALSE),"")</f>
        <v/>
      </c>
      <c r="J172" s="200"/>
    </row>
    <row r="173" spans="8:10" x14ac:dyDescent="0.3">
      <c r="H173" s="196"/>
      <c r="I173" s="213" t="str">
        <f>IFERROR(VLOOKUP(H173,$B$3:$F$68,5,FALSE),"")</f>
        <v/>
      </c>
      <c r="J173" s="200"/>
    </row>
    <row r="174" spans="8:10" x14ac:dyDescent="0.3">
      <c r="H174" s="196"/>
      <c r="I174" s="213" t="str">
        <f>IFERROR(VLOOKUP(H174,$B$3:$F$68,5,FALSE),"")</f>
        <v/>
      </c>
      <c r="J174" s="200"/>
    </row>
    <row r="175" spans="8:10" x14ac:dyDescent="0.3">
      <c r="H175" s="200" t="s">
        <v>79</v>
      </c>
      <c r="I175" s="213" t="str">
        <f>IFERROR(VLOOKUP(H175,$B$3:$F$68,5,FALSE),"")</f>
        <v/>
      </c>
      <c r="J175" s="209">
        <f>SUM(I175:I204)</f>
        <v>2.7852000000000001</v>
      </c>
    </row>
    <row r="176" spans="8:10" x14ac:dyDescent="0.3">
      <c r="H176" s="196" t="s">
        <v>170</v>
      </c>
      <c r="I176" s="213" t="str">
        <f>IFERROR(VLOOKUP(H176,$B$3:$F$68,5,FALSE),"")</f>
        <v/>
      </c>
      <c r="J176" s="200"/>
    </row>
    <row r="177" spans="8:12" x14ac:dyDescent="0.3">
      <c r="H177" s="196" t="s">
        <v>143</v>
      </c>
      <c r="I177" s="213">
        <f>IFERROR(VLOOKUP(H177,$B$3:$F$68,5,FALSE),"")</f>
        <v>0.92789999999999995</v>
      </c>
      <c r="J177" s="200"/>
    </row>
    <row r="178" spans="8:12" x14ac:dyDescent="0.3">
      <c r="H178" s="196" t="s">
        <v>171</v>
      </c>
      <c r="I178" s="213" t="str">
        <f>IFERROR(VLOOKUP(H178,$B$3:$F$68,5,FALSE),"")</f>
        <v/>
      </c>
      <c r="J178" s="200"/>
    </row>
    <row r="179" spans="8:12" x14ac:dyDescent="0.3">
      <c r="H179" s="196" t="s">
        <v>141</v>
      </c>
      <c r="I179" s="213" t="str">
        <f>IFERROR(VLOOKUP(H179,$B$3:$F$68,5,FALSE),"")</f>
        <v/>
      </c>
      <c r="J179" s="200"/>
    </row>
    <row r="180" spans="8:12" x14ac:dyDescent="0.3">
      <c r="H180" s="196" t="s">
        <v>172</v>
      </c>
      <c r="I180" s="213">
        <f>IFERROR(VLOOKUP(H180,$B$3:$F$68,5,FALSE),"")</f>
        <v>0.92669999999999997</v>
      </c>
      <c r="J180" s="200"/>
    </row>
    <row r="181" spans="8:12" x14ac:dyDescent="0.3">
      <c r="H181" s="196" t="s">
        <v>173</v>
      </c>
      <c r="I181" s="213" t="str">
        <f>IFERROR(VLOOKUP(H181,$B$3:$F$68,5,FALSE),"")</f>
        <v/>
      </c>
      <c r="J181" s="200"/>
      <c r="L181" s="9"/>
    </row>
    <row r="182" spans="8:12" x14ac:dyDescent="0.3">
      <c r="H182" s="196" t="s">
        <v>174</v>
      </c>
      <c r="I182" s="213" t="str">
        <f>IFERROR(VLOOKUP(H182,$B$3:$F$68,5,FALSE),"")</f>
        <v/>
      </c>
      <c r="J182" s="200"/>
    </row>
    <row r="183" spans="8:12" x14ac:dyDescent="0.3">
      <c r="H183" s="196" t="s">
        <v>175</v>
      </c>
      <c r="I183" s="213" t="str">
        <f>IFERROR(VLOOKUP(H183,$B$3:$F$68,5,FALSE),"")</f>
        <v/>
      </c>
      <c r="J183" s="200"/>
    </row>
    <row r="184" spans="8:12" x14ac:dyDescent="0.3">
      <c r="H184" s="196" t="s">
        <v>176</v>
      </c>
      <c r="I184" s="213" t="str">
        <f>IFERROR(VLOOKUP(H184,$B$3:$F$68,5,FALSE),"")</f>
        <v/>
      </c>
      <c r="J184" s="200"/>
    </row>
    <row r="185" spans="8:12" x14ac:dyDescent="0.3">
      <c r="H185" s="196" t="s">
        <v>186</v>
      </c>
      <c r="I185" s="213" t="str">
        <f>IFERROR(VLOOKUP(H185,$B$3:$F$68,5,FALSE),"")</f>
        <v/>
      </c>
      <c r="J185" s="200"/>
    </row>
    <row r="186" spans="8:12" x14ac:dyDescent="0.3">
      <c r="H186" s="196" t="s">
        <v>185</v>
      </c>
      <c r="I186" s="213">
        <f>IFERROR(VLOOKUP(H186,$B$3:$F$68,5,FALSE),"")</f>
        <v>0.80010000000000003</v>
      </c>
      <c r="J186" s="200"/>
    </row>
    <row r="187" spans="8:12" x14ac:dyDescent="0.3">
      <c r="H187" s="196" t="s">
        <v>137</v>
      </c>
      <c r="I187" s="213" t="str">
        <f>IFERROR(VLOOKUP(H187,$B$3:$F$68,5,FALSE),"")</f>
        <v/>
      </c>
      <c r="J187" s="200"/>
    </row>
    <row r="188" spans="8:12" x14ac:dyDescent="0.3">
      <c r="H188" s="196" t="s">
        <v>177</v>
      </c>
      <c r="I188" s="213" t="str">
        <f>IFERROR(VLOOKUP(H188,$B$3:$F$68,5,FALSE),"")</f>
        <v/>
      </c>
      <c r="J188" s="200"/>
    </row>
    <row r="189" spans="8:12" x14ac:dyDescent="0.3">
      <c r="H189" s="196" t="s">
        <v>178</v>
      </c>
      <c r="I189" s="213" t="str">
        <f>IFERROR(VLOOKUP(H189,$B$3:$F$68,5,FALSE),"")</f>
        <v/>
      </c>
      <c r="J189" s="200"/>
    </row>
    <row r="190" spans="8:12" x14ac:dyDescent="0.3">
      <c r="H190" s="196" t="s">
        <v>179</v>
      </c>
      <c r="I190" s="213" t="str">
        <f>IFERROR(VLOOKUP(H190,$B$3:$F$68,5,FALSE),"")</f>
        <v/>
      </c>
      <c r="J190" s="200"/>
    </row>
    <row r="191" spans="8:12" x14ac:dyDescent="0.3">
      <c r="H191" s="196" t="s">
        <v>180</v>
      </c>
      <c r="I191" s="213" t="str">
        <f>IFERROR(VLOOKUP(H191,$B$3:$F$68,5,FALSE),"")</f>
        <v/>
      </c>
      <c r="J191" s="200"/>
    </row>
    <row r="192" spans="8:12" x14ac:dyDescent="0.3">
      <c r="H192" s="196" t="s">
        <v>139</v>
      </c>
      <c r="I192" s="213">
        <f>IFERROR(VLOOKUP(H192,$B$3:$F$68,5,FALSE),"")</f>
        <v>0.1305</v>
      </c>
      <c r="J192" s="200"/>
    </row>
    <row r="193" spans="8:10" x14ac:dyDescent="0.3">
      <c r="H193" s="196" t="s">
        <v>181</v>
      </c>
      <c r="I193" s="213" t="str">
        <f>IFERROR(VLOOKUP(H193,$B$3:$F$68,5,FALSE),"")</f>
        <v/>
      </c>
      <c r="J193" s="200"/>
    </row>
    <row r="194" spans="8:10" x14ac:dyDescent="0.3">
      <c r="H194" s="196" t="s">
        <v>182</v>
      </c>
      <c r="I194" s="213" t="str">
        <f>IFERROR(VLOOKUP(H194,$B$3:$F$68,5,FALSE),"")</f>
        <v/>
      </c>
      <c r="J194" s="200"/>
    </row>
    <row r="195" spans="8:10" x14ac:dyDescent="0.3">
      <c r="H195" s="196"/>
      <c r="I195" s="213" t="str">
        <f>IFERROR(VLOOKUP(H195,$B$3:$F$68,5,FALSE),"")</f>
        <v/>
      </c>
      <c r="J195" s="200"/>
    </row>
    <row r="196" spans="8:10" x14ac:dyDescent="0.3">
      <c r="H196" s="196"/>
      <c r="I196" s="213" t="str">
        <f>IFERROR(VLOOKUP(H196,$B$3:$F$68,5,FALSE),"")</f>
        <v/>
      </c>
      <c r="J196" s="200"/>
    </row>
    <row r="197" spans="8:10" x14ac:dyDescent="0.3">
      <c r="H197" s="196"/>
      <c r="I197" s="213" t="str">
        <f>IFERROR(VLOOKUP(H197,$B$3:$F$68,5,FALSE),"")</f>
        <v/>
      </c>
      <c r="J197" s="200"/>
    </row>
    <row r="198" spans="8:10" x14ac:dyDescent="0.3">
      <c r="H198" s="196"/>
      <c r="I198" s="213" t="str">
        <f>IFERROR(VLOOKUP(H198,$B$3:$F$68,5,FALSE),"")</f>
        <v/>
      </c>
      <c r="J198" s="200"/>
    </row>
    <row r="199" spans="8:10" x14ac:dyDescent="0.3">
      <c r="H199" s="196"/>
      <c r="I199" s="213" t="str">
        <f>IFERROR(VLOOKUP(H199,$B$3:$F$68,5,FALSE),"")</f>
        <v/>
      </c>
      <c r="J199" s="200"/>
    </row>
    <row r="200" spans="8:10" x14ac:dyDescent="0.3">
      <c r="H200" s="196"/>
      <c r="I200" s="213" t="str">
        <f>IFERROR(VLOOKUP(H200,$B$3:$F$68,5,FALSE),"")</f>
        <v/>
      </c>
      <c r="J200" s="200"/>
    </row>
    <row r="201" spans="8:10" x14ac:dyDescent="0.3">
      <c r="H201" s="196"/>
      <c r="I201" s="213" t="str">
        <f>IFERROR(VLOOKUP(H201,$B$3:$F$68,5,FALSE),"")</f>
        <v/>
      </c>
      <c r="J201" s="200"/>
    </row>
    <row r="202" spans="8:10" x14ac:dyDescent="0.3">
      <c r="H202" s="196"/>
      <c r="I202" s="213" t="str">
        <f>IFERROR(VLOOKUP(H202,$B$3:$F$68,5,FALSE),"")</f>
        <v/>
      </c>
      <c r="J202" s="200"/>
    </row>
    <row r="203" spans="8:10" x14ac:dyDescent="0.3">
      <c r="H203" s="196"/>
      <c r="I203" s="213" t="str">
        <f>IFERROR(VLOOKUP(H203,$B$3:$F$68,5,FALSE),"")</f>
        <v/>
      </c>
      <c r="J203" s="200"/>
    </row>
    <row r="204" spans="8:10" x14ac:dyDescent="0.3">
      <c r="H204" s="196"/>
      <c r="I204" s="213" t="str">
        <f>IFERROR(VLOOKUP(H204,$B$3:$F$68,5,FALSE),"")</f>
        <v/>
      </c>
      <c r="J204" s="200"/>
    </row>
    <row r="205" spans="8:10" x14ac:dyDescent="0.3">
      <c r="H205" s="200" t="s">
        <v>80</v>
      </c>
      <c r="I205" s="213" t="str">
        <f>IFERROR(VLOOKUP(H205,$B$3:$F$68,5,FALSE),"")</f>
        <v/>
      </c>
      <c r="J205" s="209">
        <f>SUM(I205:I215)</f>
        <v>0</v>
      </c>
    </row>
    <row r="206" spans="8:10" x14ac:dyDescent="0.3">
      <c r="H206" s="196"/>
      <c r="I206" s="213" t="str">
        <f>IFERROR(VLOOKUP(H206,$B$3:$F$68,5,FALSE),"")</f>
        <v/>
      </c>
      <c r="J206" s="196"/>
    </row>
    <row r="207" spans="8:10" x14ac:dyDescent="0.3">
      <c r="H207" s="196"/>
      <c r="I207" s="213" t="str">
        <f>IFERROR(VLOOKUP(H207,$B$3:$F$68,5,FALSE),"")</f>
        <v/>
      </c>
      <c r="J207" s="196"/>
    </row>
    <row r="208" spans="8:10" x14ac:dyDescent="0.3">
      <c r="H208" s="196"/>
      <c r="I208" s="213" t="str">
        <f>IFERROR(VLOOKUP(H208,$B$3:$F$68,5,FALSE),"")</f>
        <v/>
      </c>
      <c r="J208" s="196"/>
    </row>
    <row r="209" spans="8:10" x14ac:dyDescent="0.3">
      <c r="H209" s="196"/>
      <c r="I209" s="213" t="str">
        <f>IFERROR(VLOOKUP(H209,$B$3:$F$68,5,FALSE),"")</f>
        <v/>
      </c>
      <c r="J209" s="196"/>
    </row>
    <row r="210" spans="8:10" x14ac:dyDescent="0.3">
      <c r="H210" s="196"/>
      <c r="I210" s="213" t="str">
        <f>IFERROR(VLOOKUP(H210,$B$3:$F$68,5,FALSE),"")</f>
        <v/>
      </c>
      <c r="J210" s="196"/>
    </row>
    <row r="211" spans="8:10" x14ac:dyDescent="0.3">
      <c r="H211" s="196"/>
      <c r="I211" s="213" t="str">
        <f>IFERROR(VLOOKUP(H211,$B$3:$F$68,5,FALSE),"")</f>
        <v/>
      </c>
      <c r="J211" s="196"/>
    </row>
    <row r="212" spans="8:10" x14ac:dyDescent="0.3">
      <c r="H212" s="196"/>
      <c r="I212" s="213" t="str">
        <f>IFERROR(VLOOKUP(H212,$B$3:$F$68,5,FALSE),"")</f>
        <v/>
      </c>
      <c r="J212" s="196"/>
    </row>
    <row r="213" spans="8:10" x14ac:dyDescent="0.3">
      <c r="H213" s="196"/>
      <c r="I213" s="213" t="str">
        <f>IFERROR(VLOOKUP(H213,$B$3:$F$68,5,FALSE),"")</f>
        <v/>
      </c>
      <c r="J213" s="196"/>
    </row>
    <row r="214" spans="8:10" x14ac:dyDescent="0.3">
      <c r="H214" s="196"/>
      <c r="I214" s="213" t="str">
        <f>IFERROR(VLOOKUP(H214,$B$3:$F$68,5,FALSE),"")</f>
        <v/>
      </c>
      <c r="J214" s="196"/>
    </row>
    <row r="215" spans="8:10" x14ac:dyDescent="0.3">
      <c r="H215" s="196"/>
      <c r="I215" s="213" t="str">
        <f>IFERROR(VLOOKUP(H215,$B$3:$F$68,5,FALSE),"")</f>
        <v/>
      </c>
      <c r="J215" s="196"/>
    </row>
    <row r="216" spans="8:10" x14ac:dyDescent="0.3">
      <c r="I216" s="213" t="str">
        <f>IFERROR(VLOOKUP(H216,$B$3:$F$68,5,FALSE),"")</f>
        <v/>
      </c>
    </row>
    <row r="217" spans="8:10" x14ac:dyDescent="0.3">
      <c r="I217" s="213" t="str">
        <f>IFERROR(VLOOKUP(H217,$B$3:$F$68,5,FALSE),"")</f>
        <v/>
      </c>
    </row>
    <row r="218" spans="8:10" x14ac:dyDescent="0.3">
      <c r="I218" s="213" t="str">
        <f>IFERROR(VLOOKUP(H218,$B$3:$F$68,5,FALSE),"")</f>
        <v/>
      </c>
    </row>
    <row r="219" spans="8:10" x14ac:dyDescent="0.3">
      <c r="I219" s="213" t="str">
        <f>IFERROR(VLOOKUP(H219,$B$3:$F$68,5,FALSE),"")</f>
        <v/>
      </c>
    </row>
    <row r="220" spans="8:10" x14ac:dyDescent="0.3">
      <c r="I220" s="213" t="str">
        <f>IFERROR(VLOOKUP(H220,$B$3:$F$68,5,FALSE),"")</f>
        <v/>
      </c>
    </row>
    <row r="221" spans="8:10" x14ac:dyDescent="0.3">
      <c r="I221" s="213" t="str">
        <f>IFERROR(VLOOKUP(H221,$B$3:$F$68,5,FALSE),"")</f>
        <v/>
      </c>
    </row>
    <row r="222" spans="8:10" x14ac:dyDescent="0.3">
      <c r="I222" s="213" t="str">
        <f>IFERROR(VLOOKUP(H222,$B$3:$F$68,5,FALSE),"")</f>
        <v/>
      </c>
    </row>
    <row r="223" spans="8:10" x14ac:dyDescent="0.3">
      <c r="I223" s="213" t="str">
        <f>IFERROR(VLOOKUP(H223,$B$3:$F$68,5,FALSE),"")</f>
        <v/>
      </c>
    </row>
    <row r="224" spans="8:10" x14ac:dyDescent="0.3">
      <c r="I224" s="213" t="str">
        <f>IFERROR(VLOOKUP(H224,$B$3:$F$68,5,FALSE),"")</f>
        <v/>
      </c>
    </row>
    <row r="225" spans="9:9" x14ac:dyDescent="0.3">
      <c r="I225" s="213" t="str">
        <f>IFERROR(VLOOKUP(H225,$B$3:$F$68,5,FALSE),"")</f>
        <v/>
      </c>
    </row>
    <row r="226" spans="9:9" x14ac:dyDescent="0.3">
      <c r="I226" s="213" t="str">
        <f>IFERROR(VLOOKUP(H226,$B$3:$F$68,5,FALSE),"")</f>
        <v/>
      </c>
    </row>
    <row r="227" spans="9:9" x14ac:dyDescent="0.3">
      <c r="I227" s="213" t="str">
        <f>IFERROR(VLOOKUP(H227,$B$3:$F$68,5,FALSE),"")</f>
        <v/>
      </c>
    </row>
    <row r="228" spans="9:9" x14ac:dyDescent="0.3">
      <c r="I228" s="213" t="str">
        <f>IFERROR(VLOOKUP(H228,$B$3:$F$68,5,FALSE),"")</f>
        <v/>
      </c>
    </row>
    <row r="229" spans="9:9" x14ac:dyDescent="0.3">
      <c r="I229" s="213" t="str">
        <f>IFERROR(VLOOKUP(H229,$B$3:$F$68,5,FALSE),"")</f>
        <v/>
      </c>
    </row>
    <row r="230" spans="9:9" x14ac:dyDescent="0.3">
      <c r="I230" s="213" t="str">
        <f>IFERROR(VLOOKUP(H230,$B$3:$F$68,5,FALSE),"")</f>
        <v/>
      </c>
    </row>
    <row r="231" spans="9:9" x14ac:dyDescent="0.3">
      <c r="I231" s="213" t="str">
        <f>IFERROR(VLOOKUP(H231,$B$3:$F$68,5,FALSE),"")</f>
        <v/>
      </c>
    </row>
    <row r="232" spans="9:9" x14ac:dyDescent="0.3">
      <c r="I232" s="213" t="str">
        <f>IFERROR(VLOOKUP(H232,$B$3:$F$68,5,FALSE),"")</f>
        <v/>
      </c>
    </row>
    <row r="233" spans="9:9" x14ac:dyDescent="0.3">
      <c r="I233" s="213" t="str">
        <f>IFERROR(VLOOKUP(H233,$B$3:$F$68,5,FALSE),"")</f>
        <v/>
      </c>
    </row>
    <row r="234" spans="9:9" x14ac:dyDescent="0.3">
      <c r="I234" s="213" t="str">
        <f>IFERROR(VLOOKUP(H234,$B$3:$F$68,5,FALSE),"")</f>
        <v/>
      </c>
    </row>
    <row r="235" spans="9:9" x14ac:dyDescent="0.3">
      <c r="I235" s="213" t="str">
        <f>IFERROR(VLOOKUP(H235,$B$3:$F$68,5,FALSE),"")</f>
        <v/>
      </c>
    </row>
    <row r="236" spans="9:9" x14ac:dyDescent="0.3">
      <c r="I236" s="213" t="str">
        <f>IFERROR(VLOOKUP(H236,$B$3:$F$68,5,FALSE),"")</f>
        <v/>
      </c>
    </row>
    <row r="237" spans="9:9" x14ac:dyDescent="0.3">
      <c r="I237" s="213" t="str">
        <f>IFERROR(VLOOKUP(H237,$B$3:$F$68,5,FALSE),"")</f>
        <v/>
      </c>
    </row>
    <row r="238" spans="9:9" x14ac:dyDescent="0.3">
      <c r="I238" s="213" t="str">
        <f>IFERROR(VLOOKUP(H238,$B$3:$F$68,5,FALSE),"")</f>
        <v/>
      </c>
    </row>
    <row r="239" spans="9:9" x14ac:dyDescent="0.3">
      <c r="I239" s="213" t="str">
        <f>IFERROR(VLOOKUP(H239,$B$3:$F$68,5,FALSE),"")</f>
        <v/>
      </c>
    </row>
    <row r="240" spans="9:9" x14ac:dyDescent="0.3">
      <c r="I240" s="213" t="str">
        <f>IFERROR(VLOOKUP(H240,$B$3:$F$68,5,FALSE),"")</f>
        <v/>
      </c>
    </row>
    <row r="241" spans="9:9" x14ac:dyDescent="0.3">
      <c r="I241" s="213" t="str">
        <f>IFERROR(VLOOKUP(H241,$B$3:$F$68,5,FALSE),"")</f>
        <v/>
      </c>
    </row>
    <row r="242" spans="9:9" x14ac:dyDescent="0.3">
      <c r="I242" s="213" t="str">
        <f>IFERROR(VLOOKUP(H242,$B$3:$F$68,5,FALSE),"")</f>
        <v/>
      </c>
    </row>
    <row r="243" spans="9:9" x14ac:dyDescent="0.3">
      <c r="I243" s="213" t="str">
        <f>IFERROR(VLOOKUP(H243,$B$3:$F$68,5,FALSE),"")</f>
        <v/>
      </c>
    </row>
    <row r="244" spans="9:9" x14ac:dyDescent="0.3">
      <c r="I244" s="213" t="str">
        <f>IFERROR(VLOOKUP(H244,$B$3:$F$68,5,FALSE),"")</f>
        <v/>
      </c>
    </row>
    <row r="245" spans="9:9" x14ac:dyDescent="0.3">
      <c r="I245" s="213" t="str">
        <f>IFERROR(VLOOKUP(H245,$B$3:$F$68,5,FALSE),"")</f>
        <v/>
      </c>
    </row>
    <row r="246" spans="9:9" x14ac:dyDescent="0.3">
      <c r="I246" s="213" t="str">
        <f>IFERROR(VLOOKUP(H246,$B$3:$F$68,5,FALSE),"")</f>
        <v/>
      </c>
    </row>
    <row r="247" spans="9:9" x14ac:dyDescent="0.3">
      <c r="I247" s="213" t="str">
        <f>IFERROR(VLOOKUP(H247,$B$3:$F$68,5,FALSE),"")</f>
        <v/>
      </c>
    </row>
    <row r="248" spans="9:9" x14ac:dyDescent="0.3">
      <c r="I248" s="213" t="str">
        <f>IFERROR(VLOOKUP(H248,$B$3:$F$68,5,FALSE),"")</f>
        <v/>
      </c>
    </row>
    <row r="249" spans="9:9" x14ac:dyDescent="0.3">
      <c r="I249" s="213" t="str">
        <f>IFERROR(VLOOKUP(H249,$B$3:$F$68,5,FALSE),"")</f>
        <v/>
      </c>
    </row>
    <row r="250" spans="9:9" x14ac:dyDescent="0.3">
      <c r="I250" s="213" t="str">
        <f>IFERROR(VLOOKUP(H250,$B$3:$F$68,5,FALSE),"")</f>
        <v/>
      </c>
    </row>
    <row r="251" spans="9:9" x14ac:dyDescent="0.3">
      <c r="I251" s="213" t="str">
        <f>IFERROR(VLOOKUP(H251,$B$3:$F$68,5,FALSE),"")</f>
        <v/>
      </c>
    </row>
    <row r="252" spans="9:9" x14ac:dyDescent="0.3">
      <c r="I252" s="213" t="str">
        <f>IFERROR(VLOOKUP(H252,$B$3:$F$68,5,FALSE),"")</f>
        <v/>
      </c>
    </row>
    <row r="253" spans="9:9" x14ac:dyDescent="0.3">
      <c r="I253" s="213" t="str">
        <f>IFERROR(VLOOKUP(H253,$B$3:$F$68,5,FALSE),"")</f>
        <v/>
      </c>
    </row>
    <row r="254" spans="9:9" x14ac:dyDescent="0.3">
      <c r="I254" s="213" t="str">
        <f>IFERROR(VLOOKUP(H254,$B$3:$F$68,5,FALSE),"")</f>
        <v/>
      </c>
    </row>
    <row r="255" spans="9:9" x14ac:dyDescent="0.3">
      <c r="I255" s="213" t="str">
        <f>IFERROR(VLOOKUP(H255,$B$3:$F$68,5,FALSE),"")</f>
        <v/>
      </c>
    </row>
    <row r="256" spans="9:9" x14ac:dyDescent="0.3">
      <c r="I256" s="213" t="str">
        <f>IFERROR(VLOOKUP(H256,$B$3:$F$68,5,FALSE),"")</f>
        <v/>
      </c>
    </row>
    <row r="257" spans="9:9" x14ac:dyDescent="0.3">
      <c r="I257" s="213" t="str">
        <f>IFERROR(VLOOKUP(H257,$B$3:$F$68,5,FALSE),"")</f>
        <v/>
      </c>
    </row>
    <row r="258" spans="9:9" x14ac:dyDescent="0.3">
      <c r="I258" s="213" t="str">
        <f>IFERROR(VLOOKUP(H258,$B$3:$F$68,5,FALSE),"")</f>
        <v/>
      </c>
    </row>
    <row r="259" spans="9:9" x14ac:dyDescent="0.3">
      <c r="I259" s="213" t="str">
        <f>IFERROR(VLOOKUP(H259,$B$3:$F$68,5,FALSE),"")</f>
        <v/>
      </c>
    </row>
    <row r="260" spans="9:9" x14ac:dyDescent="0.3">
      <c r="I260" s="213" t="str">
        <f>IFERROR(VLOOKUP(H260,$B$3:$F$68,5,FALSE),"")</f>
        <v/>
      </c>
    </row>
    <row r="261" spans="9:9" x14ac:dyDescent="0.3">
      <c r="I261" s="213" t="str">
        <f>IFERROR(VLOOKUP(H261,$B$3:$F$68,5,FALSE),"")</f>
        <v/>
      </c>
    </row>
    <row r="262" spans="9:9" x14ac:dyDescent="0.3">
      <c r="I262" s="213" t="str">
        <f>IFERROR(VLOOKUP(H262,$B$3:$F$68,5,FALSE),"")</f>
        <v/>
      </c>
    </row>
    <row r="263" spans="9:9" x14ac:dyDescent="0.3">
      <c r="I263" s="213" t="str">
        <f>IFERROR(VLOOKUP(H263,$B$3:$F$68,5,FALSE),"")</f>
        <v/>
      </c>
    </row>
    <row r="264" spans="9:9" x14ac:dyDescent="0.3">
      <c r="I264" s="213" t="str">
        <f>IFERROR(VLOOKUP(H264,$B$3:$F$68,5,FALSE),"")</f>
        <v/>
      </c>
    </row>
    <row r="265" spans="9:9" x14ac:dyDescent="0.3">
      <c r="I265" s="213" t="str">
        <f>IFERROR(VLOOKUP(H265,$B$3:$F$68,5,FALSE),"")</f>
        <v/>
      </c>
    </row>
    <row r="266" spans="9:9" x14ac:dyDescent="0.3">
      <c r="I266" s="213" t="str">
        <f>IFERROR(VLOOKUP(H266,$B$3:$F$68,5,FALSE),"")</f>
        <v/>
      </c>
    </row>
    <row r="267" spans="9:9" x14ac:dyDescent="0.3">
      <c r="I267" s="213" t="str">
        <f>IFERROR(VLOOKUP(H267,$B$3:$F$68,5,FALSE),"")</f>
        <v/>
      </c>
    </row>
    <row r="268" spans="9:9" x14ac:dyDescent="0.3">
      <c r="I268" s="213" t="str">
        <f>IFERROR(VLOOKUP(H268,$B$3:$F$68,5,FALSE),"")</f>
        <v/>
      </c>
    </row>
    <row r="269" spans="9:9" x14ac:dyDescent="0.3">
      <c r="I269" s="213" t="str">
        <f>IFERROR(VLOOKUP(H269,$B$3:$F$68,5,FALSE),"")</f>
        <v/>
      </c>
    </row>
    <row r="270" spans="9:9" x14ac:dyDescent="0.3">
      <c r="I270" s="213" t="str">
        <f>IFERROR(VLOOKUP(H270,$B$3:$F$68,5,FALSE),"")</f>
        <v/>
      </c>
    </row>
    <row r="271" spans="9:9" x14ac:dyDescent="0.3">
      <c r="I271" s="213" t="str">
        <f>IFERROR(VLOOKUP(H271,$B$3:$F$68,5,FALSE),"")</f>
        <v/>
      </c>
    </row>
    <row r="272" spans="9:9" x14ac:dyDescent="0.3">
      <c r="I272" s="213" t="str">
        <f>IFERROR(VLOOKUP(H272,$B$3:$F$68,5,FALSE),"")</f>
        <v/>
      </c>
    </row>
    <row r="273" spans="9:9" x14ac:dyDescent="0.3">
      <c r="I273" s="213" t="str">
        <f>IFERROR(VLOOKUP(H273,$B$3:$F$68,5,FALSE),"")</f>
        <v/>
      </c>
    </row>
    <row r="274" spans="9:9" x14ac:dyDescent="0.3">
      <c r="I274" s="213" t="str">
        <f>IFERROR(VLOOKUP(H274,$B$3:$F$68,5,FALSE),"")</f>
        <v/>
      </c>
    </row>
    <row r="275" spans="9:9" x14ac:dyDescent="0.3">
      <c r="I275" s="213" t="str">
        <f>IFERROR(VLOOKUP(H275,$B$3:$F$68,5,FALSE),"")</f>
        <v/>
      </c>
    </row>
  </sheetData>
  <customSheetViews>
    <customSheetView guid="{5C7B38D6-29D9-4C20-A92E-817BB499D35F}">
      <selection activeCell="F14" sqref="F14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76"/>
  <sheetViews>
    <sheetView topLeftCell="A76" zoomScale="70" zoomScaleNormal="70" workbookViewId="0">
      <selection activeCell="K90" sqref="K90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1" max="11" width="9.332031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5" x14ac:dyDescent="0.3">
      <c r="B1" t="s">
        <v>58</v>
      </c>
      <c r="C1" t="s">
        <v>59</v>
      </c>
    </row>
    <row r="2" spans="2:15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2"/>
      <c r="L2" s="111" t="s">
        <v>69</v>
      </c>
      <c r="M2" s="112" t="s">
        <v>100</v>
      </c>
      <c r="N2" s="112" t="s">
        <v>100</v>
      </c>
    </row>
    <row r="3" spans="2:15" s="1" customFormat="1" x14ac:dyDescent="0.3">
      <c r="B3" s="40" t="s">
        <v>60</v>
      </c>
      <c r="C3" s="41" t="s">
        <v>4</v>
      </c>
      <c r="D3" s="42">
        <v>0.55420000000000003</v>
      </c>
      <c r="E3" s="24" t="str">
        <f>IF(IF(B3="MDZ140R","",IFERROR((SUMIF($B$3:$B$74,"MDZ140R",$F$3:$F$74)*INDEX($Q$20:$Q$84,MATCH(B3,$N$20:$N$84,0))),""))=0,"",IF(B3="MDZ140R","",IFERROR((SUMIF($B$3:$B$74,"MDZ140R",$F$3:$F$74)*INDEX($Q$20:$Q$84,MATCH(B3,$N$20:$N$84,0))),"")))</f>
        <v/>
      </c>
      <c r="F3" s="42">
        <f>IF(D3="","",D3+ IF(E3="",0,E3))</f>
        <v>0.55420000000000003</v>
      </c>
      <c r="H3" s="202" t="s">
        <v>71</v>
      </c>
      <c r="I3" s="213" t="str">
        <f>IFERROR(VLOOKUP(H3,$B$3:$F$69,5,FALSE),"")</f>
        <v/>
      </c>
      <c r="J3" s="203">
        <f>SUM(I3:I21)</f>
        <v>3.8680499999999998</v>
      </c>
      <c r="K3" s="171"/>
      <c r="L3" s="80" t="s">
        <v>70</v>
      </c>
      <c r="M3" s="114">
        <f>VLOOKUP(L3,$H$3:$J$219,3,FALSE)</f>
        <v>0</v>
      </c>
      <c r="N3" s="115">
        <f>(M3/$M$14)</f>
        <v>0</v>
      </c>
      <c r="O3" s="83"/>
    </row>
    <row r="4" spans="2:15" s="1" customFormat="1" x14ac:dyDescent="0.3">
      <c r="B4" s="40" t="s">
        <v>61</v>
      </c>
      <c r="C4" s="41" t="s">
        <v>5</v>
      </c>
      <c r="D4" s="42">
        <v>0.17810000000000001</v>
      </c>
      <c r="E4" s="24" t="str">
        <f>IF(IF(B4="MDZ140R","",IFERROR((SUMIF($B$3:$B$74,"MDZ140R",$F$3:$F$74)*INDEX($Q$20:$Q$84,MATCH(B4,$N$20:$N$84,0))),""))=0,"",IF(B4="MDZ140R","",IFERROR((SUMIF($B$3:$B$74,"MDZ140R",$F$3:$F$74)*INDEX($Q$20:$Q$84,MATCH(B4,$N$20:$N$84,0))),"")))</f>
        <v/>
      </c>
      <c r="F4" s="42">
        <f t="shared" ref="F4:F84" si="0">IF(D4="","",D4+ IF(E4="",0,E4))</f>
        <v>0.17810000000000001</v>
      </c>
      <c r="H4" s="192" t="s">
        <v>46</v>
      </c>
      <c r="I4" s="213">
        <f>IFERROR(VLOOKUP(H4,$B$3:$F$69,5,FALSE),"")</f>
        <v>0.38500000000000001</v>
      </c>
      <c r="J4" s="204"/>
      <c r="L4" s="56" t="s">
        <v>71</v>
      </c>
      <c r="M4" s="114">
        <f>VLOOKUP(L4,$H$3:$J$219,3,FALSE)</f>
        <v>3.8680499999999998</v>
      </c>
      <c r="N4" s="115">
        <f t="shared" ref="N4:N13" si="1">(M4/$M$14)</f>
        <v>0.17459866073544447</v>
      </c>
      <c r="O4" s="84"/>
    </row>
    <row r="5" spans="2:15" s="1" customFormat="1" x14ac:dyDescent="0.3">
      <c r="B5" s="40" t="s">
        <v>62</v>
      </c>
      <c r="C5" s="41" t="s">
        <v>6</v>
      </c>
      <c r="D5" s="42">
        <v>0.36549999999999999</v>
      </c>
      <c r="E5" s="24" t="str">
        <f>IF(IF(B5="MDZ140R","",IFERROR((SUMIF($B$3:$B$74,"MDZ140R",$F$3:$F$74)*INDEX($Q$20:$Q$84,MATCH(B5,$N$20:$N$84,0))),""))=0,"",IF(B5="MDZ140R","",IFERROR((SUMIF($B$3:$B$74,"MDZ140R",$F$3:$F$74)*INDEX($Q$20:$Q$84,MATCH(B5,$N$20:$N$84,0))),"")))</f>
        <v/>
      </c>
      <c r="F5" s="42">
        <f t="shared" si="0"/>
        <v>0.36549999999999999</v>
      </c>
      <c r="H5" s="192" t="s">
        <v>86</v>
      </c>
      <c r="I5" s="213" t="str">
        <f>IFERROR(VLOOKUP(H5,$B$3:$F$69,5,FALSE),"")</f>
        <v/>
      </c>
      <c r="J5" s="204"/>
      <c r="L5" s="80" t="s">
        <v>72</v>
      </c>
      <c r="M5" s="114">
        <f>VLOOKUP(L5,$H$3:$J$219,3,FALSE)</f>
        <v>7.8799999999999995E-2</v>
      </c>
      <c r="N5" s="115">
        <f t="shared" si="1"/>
        <v>3.5569277713455162E-3</v>
      </c>
    </row>
    <row r="6" spans="2:15" s="1" customFormat="1" x14ac:dyDescent="0.3">
      <c r="B6" s="40" t="s">
        <v>7</v>
      </c>
      <c r="C6" s="41" t="s">
        <v>8</v>
      </c>
      <c r="D6" s="42">
        <v>0.13550000000000001</v>
      </c>
      <c r="E6" s="24" t="str">
        <f>IF(IF(B6="MDZ140R","",IFERROR((SUMIF($B$3:$B$74,"MDZ140R",$F$3:$F$74)*INDEX($Q$20:$Q$84,MATCH(B6,$N$20:$N$84,0))),""))=0,"",IF(B6="MDZ140R","",IFERROR((SUMIF($B$3:$B$74,"MDZ140R",$F$3:$F$74)*INDEX($Q$20:$Q$84,MATCH(B6,$N$20:$N$84,0))),"")))</f>
        <v/>
      </c>
      <c r="F6" s="42">
        <f t="shared" si="0"/>
        <v>0.13550000000000001</v>
      </c>
      <c r="H6" s="192" t="s">
        <v>36</v>
      </c>
      <c r="I6" s="213">
        <f>IFERROR(VLOOKUP(H6,$B$3:$F$69,5,FALSE),"")</f>
        <v>0.84699999999999998</v>
      </c>
      <c r="J6" s="204"/>
      <c r="L6" s="56" t="s">
        <v>73</v>
      </c>
      <c r="M6" s="114">
        <f>VLOOKUP(L6,$H$3:$J$219,3,FALSE)</f>
        <v>3.6031999999999997</v>
      </c>
      <c r="N6" s="115">
        <f t="shared" si="1"/>
        <v>0.16264368205218482</v>
      </c>
    </row>
    <row r="7" spans="2:15" s="1" customFormat="1" x14ac:dyDescent="0.3">
      <c r="B7" s="40" t="s">
        <v>9</v>
      </c>
      <c r="C7" s="41" t="s">
        <v>10</v>
      </c>
      <c r="D7" s="42">
        <v>0.19020000000000001</v>
      </c>
      <c r="E7" s="24" t="str">
        <f>IF(IF(B7="MDZ140R","",IFERROR((SUMIF($B$3:$B$74,"MDZ140R",$F$3:$F$74)*INDEX($Q$20:$Q$84,MATCH(B7,$N$20:$N$84,0))),""))=0,"",IF(B7="MDZ140R","",IFERROR((SUMIF($B$3:$B$74,"MDZ140R",$F$3:$F$74)*INDEX($Q$20:$Q$84,MATCH(B7,$N$20:$N$84,0))),"")))</f>
        <v/>
      </c>
      <c r="F7" s="42">
        <f t="shared" si="0"/>
        <v>0.19020000000000001</v>
      </c>
      <c r="H7" s="192" t="s">
        <v>87</v>
      </c>
      <c r="I7" s="211">
        <v>0.37095</v>
      </c>
      <c r="J7" s="204"/>
      <c r="L7" s="80" t="s">
        <v>74</v>
      </c>
      <c r="M7" s="114">
        <f>VLOOKUP(L7,$H$3:$J$219,3,FALSE)</f>
        <v>0.58260000000000001</v>
      </c>
      <c r="N7" s="115">
        <f t="shared" si="1"/>
        <v>2.6297793395760126E-2</v>
      </c>
    </row>
    <row r="8" spans="2:15" s="1" customFormat="1" x14ac:dyDescent="0.3">
      <c r="B8" s="40" t="s">
        <v>11</v>
      </c>
      <c r="C8" s="41" t="s">
        <v>12</v>
      </c>
      <c r="D8" s="42">
        <v>0.71589999999999998</v>
      </c>
      <c r="E8" s="24" t="str">
        <f>IF(IF(B8="MDZ140R","",IFERROR((SUMIF($B$3:$B$74,"MDZ140R",$F$3:$F$74)*INDEX($Q$20:$Q$84,MATCH(B8,$N$20:$N$84,0))),""))=0,"",IF(B8="MDZ140R","",IFERROR((SUMIF($B$3:$B$74,"MDZ140R",$F$3:$F$74)*INDEX($Q$20:$Q$84,MATCH(B8,$N$20:$N$84,0))),"")))</f>
        <v/>
      </c>
      <c r="F8" s="42">
        <f t="shared" si="0"/>
        <v>0.71589999999999998</v>
      </c>
      <c r="H8" s="192" t="s">
        <v>88</v>
      </c>
      <c r="I8" s="213" t="str">
        <f>IFERROR(VLOOKUP(H8,$B$3:$F$69,5,FALSE),"")</f>
        <v/>
      </c>
      <c r="J8" s="204"/>
      <c r="L8" s="56" t="s">
        <v>75</v>
      </c>
      <c r="M8" s="114">
        <f>VLOOKUP(L8,$H$3:$J$219,3,FALSE)</f>
        <v>0.3362</v>
      </c>
      <c r="N8" s="115">
        <f t="shared" si="1"/>
        <v>1.5175623308710187E-2</v>
      </c>
    </row>
    <row r="9" spans="2:15" s="1" customFormat="1" x14ac:dyDescent="0.3">
      <c r="B9" s="40" t="s">
        <v>13</v>
      </c>
      <c r="C9" s="41" t="s">
        <v>68</v>
      </c>
      <c r="D9" s="42">
        <v>0.27079999999999999</v>
      </c>
      <c r="E9" s="24" t="str">
        <f>IF(IF(B9="MDZ140R","",IFERROR((SUMIF($B$3:$B$74,"MDZ140R",$F$3:$F$74)*INDEX($Q$20:$Q$84,MATCH(B9,$N$20:$N$84,0))),""))=0,"",IF(B9="MDZ140R","",IFERROR((SUMIF($B$3:$B$74,"MDZ140R",$F$3:$F$74)*INDEX($Q$20:$Q$84,MATCH(B9,$N$20:$N$84,0))),"")))</f>
        <v/>
      </c>
      <c r="F9" s="42">
        <f t="shared" si="0"/>
        <v>0.27079999999999999</v>
      </c>
      <c r="H9" s="192" t="s">
        <v>89</v>
      </c>
      <c r="I9" s="213" t="str">
        <f>IFERROR(VLOOKUP(H9,$B$3:$F$69,5,FALSE),"")</f>
        <v/>
      </c>
      <c r="J9" s="204"/>
      <c r="L9" s="80" t="s">
        <v>76</v>
      </c>
      <c r="M9" s="114">
        <f>VLOOKUP(L9,$H$3:$J$219,3,FALSE)</f>
        <v>0</v>
      </c>
      <c r="N9" s="115">
        <f t="shared" si="1"/>
        <v>0</v>
      </c>
    </row>
    <row r="10" spans="2:15" s="1" customFormat="1" x14ac:dyDescent="0.3">
      <c r="B10" s="40" t="s">
        <v>14</v>
      </c>
      <c r="C10" s="41" t="s">
        <v>15</v>
      </c>
      <c r="D10" s="42">
        <v>0.3362</v>
      </c>
      <c r="E10" s="24" t="str">
        <f>IF(IF(B10="MDZ140R","",IFERROR((SUMIF($B$3:$B$74,"MDZ140R",$F$3:$F$74)*INDEX($Q$20:$Q$84,MATCH(B10,$N$20:$N$84,0))),""))=0,"",IF(B10="MDZ140R","",IFERROR((SUMIF($B$3:$B$74,"MDZ140R",$F$3:$F$74)*INDEX($Q$20:$Q$84,MATCH(B10,$N$20:$N$84,0))),"")))</f>
        <v/>
      </c>
      <c r="F10" s="42">
        <f t="shared" si="0"/>
        <v>0.3362</v>
      </c>
      <c r="H10" s="192" t="s">
        <v>13</v>
      </c>
      <c r="I10" s="213">
        <f>IFERROR(VLOOKUP(H10,$B$3:$F$69,5,FALSE),"")</f>
        <v>0.27079999999999999</v>
      </c>
      <c r="J10" s="204"/>
      <c r="L10" s="56" t="s">
        <v>77</v>
      </c>
      <c r="M10" s="114">
        <f>VLOOKUP(L10,$H$3:$J$219,3,FALSE)</f>
        <v>12.8415</v>
      </c>
      <c r="N10" s="115">
        <f t="shared" si="1"/>
        <v>0.57964832456514526</v>
      </c>
    </row>
    <row r="11" spans="2:15" s="1" customFormat="1" x14ac:dyDescent="0.3">
      <c r="B11" s="40" t="s">
        <v>16</v>
      </c>
      <c r="C11" s="41" t="s">
        <v>17</v>
      </c>
      <c r="D11" s="42">
        <v>0.51700000000000002</v>
      </c>
      <c r="E11" s="24" t="str">
        <f>IF(IF(B11="MDZ140R","",IFERROR((SUMIF($B$3:$B$74,"MDZ140R",$F$3:$F$74)*INDEX($Q$20:$Q$84,MATCH(B11,$N$20:$N$84,0))),""))=0,"",IF(B11="MDZ140R","",IFERROR((SUMIF($B$3:$B$74,"MDZ140R",$F$3:$F$74)*INDEX($Q$20:$Q$84,MATCH(B11,$N$20:$N$84,0))),"")))</f>
        <v/>
      </c>
      <c r="F11" s="42">
        <f t="shared" si="0"/>
        <v>0.51700000000000002</v>
      </c>
      <c r="H11" s="192" t="s">
        <v>31</v>
      </c>
      <c r="I11" s="211">
        <v>7.8799999999999995E-2</v>
      </c>
      <c r="J11" s="204"/>
      <c r="L11" s="80" t="s">
        <v>78</v>
      </c>
      <c r="M11" s="114">
        <f>VLOOKUP(L11,$H$3:$J$219,3,FALSE)</f>
        <v>0</v>
      </c>
      <c r="N11" s="115">
        <f t="shared" si="1"/>
        <v>0</v>
      </c>
    </row>
    <row r="12" spans="2:15" s="1" customFormat="1" x14ac:dyDescent="0.3">
      <c r="B12" s="40" t="s">
        <v>18</v>
      </c>
      <c r="C12" s="41" t="s">
        <v>19</v>
      </c>
      <c r="D12" s="42">
        <v>0.36170000000000002</v>
      </c>
      <c r="E12" s="24" t="str">
        <f>IF(IF(B12="MDZ140R","",IFERROR((SUMIF($B$3:$B$74,"MDZ140R",$F$3:$F$74)*INDEX($Q$20:$Q$84,MATCH(B12,$N$20:$N$84,0))),""))=0,"",IF(B12="MDZ140R","",IFERROR((SUMIF($B$3:$B$74,"MDZ140R",$F$3:$F$74)*INDEX($Q$20:$Q$84,MATCH(B12,$N$20:$N$84,0))),"")))</f>
        <v/>
      </c>
      <c r="F12" s="42">
        <f t="shared" si="0"/>
        <v>0.36170000000000002</v>
      </c>
      <c r="H12" s="192" t="s">
        <v>90</v>
      </c>
      <c r="I12" s="213" t="str">
        <f>IFERROR(VLOOKUP(H12,$B$3:$F$69,5,FALSE),"")</f>
        <v/>
      </c>
      <c r="J12" s="204"/>
      <c r="L12" s="56" t="s">
        <v>79</v>
      </c>
      <c r="M12" s="114">
        <f>VLOOKUP(L12,$H$3:$J$219,3,FALSE)</f>
        <v>0.84360000000000002</v>
      </c>
      <c r="N12" s="115">
        <f t="shared" si="1"/>
        <v>3.8078988171409617E-2</v>
      </c>
    </row>
    <row r="13" spans="2:15" s="1" customFormat="1" x14ac:dyDescent="0.3">
      <c r="B13" s="40" t="s">
        <v>20</v>
      </c>
      <c r="C13" s="41" t="s">
        <v>21</v>
      </c>
      <c r="D13" s="42">
        <v>0.21260000000000001</v>
      </c>
      <c r="E13" s="24" t="str">
        <f>IF(IF(B13="MDZ140R","",IFERROR((SUMIF($B$3:$B$74,"MDZ140R",$F$3:$F$74)*INDEX($Q$20:$Q$84,MATCH(B13,$N$20:$N$84,0))),""))=0,"",IF(B13="MDZ140R","",IFERROR((SUMIF($B$3:$B$74,"MDZ140R",$F$3:$F$74)*INDEX($Q$20:$Q$84,MATCH(B13,$N$20:$N$84,0))),"")))</f>
        <v/>
      </c>
      <c r="F13" s="42">
        <f t="shared" si="0"/>
        <v>0.21260000000000001</v>
      </c>
      <c r="H13" s="192" t="s">
        <v>91</v>
      </c>
      <c r="I13" s="213" t="str">
        <f>IFERROR(VLOOKUP(H13,$B$3:$F$69,5,FALSE),"")</f>
        <v/>
      </c>
      <c r="J13" s="204"/>
      <c r="L13" s="80" t="s">
        <v>80</v>
      </c>
      <c r="M13" s="114">
        <f>VLOOKUP(L13,$H$3:$J$219,3,FALSE)</f>
        <v>0</v>
      </c>
      <c r="N13" s="115">
        <f t="shared" si="1"/>
        <v>0</v>
      </c>
    </row>
    <row r="14" spans="2:15" s="1" customFormat="1" x14ac:dyDescent="0.3">
      <c r="B14" s="40" t="s">
        <v>63</v>
      </c>
      <c r="C14" s="41" t="s">
        <v>23</v>
      </c>
      <c r="D14" s="42">
        <v>0.95189999999999997</v>
      </c>
      <c r="E14" s="24" t="str">
        <f>IF(IF(B14="MDZ140R","",IFERROR((SUMIF($B$3:$B$74,"MDZ140R",$F$3:$F$74)*INDEX($Q$20:$Q$84,MATCH(B14,$N$20:$N$84,0))),""))=0,"",IF(B14="MDZ140R","",IFERROR((SUMIF($B$3:$B$74,"MDZ140R",$F$3:$F$74)*INDEX($Q$20:$Q$84,MATCH(B14,$N$20:$N$84,0))),"")))</f>
        <v/>
      </c>
      <c r="F14" s="42">
        <f t="shared" si="0"/>
        <v>0.95189999999999997</v>
      </c>
      <c r="H14" s="192" t="s">
        <v>92</v>
      </c>
      <c r="I14" s="213" t="str">
        <f>IFERROR(VLOOKUP(H14,$B$3:$F$69,5,FALSE),"")</f>
        <v/>
      </c>
      <c r="J14" s="204"/>
      <c r="L14" s="119" t="s">
        <v>81</v>
      </c>
      <c r="M14" s="120">
        <f>SUM(M3:M13)</f>
        <v>22.153949999999998</v>
      </c>
      <c r="N14" s="121">
        <f>SUM(N3:N13)</f>
        <v>1</v>
      </c>
      <c r="O14" s="83"/>
    </row>
    <row r="15" spans="2:15" s="1" customFormat="1" x14ac:dyDescent="0.3">
      <c r="B15" s="40" t="s">
        <v>64</v>
      </c>
      <c r="C15" s="41" t="s">
        <v>25</v>
      </c>
      <c r="D15" s="42">
        <v>0.99639999999999995</v>
      </c>
      <c r="E15" s="24" t="str">
        <f>IF(IF(B15="MDZ140R","",IFERROR((SUMIF($B$3:$B$74,"MDZ140R",$F$3:$F$74)*INDEX($Q$20:$Q$84,MATCH(B15,$N$20:$N$84,0))),""))=0,"",IF(B15="MDZ140R","",IFERROR((SUMIF($B$3:$B$74,"MDZ140R",$F$3:$F$74)*INDEX($Q$20:$Q$84,MATCH(B15,$N$20:$N$84,0))),"")))</f>
        <v/>
      </c>
      <c r="F15" s="42">
        <f t="shared" si="0"/>
        <v>0.99639999999999995</v>
      </c>
      <c r="H15" s="192" t="s">
        <v>93</v>
      </c>
      <c r="I15" s="213" t="str">
        <f>IFERROR(VLOOKUP(H15,$B$3:$F$69,5,FALSE),"")</f>
        <v/>
      </c>
      <c r="J15" s="204"/>
      <c r="L15" s="122" t="s">
        <v>82</v>
      </c>
      <c r="M15" s="120">
        <f>SUM(M3,M5,M7,M9,M11,M13)</f>
        <v>0.66139999999999999</v>
      </c>
      <c r="N15" s="123">
        <f>SUM(N13,N11,N9,N7,N5,N3)</f>
        <v>2.9854721167105643E-2</v>
      </c>
    </row>
    <row r="16" spans="2:15" s="1" customFormat="1" x14ac:dyDescent="0.3">
      <c r="B16" s="40" t="s">
        <v>24</v>
      </c>
      <c r="C16" s="41" t="s">
        <v>26</v>
      </c>
      <c r="D16" s="42">
        <v>0.35520000000000002</v>
      </c>
      <c r="E16" s="24" t="str">
        <f>IF(IF(B16="MDZ140R","",IFERROR((SUMIF($B$3:$B$74,"MDZ140R",$F$3:$F$74)*INDEX($Q$20:$Q$84,MATCH(B16,$N$20:$N$84,0))),""))=0,"",IF(B16="MDZ140R","",IFERROR((SUMIF($B$3:$B$74,"MDZ140R",$F$3:$F$74)*INDEX($Q$20:$Q$84,MATCH(B16,$N$20:$N$84,0))),"")))</f>
        <v/>
      </c>
      <c r="F16" s="42">
        <f t="shared" si="0"/>
        <v>0.35520000000000002</v>
      </c>
      <c r="H16" s="192" t="s">
        <v>94</v>
      </c>
      <c r="I16" s="211">
        <v>0.92269999999999996</v>
      </c>
      <c r="J16" s="204"/>
    </row>
    <row r="17" spans="2:18" s="1" customFormat="1" x14ac:dyDescent="0.3">
      <c r="B17" s="40" t="s">
        <v>27</v>
      </c>
      <c r="C17" s="41" t="s">
        <v>28</v>
      </c>
      <c r="D17" s="42">
        <v>0.7792</v>
      </c>
      <c r="E17" s="24" t="str">
        <f>IF(IF(B17="MDZ140R","",IFERROR((SUMIF($B$3:$B$74,"MDZ140R",$F$3:$F$74)*INDEX($Q$20:$Q$84,MATCH(B17,$N$20:$N$84,0))),""))=0,"",IF(B17="MDZ140R","",IFERROR((SUMIF($B$3:$B$74,"MDZ140R",$F$3:$F$74)*INDEX($Q$20:$Q$84,MATCH(B17,$N$20:$N$84,0))),"")))</f>
        <v/>
      </c>
      <c r="F17" s="42">
        <f t="shared" si="0"/>
        <v>0.7792</v>
      </c>
      <c r="H17" s="192" t="s">
        <v>95</v>
      </c>
      <c r="I17" s="213">
        <f>IFERROR(VLOOKUP(H17,$B$3:$F$69,5,FALSE),"")</f>
        <v>0.99280000000000002</v>
      </c>
      <c r="J17" s="204"/>
    </row>
    <row r="18" spans="2:18" s="1" customFormat="1" x14ac:dyDescent="0.3">
      <c r="B18" s="40" t="s">
        <v>29</v>
      </c>
      <c r="C18" s="41" t="s">
        <v>30</v>
      </c>
      <c r="D18" s="42">
        <v>0.1804</v>
      </c>
      <c r="E18" s="24" t="str">
        <f>IF(IF(B18="MDZ140R","",IFERROR((SUMIF($B$3:$B$74,"MDZ140R",$F$3:$F$74)*INDEX($Q$20:$Q$84,MATCH(B18,$N$20:$N$84,0))),""))=0,"",IF(B18="MDZ140R","",IFERROR((SUMIF($B$3:$B$74,"MDZ140R",$F$3:$F$74)*INDEX($Q$20:$Q$84,MATCH(B18,$N$20:$N$84,0))),"")))</f>
        <v/>
      </c>
      <c r="F18" s="42">
        <f t="shared" si="0"/>
        <v>0.1804</v>
      </c>
      <c r="H18" s="192" t="s">
        <v>96</v>
      </c>
      <c r="I18" s="213" t="str">
        <f>IFERROR(VLOOKUP(H18,$B$3:$F$69,5,FALSE),"")</f>
        <v/>
      </c>
      <c r="J18" s="198"/>
    </row>
    <row r="19" spans="2:18" s="1" customFormat="1" x14ac:dyDescent="0.3">
      <c r="B19" s="40" t="s">
        <v>31</v>
      </c>
      <c r="C19" s="41" t="s">
        <v>67</v>
      </c>
      <c r="D19" s="42">
        <v>0.15759999999999999</v>
      </c>
      <c r="E19" s="24" t="str">
        <f>IF(IF(B19="MDZ140R","",IFERROR((SUMIF($B$3:$B$74,"MDZ140R",$F$3:$F$74)*INDEX($Q$20:$Q$84,MATCH(B19,$N$20:$N$84,0))),""))=0,"",IF(B19="MDZ140R","",IFERROR((SUMIF($B$3:$B$74,"MDZ140R",$F$3:$F$74)*INDEX($Q$20:$Q$84,MATCH(B19,$N$20:$N$84,0))),"")))</f>
        <v/>
      </c>
      <c r="F19" s="42">
        <f t="shared" si="0"/>
        <v>0.15759999999999999</v>
      </c>
      <c r="H19" s="192" t="s">
        <v>97</v>
      </c>
      <c r="I19" s="213" t="str">
        <f>IFERROR(VLOOKUP(H19,$B$3:$F$69,5,FALSE),"")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0" t="s">
        <v>32</v>
      </c>
      <c r="C20" s="41" t="s">
        <v>33</v>
      </c>
      <c r="D20" s="42">
        <v>0.40310000000000001</v>
      </c>
      <c r="E20" s="24" t="str">
        <f>IF(IF(B20="MDZ140R","",IFERROR((SUMIF($B$3:$B$74,"MDZ140R",$F$3:$F$74)*INDEX($Q$20:$Q$84,MATCH(B20,$N$20:$N$84,0))),""))=0,"",IF(B20="MDZ140R","",IFERROR((SUMIF($B$3:$B$74,"MDZ140R",$F$3:$F$74)*INDEX($Q$20:$Q$84,MATCH(B20,$N$20:$N$84,0))),"")))</f>
        <v/>
      </c>
      <c r="F20" s="42">
        <f t="shared" si="0"/>
        <v>0.40310000000000001</v>
      </c>
      <c r="H20" s="192" t="s">
        <v>98</v>
      </c>
      <c r="I20" s="213" t="str">
        <f>IFERROR(VLOOKUP(H20,$B$3:$F$69,5,FALSE),"")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0" t="s">
        <v>34</v>
      </c>
      <c r="C21" s="41" t="s">
        <v>35</v>
      </c>
      <c r="D21" s="42">
        <v>0.95269999999999999</v>
      </c>
      <c r="E21" s="24" t="str">
        <f>IF(IF(B21="MDZ140R","",IFERROR((SUMIF($B$3:$B$74,"MDZ140R",$F$3:$F$74)*INDEX($Q$20:$Q$84,MATCH(B21,$N$20:$N$84,0))),""))=0,"",IF(B21="MDZ140R","",IFERROR((SUMIF($B$3:$B$74,"MDZ140R",$F$3:$F$74)*INDEX($Q$20:$Q$84,MATCH(B21,$N$20:$N$84,0))),"")))</f>
        <v/>
      </c>
      <c r="F21" s="42">
        <f t="shared" si="0"/>
        <v>0.95269999999999999</v>
      </c>
      <c r="H21" s="192" t="s">
        <v>99</v>
      </c>
      <c r="I21" s="213" t="str">
        <f>IFERROR(VLOOKUP(H21,$B$3:$F$69,5,FALSE),"")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0" t="s">
        <v>36</v>
      </c>
      <c r="C22" s="41" t="s">
        <v>37</v>
      </c>
      <c r="D22" s="42">
        <v>0.84699999999999998</v>
      </c>
      <c r="E22" s="24" t="str">
        <f>IF(IF(B22="MDZ140R","",IFERROR((SUMIF($B$3:$B$74,"MDZ140R",$F$3:$F$74)*INDEX($Q$20:$Q$84,MATCH(B22,$N$20:$N$84,0))),""))=0,"",IF(B22="MDZ140R","",IFERROR((SUMIF($B$3:$B$74,"MDZ140R",$F$3:$F$74)*INDEX($Q$20:$Q$84,MATCH(B22,$N$20:$N$84,0))),"")))</f>
        <v/>
      </c>
      <c r="F22" s="42">
        <f t="shared" si="0"/>
        <v>0.84699999999999998</v>
      </c>
      <c r="H22" s="197" t="s">
        <v>70</v>
      </c>
      <c r="I22" s="213" t="str">
        <f>IFERROR(VLOOKUP(H22,$B$3:$F$69,5,FALSE),"")</f>
        <v/>
      </c>
      <c r="J22" s="198">
        <f>SUM(I22:I36)</f>
        <v>0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9"/>
      <c r="C23" s="180"/>
      <c r="D23" s="181"/>
      <c r="E23" s="182"/>
      <c r="F23" s="181"/>
      <c r="H23" s="199"/>
      <c r="I23" s="214"/>
      <c r="J23" s="186"/>
      <c r="L23" s="183"/>
      <c r="M23" s="183"/>
      <c r="N23" s="183"/>
      <c r="O23" s="183"/>
      <c r="P23" s="185"/>
      <c r="Q23" s="186"/>
      <c r="R23" s="183"/>
    </row>
    <row r="24" spans="2:18" s="144" customFormat="1" x14ac:dyDescent="0.3">
      <c r="B24" s="179"/>
      <c r="C24" s="180"/>
      <c r="D24" s="181"/>
      <c r="E24" s="182"/>
      <c r="F24" s="181"/>
      <c r="H24" s="199"/>
      <c r="I24" s="213"/>
      <c r="J24" s="186"/>
      <c r="L24" s="183"/>
      <c r="M24" s="183"/>
      <c r="N24" s="183"/>
      <c r="O24" s="183"/>
      <c r="P24" s="185"/>
      <c r="Q24" s="186"/>
      <c r="R24" s="183"/>
    </row>
    <row r="25" spans="2:18" s="144" customFormat="1" x14ac:dyDescent="0.3">
      <c r="B25" s="179"/>
      <c r="C25" s="180"/>
      <c r="D25" s="181"/>
      <c r="E25" s="182"/>
      <c r="F25" s="181"/>
      <c r="H25" s="199"/>
      <c r="I25" s="213" t="str">
        <f>IFERROR(VLOOKUP(H25,$B$3:$F$69,5,FALSE),"")</f>
        <v/>
      </c>
      <c r="J25" s="186"/>
      <c r="L25" s="183"/>
      <c r="M25" s="183"/>
      <c r="N25" s="183"/>
      <c r="O25" s="183"/>
      <c r="P25" s="185"/>
      <c r="Q25" s="186"/>
      <c r="R25" s="183"/>
    </row>
    <row r="26" spans="2:18" s="144" customFormat="1" x14ac:dyDescent="0.3">
      <c r="B26" s="179"/>
      <c r="C26" s="180"/>
      <c r="D26" s="181"/>
      <c r="E26" s="182"/>
      <c r="F26" s="181"/>
      <c r="H26" s="199"/>
      <c r="I26" s="213" t="str">
        <f>IFERROR(VLOOKUP(H26,$B$3:$F$69,5,FALSE),"")</f>
        <v/>
      </c>
      <c r="J26" s="186"/>
      <c r="L26" s="183"/>
      <c r="M26" s="183"/>
      <c r="N26" s="183"/>
      <c r="O26" s="183"/>
      <c r="P26" s="185"/>
      <c r="Q26" s="186"/>
      <c r="R26" s="183"/>
    </row>
    <row r="27" spans="2:18" s="144" customFormat="1" x14ac:dyDescent="0.3">
      <c r="B27" s="179"/>
      <c r="C27" s="180"/>
      <c r="D27" s="181"/>
      <c r="E27" s="182"/>
      <c r="F27" s="181"/>
      <c r="H27" s="192"/>
      <c r="I27" s="213" t="str">
        <f>IFERROR(VLOOKUP(H27,$B$3:$F$69,5,FALSE),"")</f>
        <v/>
      </c>
      <c r="J27" s="204"/>
      <c r="L27" s="183"/>
      <c r="M27" s="183"/>
      <c r="N27" s="183"/>
      <c r="O27" s="183"/>
      <c r="P27" s="185"/>
      <c r="Q27" s="186"/>
      <c r="R27" s="183"/>
    </row>
    <row r="28" spans="2:18" s="144" customFormat="1" x14ac:dyDescent="0.3">
      <c r="B28" s="179"/>
      <c r="C28" s="180"/>
      <c r="D28" s="181"/>
      <c r="E28" s="182"/>
      <c r="F28" s="181"/>
      <c r="H28" s="192"/>
      <c r="I28" s="213" t="str">
        <f>IFERROR(VLOOKUP(H28,$B$3:$F$69,5,FALSE),"")</f>
        <v/>
      </c>
      <c r="J28" s="204"/>
      <c r="L28" s="183"/>
      <c r="M28" s="183"/>
      <c r="N28" s="183"/>
      <c r="O28" s="183"/>
      <c r="P28" s="185"/>
      <c r="Q28" s="186"/>
      <c r="R28" s="183"/>
    </row>
    <row r="29" spans="2:18" s="1" customFormat="1" x14ac:dyDescent="0.3">
      <c r="B29" s="40" t="s">
        <v>38</v>
      </c>
      <c r="C29" s="41" t="s">
        <v>39</v>
      </c>
      <c r="D29" s="42">
        <v>0.83320000000000005</v>
      </c>
      <c r="E29" s="24" t="str">
        <f>IF(IF(B29="MDZ140R","",IFERROR((SUMIF($B$3:$B$74,"MDZ140R",$F$3:$F$74)*INDEX($Q$20:$Q$84,MATCH(B29,$N$20:$N$84,0))),""))=0,"",IF(B29="MDZ140R","",IFERROR((SUMIF($B$3:$B$74,"MDZ140R",$F$3:$F$74)*INDEX($Q$20:$Q$84,MATCH(B29,$N$20:$N$84,0))),"")))</f>
        <v/>
      </c>
      <c r="F29" s="42">
        <f t="shared" si="0"/>
        <v>0.83320000000000005</v>
      </c>
      <c r="H29" s="192"/>
      <c r="I29" s="213" t="str">
        <f>IFERROR(VLOOKUP(H29,$B$3:$F$69,5,FALSE),"")</f>
        <v/>
      </c>
      <c r="J29" s="204"/>
      <c r="L29" s="56"/>
      <c r="M29" s="56"/>
      <c r="N29" s="56" t="s">
        <v>14</v>
      </c>
      <c r="O29" s="56" t="s">
        <v>15</v>
      </c>
      <c r="P29" s="125">
        <v>5</v>
      </c>
      <c r="Q29" s="126">
        <v>2.7321999999999999E-2</v>
      </c>
      <c r="R29" s="56"/>
    </row>
    <row r="30" spans="2:18" s="1" customFormat="1" x14ac:dyDescent="0.3">
      <c r="B30" s="40" t="s">
        <v>65</v>
      </c>
      <c r="C30" s="41" t="s">
        <v>40</v>
      </c>
      <c r="D30" s="42">
        <v>0.26929999999999998</v>
      </c>
      <c r="E30" s="24" t="str">
        <f>IF(IF(B30="MDZ140R","",IFERROR((SUMIF($B$3:$B$74,"MDZ140R",$F$3:$F$74)*INDEX($Q$20:$Q$84,MATCH(B30,$N$20:$N$84,0))),""))=0,"",IF(B30="MDZ140R","",IFERROR((SUMIF($B$3:$B$74,"MDZ140R",$F$3:$F$74)*INDEX($Q$20:$Q$84,MATCH(B30,$N$20:$N$84,0))),"")))</f>
        <v/>
      </c>
      <c r="F30" s="42">
        <f t="shared" si="0"/>
        <v>0.26929999999999998</v>
      </c>
      <c r="H30" s="192"/>
      <c r="I30" s="213" t="str">
        <f>IFERROR(VLOOKUP(H30,$B$3:$F$69,5,FALSE),"")</f>
        <v/>
      </c>
      <c r="J30" s="204"/>
      <c r="L30" s="56"/>
      <c r="M30" s="56"/>
      <c r="N30" s="56" t="s">
        <v>60</v>
      </c>
      <c r="O30" s="56" t="s">
        <v>4</v>
      </c>
      <c r="P30" s="125">
        <v>2</v>
      </c>
      <c r="Q30" s="126">
        <v>1.0928999999999999E-2</v>
      </c>
      <c r="R30" s="56"/>
    </row>
    <row r="31" spans="2:18" s="1" customFormat="1" x14ac:dyDescent="0.3">
      <c r="B31" s="40" t="s">
        <v>41</v>
      </c>
      <c r="C31" s="41" t="s">
        <v>66</v>
      </c>
      <c r="D31" s="42">
        <v>0.1653</v>
      </c>
      <c r="E31" s="24" t="str">
        <f>IF(IF(B31="MDZ140R","",IFERROR((SUMIF($B$3:$B$74,"MDZ140R",$F$3:$F$74)*INDEX($Q$20:$Q$84,MATCH(B31,$N$20:$N$84,0))),""))=0,"",IF(B31="MDZ140R","",IFERROR((SUMIF($B$3:$B$74,"MDZ140R",$F$3:$F$74)*INDEX($Q$20:$Q$84,MATCH(B31,$N$20:$N$84,0))),"")))</f>
        <v/>
      </c>
      <c r="F31" s="42">
        <f t="shared" si="0"/>
        <v>0.1653</v>
      </c>
      <c r="H31" s="192"/>
      <c r="I31" s="213" t="str">
        <f>IFERROR(VLOOKUP(H31,$B$3:$F$69,5,FALSE),"")</f>
        <v/>
      </c>
      <c r="J31" s="204"/>
      <c r="L31" s="56"/>
      <c r="M31" s="56"/>
      <c r="N31" s="56" t="s">
        <v>61</v>
      </c>
      <c r="O31" s="56" t="s">
        <v>5</v>
      </c>
      <c r="P31" s="125">
        <v>2</v>
      </c>
      <c r="Q31" s="126">
        <v>1.0928999999999999E-2</v>
      </c>
      <c r="R31" s="56"/>
    </row>
    <row r="32" spans="2:18" s="1" customFormat="1" x14ac:dyDescent="0.3">
      <c r="B32" s="40" t="s">
        <v>42</v>
      </c>
      <c r="C32" s="41" t="s">
        <v>43</v>
      </c>
      <c r="D32" s="42">
        <v>0.91800000000000004</v>
      </c>
      <c r="E32" s="24" t="str">
        <f>IF(IF(B32="MDZ140R","",IFERROR((SUMIF($B$3:$B$74,"MDZ140R",$F$3:$F$74)*INDEX($Q$20:$Q$84,MATCH(B32,$N$20:$N$84,0))),""))=0,"",IF(B32="MDZ140R","",IFERROR((SUMIF($B$3:$B$74,"MDZ140R",$F$3:$F$74)*INDEX($Q$20:$Q$84,MATCH(B32,$N$20:$N$84,0))),"")))</f>
        <v/>
      </c>
      <c r="F32" s="42">
        <f t="shared" si="0"/>
        <v>0.91800000000000004</v>
      </c>
      <c r="H32" s="192"/>
      <c r="I32" s="213" t="str">
        <f>IFERROR(VLOOKUP(H32,$B$3:$F$69,5,FALSE),"")</f>
        <v/>
      </c>
      <c r="J32" s="204"/>
      <c r="L32" s="56"/>
      <c r="M32" s="56"/>
      <c r="N32" s="56" t="s">
        <v>18</v>
      </c>
      <c r="O32" s="56" t="s">
        <v>110</v>
      </c>
      <c r="P32" s="125">
        <v>4</v>
      </c>
      <c r="Q32" s="126">
        <v>2.1857999999999999E-2</v>
      </c>
      <c r="R32" s="56"/>
    </row>
    <row r="33" spans="2:18" s="1" customFormat="1" x14ac:dyDescent="0.3">
      <c r="B33" s="40" t="s">
        <v>44</v>
      </c>
      <c r="C33" s="41" t="s">
        <v>146</v>
      </c>
      <c r="D33" s="42">
        <v>0.66400000000000003</v>
      </c>
      <c r="E33" s="24" t="str">
        <f>IF(IF(B33="MDZ140R","",IFERROR((SUMIF($B$3:$B$74,"MDZ140R",$F$3:$F$74)*INDEX($Q$20:$Q$84,MATCH(B33,$N$20:$N$84,0))),""))=0,"",IF(B33="MDZ140R","",IFERROR((SUMIF($B$3:$B$74,"MDZ140R",$F$3:$F$74)*INDEX($Q$20:$Q$84,MATCH(B33,$N$20:$N$84,0))),"")))</f>
        <v/>
      </c>
      <c r="F33" s="42">
        <f t="shared" si="0"/>
        <v>0.66400000000000003</v>
      </c>
      <c r="H33" s="205"/>
      <c r="I33" s="213" t="str">
        <f>IFERROR(VLOOKUP(H33,$B$3:$F$69,5,FALSE),"")</f>
        <v/>
      </c>
      <c r="J33" s="204"/>
      <c r="L33" s="56"/>
      <c r="M33" s="56"/>
      <c r="N33" s="56" t="s">
        <v>24</v>
      </c>
      <c r="O33" s="56" t="s">
        <v>111</v>
      </c>
      <c r="P33" s="125">
        <v>1</v>
      </c>
      <c r="Q33" s="126">
        <v>5.4640000000000001E-3</v>
      </c>
      <c r="R33" s="56"/>
    </row>
    <row r="34" spans="2:18" s="1" customFormat="1" x14ac:dyDescent="0.3">
      <c r="B34" s="40" t="s">
        <v>45</v>
      </c>
      <c r="C34" s="41" t="s">
        <v>183</v>
      </c>
      <c r="D34" s="42">
        <v>0.86070000000000002</v>
      </c>
      <c r="E34" s="24" t="str">
        <f>IF(IF(B34="MDZ140R","",IFERROR((SUMIF($B$3:$B$74,"MDZ140R",$F$3:$F$74)*INDEX($Q$20:$Q$84,MATCH(B34,$N$20:$N$84,0))),""))=0,"",IF(B34="MDZ140R","",IFERROR((SUMIF($B$3:$B$74,"MDZ140R",$F$3:$F$74)*INDEX($Q$20:$Q$84,MATCH(B34,$N$20:$N$84,0))),"")))</f>
        <v/>
      </c>
      <c r="F34" s="42">
        <f t="shared" si="0"/>
        <v>0.86070000000000002</v>
      </c>
      <c r="H34" s="192"/>
      <c r="I34" s="213" t="str">
        <f>IFERROR(VLOOKUP(H34,$B$3:$F$69,5,FALSE),"")</f>
        <v/>
      </c>
      <c r="J34" s="198"/>
      <c r="L34" s="56"/>
      <c r="M34" s="56"/>
      <c r="N34" s="56" t="s">
        <v>64</v>
      </c>
      <c r="O34" s="127">
        <v>4020</v>
      </c>
      <c r="P34" s="125">
        <v>3</v>
      </c>
      <c r="Q34" s="126">
        <v>1.6393000000000001E-2</v>
      </c>
      <c r="R34" s="56"/>
    </row>
    <row r="35" spans="2:18" s="1" customFormat="1" x14ac:dyDescent="0.3">
      <c r="B35" s="40" t="s">
        <v>46</v>
      </c>
      <c r="C35" s="41" t="s">
        <v>47</v>
      </c>
      <c r="D35" s="42">
        <v>0.38500000000000001</v>
      </c>
      <c r="E35" s="24" t="str">
        <f>IF(IF(B35="MDZ140R","",IFERROR((SUMIF($B$3:$B$74,"MDZ140R",$F$3:$F$74)*INDEX($Q$20:$Q$84,MATCH(B35,$N$20:$N$84,0))),""))=0,"",IF(B35="MDZ140R","",IFERROR((SUMIF($B$3:$B$74,"MDZ140R",$F$3:$F$74)*INDEX($Q$20:$Q$84,MATCH(B35,$N$20:$N$84,0))),"")))</f>
        <v/>
      </c>
      <c r="F35" s="42">
        <f t="shared" si="0"/>
        <v>0.38500000000000001</v>
      </c>
      <c r="H35" s="192"/>
      <c r="I35" s="213" t="str">
        <f>IFERROR(VLOOKUP(H35,$B$3:$F$69,5,FALSE),"")</f>
        <v/>
      </c>
      <c r="J35" s="198"/>
      <c r="L35" s="56"/>
      <c r="M35" s="56"/>
      <c r="N35" s="56" t="s">
        <v>34</v>
      </c>
      <c r="O35" s="56" t="s">
        <v>112</v>
      </c>
      <c r="P35" s="125">
        <v>2</v>
      </c>
      <c r="Q35" s="126">
        <v>1.0928999999999999E-2</v>
      </c>
      <c r="R35" s="56"/>
    </row>
    <row r="36" spans="2:18" s="1" customFormat="1" x14ac:dyDescent="0.3">
      <c r="B36" s="40" t="s">
        <v>48</v>
      </c>
      <c r="C36" s="41" t="s">
        <v>49</v>
      </c>
      <c r="D36" s="42">
        <v>0.38450000000000001</v>
      </c>
      <c r="E36" s="24" t="str">
        <f>IF(IF(B36="MDZ140R","",IFERROR((SUMIF($B$3:$B$74,"MDZ140R",$F$3:$F$74)*INDEX($Q$20:$Q$84,MATCH(B36,$N$20:$N$84,0))),""))=0,"",IF(B36="MDZ140R","",IFERROR((SUMIF($B$3:$B$74,"MDZ140R",$F$3:$F$74)*INDEX($Q$20:$Q$84,MATCH(B36,$N$20:$N$84,0))),"")))</f>
        <v/>
      </c>
      <c r="F36" s="42">
        <f t="shared" si="0"/>
        <v>0.38450000000000001</v>
      </c>
      <c r="H36" s="189"/>
      <c r="I36" s="213" t="str">
        <f>IFERROR(VLOOKUP(H36,$B$3:$F$69,5,FALSE),"")</f>
        <v/>
      </c>
      <c r="J36" s="198"/>
      <c r="L36" s="56"/>
      <c r="M36" s="56"/>
      <c r="N36" s="56" t="s">
        <v>63</v>
      </c>
      <c r="O36" s="56" t="s">
        <v>23</v>
      </c>
      <c r="P36" s="125">
        <v>1</v>
      </c>
      <c r="Q36" s="126">
        <v>5.4640000000000001E-3</v>
      </c>
      <c r="R36" s="56"/>
    </row>
    <row r="37" spans="2:18" s="1" customFormat="1" x14ac:dyDescent="0.3">
      <c r="B37" s="40" t="s">
        <v>50</v>
      </c>
      <c r="C37" s="41" t="s">
        <v>51</v>
      </c>
      <c r="D37" s="42">
        <v>0.1885</v>
      </c>
      <c r="E37" s="24" t="str">
        <f>IF(IF(B37="MDZ140R","",IFERROR((SUMIF($B$3:$B$74,"MDZ140R",$F$3:$F$74)*INDEX($Q$20:$Q$84,MATCH(B37,$N$20:$N$84,0))),""))=0,"",IF(B37="MDZ140R","",IFERROR((SUMIF($B$3:$B$74,"MDZ140R",$F$3:$F$74)*INDEX($Q$20:$Q$84,MATCH(B37,$N$20:$N$84,0))),"")))</f>
        <v/>
      </c>
      <c r="F37" s="42">
        <f t="shared" si="0"/>
        <v>0.1885</v>
      </c>
      <c r="H37" s="189" t="s">
        <v>72</v>
      </c>
      <c r="I37" s="213" t="str">
        <f>IFERROR(VLOOKUP(H37,$B$3:$F$69,5,FALSE),"")</f>
        <v/>
      </c>
      <c r="J37" s="191">
        <f>SUM(I37:I82)</f>
        <v>7.8799999999999995E-2</v>
      </c>
      <c r="L37" s="56"/>
      <c r="M37" s="56"/>
      <c r="N37" s="56" t="s">
        <v>7</v>
      </c>
      <c r="O37" s="56" t="s">
        <v>8</v>
      </c>
      <c r="P37" s="125">
        <v>1</v>
      </c>
      <c r="Q37" s="126">
        <v>5.4640000000000001E-3</v>
      </c>
      <c r="R37" s="56"/>
    </row>
    <row r="38" spans="2:18" s="144" customFormat="1" x14ac:dyDescent="0.3">
      <c r="B38" s="179"/>
      <c r="C38" s="180"/>
      <c r="D38" s="181"/>
      <c r="E38" s="182"/>
      <c r="F38" s="181"/>
      <c r="H38" s="183" t="s">
        <v>386</v>
      </c>
      <c r="I38" s="214">
        <v>7.8799999999999995E-2</v>
      </c>
      <c r="J38" s="184"/>
      <c r="L38" s="183"/>
      <c r="M38" s="183"/>
      <c r="N38" s="183"/>
      <c r="O38" s="183"/>
      <c r="P38" s="185"/>
      <c r="Q38" s="186"/>
      <c r="R38" s="183"/>
    </row>
    <row r="39" spans="2:18" s="144" customFormat="1" x14ac:dyDescent="0.3">
      <c r="B39" s="179"/>
      <c r="C39" s="180"/>
      <c r="D39" s="181"/>
      <c r="E39" s="182"/>
      <c r="F39" s="181"/>
      <c r="H39" s="183"/>
      <c r="I39" s="215"/>
      <c r="J39" s="184"/>
      <c r="L39" s="183"/>
      <c r="M39" s="183"/>
      <c r="N39" s="183"/>
      <c r="O39" s="183"/>
      <c r="P39" s="185"/>
      <c r="Q39" s="186"/>
      <c r="R39" s="183"/>
    </row>
    <row r="40" spans="2:18" s="1" customFormat="1" x14ac:dyDescent="0.3">
      <c r="B40" s="40" t="s">
        <v>52</v>
      </c>
      <c r="C40" s="41" t="s">
        <v>184</v>
      </c>
      <c r="D40" s="42">
        <v>0.63360000000000005</v>
      </c>
      <c r="E40" s="24" t="str">
        <f>IF(IF(B40="MDZ140R","",IFERROR((SUMIF($B$3:$B$74,"MDZ140R",$F$3:$F$74)*INDEX($Q$20:$Q$84,MATCH(B40,$N$20:$N$84,0))),""))=0,"",IF(B40="MDZ140R","",IFERROR((SUMIF($B$3:$B$74,"MDZ140R",$F$3:$F$74)*INDEX($Q$20:$Q$84,MATCH(B40,$N$20:$N$84,0))),"")))</f>
        <v/>
      </c>
      <c r="F40" s="42">
        <f t="shared" si="0"/>
        <v>0.63360000000000005</v>
      </c>
      <c r="H40" s="183"/>
      <c r="I40" s="213"/>
      <c r="J40" s="184"/>
      <c r="L40" s="56"/>
      <c r="M40" s="56"/>
      <c r="N40" s="56" t="s">
        <v>27</v>
      </c>
      <c r="O40" s="56" t="s">
        <v>113</v>
      </c>
      <c r="P40" s="125">
        <v>1</v>
      </c>
      <c r="Q40" s="126">
        <v>5.4640000000000001E-3</v>
      </c>
      <c r="R40" s="56"/>
    </row>
    <row r="41" spans="2:18" s="144" customFormat="1" x14ac:dyDescent="0.3">
      <c r="B41" s="179"/>
      <c r="C41" s="180"/>
      <c r="D41" s="181"/>
      <c r="E41" s="182"/>
      <c r="F41" s="181"/>
      <c r="H41" s="183"/>
      <c r="I41" s="213"/>
      <c r="J41" s="184"/>
      <c r="L41" s="183"/>
      <c r="M41" s="183"/>
      <c r="N41" s="183"/>
      <c r="O41" s="183"/>
      <c r="P41" s="185"/>
      <c r="Q41" s="186"/>
      <c r="R41" s="183"/>
    </row>
    <row r="42" spans="2:18" s="144" customFormat="1" x14ac:dyDescent="0.3">
      <c r="B42" s="179"/>
      <c r="C42" s="180"/>
      <c r="D42" s="181"/>
      <c r="E42" s="182"/>
      <c r="F42" s="181"/>
      <c r="H42" s="189"/>
      <c r="I42" s="213"/>
      <c r="J42" s="191"/>
      <c r="L42" s="183"/>
      <c r="M42" s="183"/>
      <c r="N42" s="183"/>
      <c r="O42" s="183"/>
      <c r="P42" s="185"/>
      <c r="Q42" s="186"/>
      <c r="R42" s="183"/>
    </row>
    <row r="43" spans="2:18" s="144" customFormat="1" x14ac:dyDescent="0.3">
      <c r="B43" s="179"/>
      <c r="C43" s="180"/>
      <c r="D43" s="181"/>
      <c r="E43" s="182"/>
      <c r="F43" s="181"/>
      <c r="H43" s="192"/>
      <c r="I43" s="213" t="str">
        <f>IFERROR(VLOOKUP(H43,$B$3:$F$69,5,FALSE),"")</f>
        <v/>
      </c>
      <c r="J43" s="206"/>
      <c r="L43" s="183"/>
      <c r="M43" s="183"/>
      <c r="N43" s="183"/>
      <c r="O43" s="183"/>
      <c r="P43" s="185"/>
      <c r="Q43" s="186"/>
      <c r="R43" s="183"/>
    </row>
    <row r="44" spans="2:18" s="144" customFormat="1" x14ac:dyDescent="0.3">
      <c r="B44" s="179"/>
      <c r="C44" s="180"/>
      <c r="D44" s="181"/>
      <c r="E44" s="182"/>
      <c r="F44" s="181"/>
      <c r="H44" s="192"/>
      <c r="I44" s="213" t="str">
        <f>IFERROR(VLOOKUP(H44,$B$3:$F$69,5,FALSE),"")</f>
        <v/>
      </c>
      <c r="J44" s="206"/>
      <c r="L44" s="183"/>
      <c r="M44" s="183"/>
      <c r="N44" s="183"/>
      <c r="O44" s="183"/>
      <c r="P44" s="185"/>
      <c r="Q44" s="186"/>
      <c r="R44" s="183"/>
    </row>
    <row r="45" spans="2:18" s="144" customFormat="1" x14ac:dyDescent="0.3">
      <c r="B45" s="179"/>
      <c r="C45" s="180"/>
      <c r="D45" s="181"/>
      <c r="E45" s="182"/>
      <c r="F45" s="181"/>
      <c r="H45" s="192"/>
      <c r="I45" s="213" t="str">
        <f>IFERROR(VLOOKUP(H45,$B$3:$F$69,5,FALSE),"")</f>
        <v/>
      </c>
      <c r="J45" s="206"/>
      <c r="L45" s="183"/>
      <c r="M45" s="183"/>
      <c r="N45" s="183"/>
      <c r="O45" s="183"/>
      <c r="P45" s="185"/>
      <c r="Q45" s="186"/>
      <c r="R45" s="183"/>
    </row>
    <row r="46" spans="2:18" s="144" customFormat="1" x14ac:dyDescent="0.3">
      <c r="B46" s="179"/>
      <c r="C46" s="180"/>
      <c r="D46" s="181"/>
      <c r="E46" s="182"/>
      <c r="F46" s="181"/>
      <c r="H46" s="192"/>
      <c r="I46" s="213" t="str">
        <f>IFERROR(VLOOKUP(H46,$B$3:$F$69,5,FALSE),"")</f>
        <v/>
      </c>
      <c r="J46" s="206"/>
      <c r="L46" s="183"/>
      <c r="M46" s="183"/>
      <c r="N46" s="183"/>
      <c r="O46" s="183"/>
      <c r="P46" s="185"/>
      <c r="Q46" s="186"/>
      <c r="R46" s="183"/>
    </row>
    <row r="47" spans="2:18" s="144" customFormat="1" x14ac:dyDescent="0.3">
      <c r="B47" s="179"/>
      <c r="C47" s="180"/>
      <c r="D47" s="181"/>
      <c r="E47" s="182"/>
      <c r="F47" s="181"/>
      <c r="H47" s="192"/>
      <c r="I47" s="213" t="str">
        <f>IFERROR(VLOOKUP(H47,$B$3:$F$69,5,FALSE),"")</f>
        <v/>
      </c>
      <c r="J47" s="206"/>
      <c r="L47" s="183"/>
      <c r="M47" s="183"/>
      <c r="N47" s="183"/>
      <c r="O47" s="183"/>
      <c r="P47" s="185"/>
      <c r="Q47" s="186"/>
      <c r="R47" s="183"/>
    </row>
    <row r="48" spans="2:18" s="144" customFormat="1" x14ac:dyDescent="0.3">
      <c r="B48" s="179"/>
      <c r="C48" s="180"/>
      <c r="D48" s="181"/>
      <c r="E48" s="182"/>
      <c r="F48" s="181"/>
      <c r="H48" s="192"/>
      <c r="I48" s="213" t="str">
        <f>IFERROR(VLOOKUP(H48,$B$3:$F$69,5,FALSE),"")</f>
        <v/>
      </c>
      <c r="J48" s="206"/>
      <c r="L48" s="183"/>
      <c r="M48" s="183"/>
      <c r="N48" s="183"/>
      <c r="O48" s="183"/>
      <c r="P48" s="185"/>
      <c r="Q48" s="186"/>
      <c r="R48" s="183"/>
    </row>
    <row r="49" spans="2:18" s="144" customFormat="1" x14ac:dyDescent="0.3">
      <c r="B49" s="40" t="s">
        <v>55</v>
      </c>
      <c r="C49" s="41" t="s">
        <v>56</v>
      </c>
      <c r="D49" s="42">
        <v>0.69550000000000001</v>
      </c>
      <c r="E49" s="24" t="str">
        <f>IF(IF(B49="MDZ140R","",IFERROR((SUMIF($B$3:$B$74,"MDZ140R",$F$3:$F$74)*INDEX($Q$20:$Q$84,MATCH(B49,$N$20:$N$84,0))),""))=0,"",IF(B49="MDZ140R","",IFERROR((SUMIF($B$3:$B$74,"MDZ140R",$F$3:$F$74)*INDEX($Q$20:$Q$84,MATCH(B49,$N$20:$N$84,0))),"")))</f>
        <v/>
      </c>
      <c r="F49" s="42">
        <f t="shared" ref="F49:F71" si="2">IF(D49="","",D49+ IF(E49="",0,E49))</f>
        <v>0.69550000000000001</v>
      </c>
      <c r="H49" s="192"/>
      <c r="I49" s="213" t="str">
        <f>IFERROR(VLOOKUP(H49,$B$3:$F$69,5,FALSE),"")</f>
        <v/>
      </c>
      <c r="J49" s="206"/>
      <c r="L49" s="145"/>
      <c r="M49" s="145"/>
      <c r="N49" s="145"/>
      <c r="O49" s="145"/>
      <c r="P49" s="147"/>
      <c r="Q49" s="148"/>
      <c r="R49" s="145"/>
    </row>
    <row r="50" spans="2:18" s="1" customFormat="1" x14ac:dyDescent="0.3">
      <c r="B50" s="89" t="s">
        <v>114</v>
      </c>
      <c r="C50" s="89" t="s">
        <v>115</v>
      </c>
      <c r="D50" s="42">
        <v>0.21929999999999999</v>
      </c>
      <c r="E50" s="24" t="str">
        <f>IF(IF(B50="MDZ140R","",IFERROR((SUMIF($B$3:$B$74,"MDZ140R",$F$3:$F$74)*INDEX($Q$20:$Q$84,MATCH(B50,$N$20:$N$84,0))),""))=0,"",IF(B50="MDZ140R","",IFERROR((SUMIF($B$3:$B$74,"MDZ140R",$F$3:$F$74)*INDEX($Q$20:$Q$84,MATCH(B50,$N$20:$N$84,0))),"")))</f>
        <v/>
      </c>
      <c r="F50" s="42">
        <f t="shared" si="2"/>
        <v>0.21929999999999999</v>
      </c>
      <c r="H50" s="192"/>
      <c r="I50" s="213" t="str">
        <f>IFERROR(VLOOKUP(H50,$B$3:$F$69,5,FALSE),"")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89" t="s">
        <v>116</v>
      </c>
      <c r="C51" s="89" t="s">
        <v>117</v>
      </c>
      <c r="D51" s="42">
        <v>0.1774</v>
      </c>
      <c r="E51" s="24" t="str">
        <f>IF(IF(B51="MDZ140R","",IFERROR((SUMIF($B$3:$B$74,"MDZ140R",$F$3:$F$74)*INDEX($Q$20:$Q$84,MATCH(B51,$N$20:$N$84,0))),""))=0,"",IF(B51="MDZ140R","",IFERROR((SUMIF($B$3:$B$74,"MDZ140R",$F$3:$F$74)*INDEX($Q$20:$Q$84,MATCH(B51,$N$20:$N$84,0))),"")))</f>
        <v/>
      </c>
      <c r="F51" s="42">
        <f t="shared" si="2"/>
        <v>0.1774</v>
      </c>
      <c r="H51" s="192"/>
      <c r="I51" s="213" t="str">
        <f>IFERROR(VLOOKUP(H51,$B$3:$F$69,5,FALSE),"")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 t="s">
        <v>87</v>
      </c>
      <c r="C52" s="89" t="s">
        <v>118</v>
      </c>
      <c r="D52" s="42">
        <v>0.7419</v>
      </c>
      <c r="E52" s="24" t="str">
        <f>IF(IF(B52="MDZ140R","",IFERROR((SUMIF($B$3:$B$74,"MDZ140R",$F$3:$F$74)*INDEX($Q$20:$Q$84,MATCH(B52,$N$20:$N$84,0))),""))=0,"",IF(B52="MDZ140R","",IFERROR((SUMIF($B$3:$B$74,"MDZ140R",$F$3:$F$74)*INDEX($Q$20:$Q$84,MATCH(B52,$N$20:$N$84,0))),"")))</f>
        <v/>
      </c>
      <c r="F52" s="42">
        <f t="shared" si="2"/>
        <v>0.7419</v>
      </c>
      <c r="H52" s="192"/>
      <c r="I52" s="213" t="str">
        <f>IFERROR(VLOOKUP(H52,$B$3:$F$69,5,FALSE),"")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 t="s">
        <v>119</v>
      </c>
      <c r="C53" s="89" t="s">
        <v>120</v>
      </c>
      <c r="D53" s="42">
        <v>0.88980000000000004</v>
      </c>
      <c r="E53" s="24" t="str">
        <f>IF(IF(B53="MDZ140R","",IFERROR((SUMIF($B$3:$B$74,"MDZ140R",$F$3:$F$74)*INDEX($Q$20:$Q$84,MATCH(B53,$N$20:$N$84,0))),""))=0,"",IF(B53="MDZ140R","",IFERROR((SUMIF($B$3:$B$74,"MDZ140R",$F$3:$F$74)*INDEX($Q$20:$Q$84,MATCH(B53,$N$20:$N$84,0))),"")))</f>
        <v/>
      </c>
      <c r="F53" s="42">
        <f t="shared" si="2"/>
        <v>0.88980000000000004</v>
      </c>
      <c r="H53" s="192"/>
      <c r="I53" s="213" t="str">
        <f>IFERROR(VLOOKUP(H53,$B$3:$F$69,5,FALSE),"")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 t="s">
        <v>121</v>
      </c>
      <c r="C54" s="89" t="s">
        <v>122</v>
      </c>
      <c r="D54" s="42">
        <v>0.3236</v>
      </c>
      <c r="E54" s="24" t="str">
        <f>IF(IF(B54="MDZ140R","",IFERROR((SUMIF($B$3:$B$74,"MDZ140R",$F$3:$F$74)*INDEX($Q$20:$Q$84,MATCH(B54,$N$20:$N$84,0))),""))=0,"",IF(B54="MDZ140R","",IFERROR((SUMIF($B$3:$B$74,"MDZ140R",$F$3:$F$74)*INDEX($Q$20:$Q$84,MATCH(B54,$N$20:$N$84,0))),"")))</f>
        <v/>
      </c>
      <c r="F54" s="42">
        <f t="shared" si="2"/>
        <v>0.3236</v>
      </c>
      <c r="H54" s="192"/>
      <c r="I54" s="213" t="str">
        <f>IFERROR(VLOOKUP(H54,$B$3:$F$69,5,FALSE),"")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89" t="s">
        <v>123</v>
      </c>
      <c r="C55" s="89" t="s">
        <v>124</v>
      </c>
      <c r="D55" s="42">
        <v>0.86729999999999996</v>
      </c>
      <c r="E55" s="24" t="str">
        <f>IF(IF(B55="MDZ140R","",IFERROR((SUMIF($B$3:$B$74,"MDZ140R",$F$3:$F$74)*INDEX($Q$20:$Q$84,MATCH(B55,$N$20:$N$84,0))),""))=0,"",IF(B55="MDZ140R","",IFERROR((SUMIF($B$3:$B$74,"MDZ140R",$F$3:$F$74)*INDEX($Q$20:$Q$84,MATCH(B55,$N$20:$N$84,0))),"")))</f>
        <v/>
      </c>
      <c r="F55" s="42">
        <f t="shared" si="2"/>
        <v>0.86729999999999996</v>
      </c>
      <c r="H55" s="192"/>
      <c r="I55" s="213" t="str">
        <f>IFERROR(VLOOKUP(H55,$B$3:$F$69,5,FALSE),"")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89" t="s">
        <v>125</v>
      </c>
      <c r="C56" s="89" t="s">
        <v>126</v>
      </c>
      <c r="D56" s="42">
        <v>0.98209999999999997</v>
      </c>
      <c r="E56" s="24" t="str">
        <f>IF(IF(B56="MDZ140R","",IFERROR((SUMIF($B$3:$B$74,"MDZ140R",$F$3:$F$74)*INDEX($Q$20:$Q$84,MATCH(B56,$N$20:$N$84,0))),""))=0,"",IF(B56="MDZ140R","",IFERROR((SUMIF($B$3:$B$74,"MDZ140R",$F$3:$F$74)*INDEX($Q$20:$Q$84,MATCH(B56,$N$20:$N$84,0))),"")))</f>
        <v/>
      </c>
      <c r="F56" s="42">
        <f t="shared" si="2"/>
        <v>0.98209999999999997</v>
      </c>
      <c r="H56" s="192"/>
      <c r="I56" s="213" t="str">
        <f>IFERROR(VLOOKUP(H56,$B$3:$F$69,5,FALSE),"")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89" t="s">
        <v>94</v>
      </c>
      <c r="C57" s="89" t="s">
        <v>127</v>
      </c>
      <c r="D57" s="42">
        <v>0.92269999999999996</v>
      </c>
      <c r="E57" s="24" t="str">
        <f>IF(IF(B57="MDZ140R","",IFERROR((SUMIF($B$3:$B$74,"MDZ140R",$F$3:$F$74)*INDEX($Q$20:$Q$84,MATCH(B57,$N$20:$N$84,0))),""))=0,"",IF(B57="MDZ140R","",IFERROR((SUMIF($B$3:$B$74,"MDZ140R",$F$3:$F$74)*INDEX($Q$20:$Q$84,MATCH(B57,$N$20:$N$84,0))),"")))</f>
        <v/>
      </c>
      <c r="F57" s="42">
        <f t="shared" si="2"/>
        <v>0.92269999999999996</v>
      </c>
      <c r="H57" s="192"/>
      <c r="I57" s="213" t="str">
        <f>IFERROR(VLOOKUP(H57,$B$3:$F$69,5,FALSE),"")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 t="s">
        <v>95</v>
      </c>
      <c r="C58" s="89" t="s">
        <v>128</v>
      </c>
      <c r="D58" s="42">
        <v>0.99280000000000002</v>
      </c>
      <c r="E58" s="24" t="str">
        <f>IF(IF(B58="MDZ140R","",IFERROR((SUMIF($B$3:$B$74,"MDZ140R",$F$3:$F$74)*INDEX($Q$20:$Q$84,MATCH(B58,$N$20:$N$84,0))),""))=0,"",IF(B58="MDZ140R","",IFERROR((SUMIF($B$3:$B$74,"MDZ140R",$F$3:$F$74)*INDEX($Q$20:$Q$84,MATCH(B58,$N$20:$N$84,0))),"")))</f>
        <v/>
      </c>
      <c r="F58" s="42">
        <f t="shared" si="2"/>
        <v>0.99280000000000002</v>
      </c>
      <c r="H58" s="192"/>
      <c r="I58" s="213" t="str">
        <f>IFERROR(VLOOKUP(H58,$B$3:$F$69,5,FALSE),"")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 t="s">
        <v>129</v>
      </c>
      <c r="C59" s="89" t="s">
        <v>130</v>
      </c>
      <c r="D59" s="42">
        <v>0.35570000000000002</v>
      </c>
      <c r="E59" s="24" t="str">
        <f>IF(IF(B59="MDZ140R","",IFERROR((SUMIF($B$3:$B$74,"MDZ140R",$F$3:$F$74)*INDEX($Q$20:$Q$84,MATCH(B59,$N$20:$N$84,0))),""))=0,"",IF(B59="MDZ140R","",IFERROR((SUMIF($B$3:$B$74,"MDZ140R",$F$3:$F$74)*INDEX($Q$20:$Q$84,MATCH(B59,$N$20:$N$84,0))),"")))</f>
        <v/>
      </c>
      <c r="F59" s="42">
        <f t="shared" si="2"/>
        <v>0.35570000000000002</v>
      </c>
      <c r="H59" s="192"/>
      <c r="I59" s="213" t="str">
        <f>IFERROR(VLOOKUP(H59,$B$3:$F$69,5,FALSE),"")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 t="s">
        <v>131</v>
      </c>
      <c r="C60" s="89" t="s">
        <v>132</v>
      </c>
      <c r="D60" s="42">
        <v>0.21060000000000001</v>
      </c>
      <c r="E60" s="24" t="str">
        <f>IF(IF(B60="MDZ140R","",IFERROR((SUMIF($B$3:$B$74,"MDZ140R",$F$3:$F$74)*INDEX($Q$20:$Q$84,MATCH(B60,$N$20:$N$84,0))),""))=0,"",IF(B60="MDZ140R","",IFERROR((SUMIF($B$3:$B$74,"MDZ140R",$F$3:$F$74)*INDEX($Q$20:$Q$84,MATCH(B60,$N$20:$N$84,0))),"")))</f>
        <v/>
      </c>
      <c r="F60" s="42">
        <f t="shared" si="2"/>
        <v>0.21060000000000001</v>
      </c>
      <c r="H60" s="192"/>
      <c r="I60" s="213" t="str">
        <f>IFERROR(VLOOKUP(H60,$B$3:$F$69,5,FALSE),"")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 t="s">
        <v>133</v>
      </c>
      <c r="C61" s="89" t="s">
        <v>134</v>
      </c>
      <c r="D61" s="42">
        <v>0.90110000000000001</v>
      </c>
      <c r="E61" s="24" t="str">
        <f>IF(IF(B61="MDZ140R","",IFERROR((SUMIF($B$3:$B$74,"MDZ140R",$F$3:$F$74)*INDEX($Q$20:$Q$84,MATCH(B61,$N$20:$N$84,0))),""))=0,"",IF(B61="MDZ140R","",IFERROR((SUMIF($B$3:$B$74,"MDZ140R",$F$3:$F$74)*INDEX($Q$20:$Q$84,MATCH(B61,$N$20:$N$84,0))),"")))</f>
        <v/>
      </c>
      <c r="F61" s="42">
        <f t="shared" si="2"/>
        <v>0.90110000000000001</v>
      </c>
      <c r="H61" s="192"/>
      <c r="I61" s="213" t="str">
        <f>IFERROR(VLOOKUP(H61,$B$3:$F$69,5,FALSE),"")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 t="s">
        <v>135</v>
      </c>
      <c r="C62" s="89" t="s">
        <v>136</v>
      </c>
      <c r="D62" s="42">
        <v>0.1197</v>
      </c>
      <c r="E62" s="24" t="str">
        <f>IF(IF(B62="MDZ140R","",IFERROR((SUMIF($B$3:$B$74,"MDZ140R",$F$3:$F$74)*INDEX($Q$20:$Q$84,MATCH(B62,$N$20:$N$84,0))),""))=0,"",IF(B62="MDZ140R","",IFERROR((SUMIF($B$3:$B$74,"MDZ140R",$F$3:$F$74)*INDEX($Q$20:$Q$84,MATCH(B62,$N$20:$N$84,0))),"")))</f>
        <v/>
      </c>
      <c r="F62" s="42">
        <f t="shared" si="2"/>
        <v>0.1197</v>
      </c>
      <c r="H62" s="192"/>
      <c r="I62" s="213" t="str">
        <f>IFERROR(VLOOKUP(H62,$B$3:$F$69,5,FALSE),"")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 t="s">
        <v>137</v>
      </c>
      <c r="C63" s="89" t="s">
        <v>138</v>
      </c>
      <c r="D63" s="42">
        <v>0.10829999999999999</v>
      </c>
      <c r="E63" s="24" t="str">
        <f>IF(IF(B63="MDZ140R","",IFERROR((SUMIF($B$3:$B$74,"MDZ140R",$F$3:$F$74)*INDEX($Q$20:$Q$84,MATCH(B63,$N$20:$N$84,0))),""))=0,"",IF(B63="MDZ140R","",IFERROR((SUMIF($B$3:$B$74,"MDZ140R",$F$3:$F$74)*INDEX($Q$20:$Q$84,MATCH(B63,$N$20:$N$84,0))),"")))</f>
        <v/>
      </c>
      <c r="F63" s="42">
        <f t="shared" si="2"/>
        <v>0.10829999999999999</v>
      </c>
      <c r="H63" s="192"/>
      <c r="I63" s="213" t="str">
        <f>IFERROR(VLOOKUP(H63,$B$3:$F$69,5,FALSE),"")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89" t="s">
        <v>139</v>
      </c>
      <c r="C64" s="89" t="s">
        <v>140</v>
      </c>
      <c r="D64" s="42">
        <v>0.72389999999999999</v>
      </c>
      <c r="E64" s="24" t="str">
        <f>IF(IF(B64="MDZ140R","",IFERROR((SUMIF($B$3:$B$74,"MDZ140R",$F$3:$F$74)*INDEX($Q$20:$Q$84,MATCH(B64,$N$20:$N$84,0))),""))=0,"",IF(B64="MDZ140R","",IFERROR((SUMIF($B$3:$B$74,"MDZ140R",$F$3:$F$74)*INDEX($Q$20:$Q$84,MATCH(B64,$N$20:$N$84,0))),"")))</f>
        <v/>
      </c>
      <c r="F64" s="42">
        <f t="shared" si="2"/>
        <v>0.72389999999999999</v>
      </c>
      <c r="H64" s="192"/>
      <c r="I64" s="213" t="str">
        <f>IFERROR(VLOOKUP(H64,$B$3:$F$69,5,FALSE),"")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89" t="s">
        <v>141</v>
      </c>
      <c r="C65" s="89" t="s">
        <v>142</v>
      </c>
      <c r="D65" s="42">
        <v>1.14E-2</v>
      </c>
      <c r="E65" s="24" t="str">
        <f>IF(IF(B65="MDZ140R","",IFERROR((SUMIF($B$3:$B$74,"MDZ140R",$F$3:$F$74)*INDEX($Q$20:$Q$84,MATCH(B65,$N$20:$N$84,0))),""))=0,"",IF(B65="MDZ140R","",IFERROR((SUMIF($B$3:$B$74,"MDZ140R",$F$3:$F$74)*INDEX($Q$20:$Q$84,MATCH(B65,$N$20:$N$84,0))),"")))</f>
        <v/>
      </c>
      <c r="F65" s="42">
        <f t="shared" si="2"/>
        <v>1.14E-2</v>
      </c>
      <c r="H65" s="192"/>
      <c r="I65" s="213" t="str">
        <f>IFERROR(VLOOKUP(H65,$B$3:$F$69,5,FALSE),"")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89"/>
      <c r="C66" s="89"/>
      <c r="D66" s="42"/>
      <c r="E66" s="24" t="str">
        <f>IF(IF(B66="MDZ140R","",IFERROR((SUMIF($B$3:$B$74,"MDZ140R",$F$3:$F$74)*INDEX($Q$20:$Q$84,MATCH(B66,$N$20:$N$84,0))),""))=0,"",IF(B66="MDZ140R","",IFERROR((SUMIF($B$3:$B$74,"MDZ140R",$F$3:$F$74)*INDEX($Q$20:$Q$84,MATCH(B66,$N$20:$N$84,0))),"")))</f>
        <v/>
      </c>
      <c r="F66" s="42" t="str">
        <f t="shared" si="2"/>
        <v/>
      </c>
      <c r="H66" s="192"/>
      <c r="I66" s="213" t="str">
        <f>IFERROR(VLOOKUP(H66,$B$3:$F$69,5,FALSE),"")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89"/>
      <c r="C67" s="89"/>
      <c r="D67" s="42"/>
      <c r="E67" s="24" t="str">
        <f>IF(IF(B67="MDZ140R","",IFERROR((SUMIF($B$3:$B$74,"MDZ140R",$F$3:$F$74)*INDEX($Q$20:$Q$84,MATCH(B67,$N$20:$N$84,0))),""))=0,"",IF(B67="MDZ140R","",IFERROR((SUMIF($B$3:$B$74,"MDZ140R",$F$3:$F$74)*INDEX($Q$20:$Q$84,MATCH(B67,$N$20:$N$84,0))),"")))</f>
        <v/>
      </c>
      <c r="F67" s="42" t="str">
        <f t="shared" si="2"/>
        <v/>
      </c>
      <c r="H67" s="192"/>
      <c r="I67" s="213" t="str">
        <f>IFERROR(VLOOKUP(H67,$B$3:$F$69,5,FALSE),"")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89"/>
      <c r="C68" s="89"/>
      <c r="D68" s="42"/>
      <c r="E68" s="24" t="str">
        <f>IF(IF(B68="MDZ140R","",IFERROR((SUMIF($B$3:$B$74,"MDZ140R",$F$3:$F$74)*INDEX($Q$20:$Q$84,MATCH(B68,$N$20:$N$84,0))),""))=0,"",IF(B68="MDZ140R","",IFERROR((SUMIF($B$3:$B$74,"MDZ140R",$F$3:$F$74)*INDEX($Q$20:$Q$84,MATCH(B68,$N$20:$N$84,0))),"")))</f>
        <v/>
      </c>
      <c r="F68" s="42" t="str">
        <f t="shared" si="2"/>
        <v/>
      </c>
      <c r="H68" s="192"/>
      <c r="I68" s="213" t="str">
        <f>IFERROR(VLOOKUP(H68,$B$3:$F$69,5,FALSE),"")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89"/>
      <c r="C69" s="89"/>
      <c r="D69" s="42"/>
      <c r="E69" s="24" t="str">
        <f>IF(IF(B69="MDZ140R","",IFERROR((SUMIF($B$3:$B$74,"MDZ140R",$F$3:$F$74)*INDEX($Q$20:$Q$84,MATCH(B69,$N$20:$N$84,0))),""))=0,"",IF(B69="MDZ140R","",IFERROR((SUMIF($B$3:$B$74,"MDZ140R",$F$3:$F$74)*INDEX($Q$20:$Q$84,MATCH(B69,$N$20:$N$84,0))),"")))</f>
        <v/>
      </c>
      <c r="F69" s="42" t="str">
        <f t="shared" si="2"/>
        <v/>
      </c>
      <c r="H69" s="192"/>
      <c r="I69" s="213" t="str">
        <f>IFERROR(VLOOKUP(H69,$B$3:$F$69,5,FALSE),"")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89"/>
      <c r="C70" s="89"/>
      <c r="D70" s="42"/>
      <c r="E70" s="24" t="str">
        <f>IF(IF(B70="MDZ140R","",IFERROR((SUMIF($B$3:$B$74,"MDZ140R",$F$3:$F$74)*INDEX($Q$20:$Q$84,MATCH(B70,$N$20:$N$84,0))),""))=0,"",IF(B70="MDZ140R","",IFERROR((SUMIF($B$3:$B$74,"MDZ140R",$F$3:$F$74)*INDEX($Q$20:$Q$84,MATCH(B70,$N$20:$N$84,0))),"")))</f>
        <v/>
      </c>
      <c r="F70" s="42" t="str">
        <f t="shared" si="2"/>
        <v/>
      </c>
      <c r="H70" s="192"/>
      <c r="I70" s="213" t="str">
        <f>IFERROR(VLOOKUP(H70,$B$3:$F$69,5,FALSE),"")</f>
        <v/>
      </c>
      <c r="J70" s="206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89"/>
      <c r="C71" s="89"/>
      <c r="D71" s="42"/>
      <c r="E71" s="24" t="str">
        <f>IF(IF(B71="MDZ140R","",IFERROR((SUMIF($B$3:$B$74,"MDZ140R",$F$3:$F$74)*INDEX($Q$20:$Q$84,MATCH(B71,$N$20:$N$84,0))),""))=0,"",IF(B71="MDZ140R","",IFERROR((SUMIF($B$3:$B$74,"MDZ140R",$F$3:$F$74)*INDEX($Q$20:$Q$84,MATCH(B71,$N$20:$N$84,0))),"")))</f>
        <v/>
      </c>
      <c r="F71" s="42" t="str">
        <f t="shared" si="2"/>
        <v/>
      </c>
      <c r="H71" s="192"/>
      <c r="I71" s="213" t="str">
        <f>IFERROR(VLOOKUP(H71,$B$3:$F$69,5,FALSE),"")</f>
        <v/>
      </c>
      <c r="J71" s="206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89"/>
      <c r="C72" s="89"/>
      <c r="D72" s="42"/>
      <c r="E72" s="24"/>
      <c r="F72" s="42"/>
      <c r="H72" s="192"/>
      <c r="I72" s="213" t="str">
        <f>IFERROR(VLOOKUP(H72,$B$3:$F$69,5,FALSE),"")</f>
        <v/>
      </c>
      <c r="J72" s="206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89"/>
      <c r="C73" s="89"/>
      <c r="D73" s="42"/>
      <c r="E73" s="24" t="str">
        <f>IF(IF(B73="MDZ140R","",IFERROR((SUMIF($B$3:$B$74,"MDZ140R",$F$3:$F$74)*INDEX($Q$20:$Q$84,MATCH(B73,$N$20:$N$84,0))),""))=0,"",IF(B73="MDZ140R","",IFERROR((SUMIF($B$3:$B$74,"MDZ140R",$F$3:$F$74)*INDEX($Q$20:$Q$84,MATCH(B73,$N$20:$N$84,0))),"")))</f>
        <v/>
      </c>
      <c r="F73" s="42" t="str">
        <f>IF(D73="","",D73+ IF(E73="",0,E73))</f>
        <v/>
      </c>
      <c r="H73" s="192"/>
      <c r="I73" s="213" t="str">
        <f>IFERROR(VLOOKUP(H73,$B$3:$F$69,5,FALSE),"")</f>
        <v/>
      </c>
      <c r="J73" s="206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89" t="s">
        <v>143</v>
      </c>
      <c r="C74" s="89" t="s">
        <v>144</v>
      </c>
      <c r="D74" s="42">
        <v>0.16930000000000001</v>
      </c>
      <c r="E74" s="134"/>
      <c r="F74" s="42">
        <f>D74+E74</f>
        <v>0.16930000000000001</v>
      </c>
      <c r="H74" s="192"/>
      <c r="I74" s="213" t="str">
        <f>IFERROR(VLOOKUP(H74,$B$3:$F$69,5,FALSE),"")</f>
        <v/>
      </c>
      <c r="J74" s="206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B75" s="127"/>
      <c r="C75" s="60" t="s">
        <v>145</v>
      </c>
      <c r="D75" s="133">
        <f>SUM(D3:D74)</f>
        <v>24.175699999999992</v>
      </c>
      <c r="E75" s="134"/>
      <c r="F75" s="135">
        <f>D75+E75</f>
        <v>24.175699999999992</v>
      </c>
      <c r="H75" s="192"/>
      <c r="I75" s="213" t="str">
        <f>IFERROR(VLOOKUP(H75,$B$3:$F$69,5,FALSE),"")</f>
        <v/>
      </c>
      <c r="J75" s="206"/>
      <c r="L75" s="56"/>
      <c r="M75" s="56"/>
      <c r="N75" s="56"/>
      <c r="O75" s="56"/>
      <c r="P75" s="125"/>
      <c r="Q75" s="126"/>
      <c r="R75" s="56"/>
    </row>
    <row r="76" spans="2:18" s="1" customFormat="1" x14ac:dyDescent="0.3">
      <c r="B76" s="136"/>
      <c r="C76" s="136"/>
      <c r="D76" s="133">
        <v>0</v>
      </c>
      <c r="E76" s="134"/>
      <c r="F76" s="135">
        <f>D76+E76</f>
        <v>0</v>
      </c>
      <c r="H76" s="192"/>
      <c r="I76" s="213" t="str">
        <f>IFERROR(VLOOKUP(H76,$B$3:$F$69,5,FALSE),"")</f>
        <v/>
      </c>
      <c r="J76" s="191"/>
      <c r="L76" s="56"/>
      <c r="M76" s="56"/>
      <c r="N76" s="56"/>
      <c r="O76" s="56"/>
      <c r="P76" s="125"/>
      <c r="Q76" s="126"/>
      <c r="R76" s="56"/>
    </row>
    <row r="77" spans="2:18" s="1" customFormat="1" x14ac:dyDescent="0.3">
      <c r="B77" s="136"/>
      <c r="C77" s="136"/>
      <c r="D77" s="133">
        <v>0</v>
      </c>
      <c r="E77" s="134"/>
      <c r="F77" s="135">
        <f>D77+E77</f>
        <v>0</v>
      </c>
      <c r="H77" s="192"/>
      <c r="I77" s="213" t="str">
        <f>IFERROR(VLOOKUP(H77,$B$3:$F$69,5,FALSE),"")</f>
        <v/>
      </c>
      <c r="J77" s="191"/>
      <c r="L77" s="56"/>
      <c r="M77" s="56"/>
      <c r="N77" s="56"/>
      <c r="O77" s="56"/>
      <c r="P77" s="125"/>
      <c r="Q77" s="126"/>
      <c r="R77" s="56"/>
    </row>
    <row r="78" spans="2:18" s="1" customFormat="1" x14ac:dyDescent="0.3">
      <c r="B78" s="40"/>
      <c r="C78" s="41"/>
      <c r="D78" s="42"/>
      <c r="E78" s="24" t="str">
        <f>IF(IF(B78="MDZ140R","",IFERROR((SUMIF($B$3:$B$74,"MDZ140R",$F$3:$F$74)*INDEX($Q$20:$Q$84,MATCH(B78,$N$20:$N$84,0))),""))=0,"",IF(B78="MDZ140R","",IFERROR((SUMIF($B$3:$B$74,"MDZ140R",$F$3:$F$74)*INDEX($Q$20:$Q$84,MATCH(B78,$N$20:$N$84,0))),"")))</f>
        <v/>
      </c>
      <c r="F78" s="42" t="str">
        <f t="shared" si="0"/>
        <v/>
      </c>
      <c r="H78" s="192"/>
      <c r="I78" s="213" t="str">
        <f>IFERROR(VLOOKUP(H78,$B$3:$F$69,5,FALSE),"")</f>
        <v/>
      </c>
      <c r="J78" s="191"/>
      <c r="L78" s="56"/>
      <c r="M78" s="56"/>
      <c r="N78" s="56"/>
      <c r="O78" s="56"/>
      <c r="P78" s="125"/>
      <c r="Q78" s="126"/>
      <c r="R78" s="56"/>
    </row>
    <row r="79" spans="2:18" s="1" customFormat="1" x14ac:dyDescent="0.3">
      <c r="B79" s="40"/>
      <c r="C79" s="41"/>
      <c r="D79" s="42"/>
      <c r="E79" s="24" t="str">
        <f>IF(IF(B79="MDZ140R","",IFERROR((SUMIF($B$3:$B$74,"MDZ140R",$F$3:$F$74)*INDEX($Q$20:$Q$84,MATCH(B79,$N$20:$N$84,0))),""))=0,"",IF(B79="MDZ140R","",IFERROR((SUMIF($B$3:$B$74,"MDZ140R",$F$3:$F$74)*INDEX($Q$20:$Q$84,MATCH(B79,$N$20:$N$84,0))),"")))</f>
        <v/>
      </c>
      <c r="F79" s="42" t="str">
        <f t="shared" si="0"/>
        <v/>
      </c>
      <c r="H79" s="192"/>
      <c r="I79" s="213" t="str">
        <f>IFERROR(VLOOKUP(H79,$B$3:$F$69,5,FALSE),"")</f>
        <v/>
      </c>
      <c r="J79" s="191"/>
      <c r="L79" s="56"/>
      <c r="M79" s="56"/>
      <c r="N79" s="56"/>
      <c r="O79" s="56"/>
      <c r="P79" s="125"/>
      <c r="Q79" s="126"/>
      <c r="R79" s="56"/>
    </row>
    <row r="80" spans="2:18" s="1" customFormat="1" x14ac:dyDescent="0.3">
      <c r="B80" s="40"/>
      <c r="C80" s="41"/>
      <c r="D80" s="42"/>
      <c r="E80" s="24" t="str">
        <f>IF(IF(B80="MDZ140R","",IFERROR((SUMIF($B$3:$B$74,"MDZ140R",$F$3:$F$74)*INDEX($Q$20:$Q$84,MATCH(B80,$N$20:$N$84,0))),""))=0,"",IF(B80="MDZ140R","",IFERROR((SUMIF($B$3:$B$74,"MDZ140R",$F$3:$F$74)*INDEX($Q$20:$Q$84,MATCH(B80,$N$20:$N$84,0))),"")))</f>
        <v/>
      </c>
      <c r="F80" s="42" t="str">
        <f t="shared" si="0"/>
        <v/>
      </c>
      <c r="H80" s="192"/>
      <c r="I80" s="213" t="str">
        <f>IFERROR(VLOOKUP(H80,$B$3:$F$69,5,FALSE),"")</f>
        <v/>
      </c>
      <c r="J80" s="191"/>
      <c r="L80" s="56"/>
      <c r="M80" s="56"/>
      <c r="N80" s="56"/>
      <c r="O80" s="56"/>
      <c r="P80" s="125"/>
      <c r="Q80" s="126"/>
      <c r="R80" s="56"/>
    </row>
    <row r="81" spans="2:18" s="1" customFormat="1" x14ac:dyDescent="0.3">
      <c r="B81" s="40"/>
      <c r="C81" s="41"/>
      <c r="D81" s="42"/>
      <c r="E81" s="24" t="str">
        <f>IF(IF(B81="MDZ140R","",IFERROR((SUMIF($B$3:$B$74,"MDZ140R",$F$3:$F$74)*INDEX($Q$20:$Q$84,MATCH(B81,$N$20:$N$84,0))),""))=0,"",IF(B81="MDZ140R","",IFERROR((SUMIF($B$3:$B$74,"MDZ140R",$F$3:$F$74)*INDEX($Q$20:$Q$84,MATCH(B81,$N$20:$N$84,0))),"")))</f>
        <v/>
      </c>
      <c r="F81" s="42" t="str">
        <f t="shared" si="0"/>
        <v/>
      </c>
      <c r="H81" s="192"/>
      <c r="I81" s="213" t="str">
        <f>IFERROR(VLOOKUP(H81,$B$3:$F$69,5,FALSE),"")</f>
        <v/>
      </c>
      <c r="J81" s="191"/>
      <c r="L81" s="56"/>
      <c r="M81" s="56"/>
      <c r="N81" s="56"/>
      <c r="O81" s="56"/>
      <c r="P81" s="125"/>
      <c r="Q81" s="126"/>
      <c r="R81" s="56"/>
    </row>
    <row r="82" spans="2:18" s="1" customFormat="1" x14ac:dyDescent="0.3">
      <c r="B82" s="40"/>
      <c r="C82" s="41"/>
      <c r="D82" s="42"/>
      <c r="E82" s="24" t="str">
        <f>IF(IF(B82="MDZ140R","",IFERROR((SUMIF($B$3:$B$74,"MDZ140R",$F$3:$F$74)*INDEX($Q$20:$Q$84,MATCH(B82,$N$20:$N$84,0))),""))=0,"",IF(B82="MDZ140R","",IFERROR((SUMIF($B$3:$B$74,"MDZ140R",$F$3:$F$74)*INDEX($Q$20:$Q$84,MATCH(B82,$N$20:$N$84,0))),"")))</f>
        <v/>
      </c>
      <c r="F82" s="42" t="str">
        <f t="shared" si="0"/>
        <v/>
      </c>
      <c r="H82" s="192"/>
      <c r="I82" s="213" t="str">
        <f>IFERROR(VLOOKUP(H82,$B$3:$F$69,5,FALSE),"")</f>
        <v/>
      </c>
      <c r="J82" s="207"/>
      <c r="L82" s="56"/>
      <c r="M82" s="56"/>
      <c r="N82" s="56"/>
      <c r="O82" s="56"/>
      <c r="P82" s="125"/>
      <c r="Q82" s="126"/>
      <c r="R82" s="56"/>
    </row>
    <row r="83" spans="2:18" s="1" customFormat="1" x14ac:dyDescent="0.3">
      <c r="B83" s="40"/>
      <c r="C83" s="41"/>
      <c r="D83" s="42"/>
      <c r="E83" s="24" t="str">
        <f>IF(IF(B83="MDZ140R","",IFERROR((SUMIF($B$3:$B$74,"MDZ140R",$F$3:$F$74)*INDEX($Q$20:$Q$84,MATCH(B83,$N$20:$N$84,0))),""))=0,"",IF(B83="MDZ140R","",IFERROR((SUMIF($B$3:$B$74,"MDZ140R",$F$3:$F$74)*INDEX($Q$20:$Q$84,MATCH(B83,$N$20:$N$84,0))),"")))</f>
        <v/>
      </c>
      <c r="F83" s="42" t="str">
        <f t="shared" si="0"/>
        <v/>
      </c>
      <c r="H83" s="189" t="s">
        <v>73</v>
      </c>
      <c r="I83" s="213" t="str">
        <f>IFERROR(VLOOKUP(H83,$B$3:$F$69,5,FALSE),"")</f>
        <v/>
      </c>
      <c r="J83" s="191">
        <f>SUM(I83:I97)</f>
        <v>3.6031999999999997</v>
      </c>
      <c r="L83" s="56"/>
      <c r="M83" s="56"/>
      <c r="N83" s="56"/>
      <c r="O83" s="56"/>
      <c r="P83" s="125"/>
      <c r="Q83" s="126"/>
      <c r="R83" s="56"/>
    </row>
    <row r="84" spans="2:18" s="1" customFormat="1" x14ac:dyDescent="0.3">
      <c r="B84" s="40"/>
      <c r="C84" s="41"/>
      <c r="D84" s="42"/>
      <c r="E84" s="24" t="str">
        <f>IF(IF(B84="MDZ140R","",IFERROR((SUMIF($B$3:$B$74,"MDZ140R",$F$3:$F$74)*INDEX($Q$20:$Q$84,MATCH(B84,$N$20:$N$84,0))),""))=0,"",IF(B84="MDZ140R","",IFERROR((SUMIF($B$3:$B$74,"MDZ140R",$F$3:$F$74)*INDEX($Q$20:$Q$84,MATCH(B84,$N$20:$N$84,0))),"")))</f>
        <v/>
      </c>
      <c r="F84" s="42" t="str">
        <f t="shared" si="0"/>
        <v/>
      </c>
      <c r="H84" s="196" t="s">
        <v>44</v>
      </c>
      <c r="I84" s="211">
        <v>0.16600000000000001</v>
      </c>
      <c r="J84" s="201"/>
      <c r="K84" s="1">
        <v>0.33200000000000002</v>
      </c>
      <c r="L84" s="56"/>
      <c r="M84" s="56"/>
      <c r="N84" s="56"/>
      <c r="O84" s="56"/>
      <c r="P84" s="125"/>
      <c r="Q84" s="126"/>
      <c r="R84" s="56"/>
    </row>
    <row r="85" spans="2:18" s="1" customFormat="1" x14ac:dyDescent="0.3">
      <c r="H85" s="196" t="s">
        <v>38</v>
      </c>
      <c r="I85" s="211">
        <v>0.41660000000000003</v>
      </c>
      <c r="J85" s="201"/>
      <c r="K85" s="1">
        <v>0.83320000000000005</v>
      </c>
      <c r="L85" s="56"/>
      <c r="M85" s="56"/>
      <c r="N85" s="56"/>
      <c r="O85" s="59" t="s">
        <v>3</v>
      </c>
      <c r="P85" s="131">
        <f>SUM(P20:P40)</f>
        <v>182</v>
      </c>
      <c r="Q85" s="131">
        <f>SUM(Q20:Q40)</f>
        <v>0.994533</v>
      </c>
      <c r="R85" s="59">
        <v>0</v>
      </c>
    </row>
    <row r="86" spans="2:18" x14ac:dyDescent="0.3">
      <c r="H86" s="196" t="s">
        <v>9</v>
      </c>
      <c r="I86" s="213">
        <f>IFERROR(VLOOKUP(H86,$B$3:$F$69,5,FALSE),"")</f>
        <v>0.19020000000000001</v>
      </c>
      <c r="J86" s="201"/>
    </row>
    <row r="87" spans="2:18" x14ac:dyDescent="0.3">
      <c r="H87" s="196" t="s">
        <v>119</v>
      </c>
      <c r="I87" s="213">
        <f>IFERROR(VLOOKUP(H87,$B$3:$F$69,5,FALSE),"")</f>
        <v>0.88980000000000004</v>
      </c>
      <c r="J87" s="201"/>
    </row>
    <row r="88" spans="2:18" x14ac:dyDescent="0.3">
      <c r="H88" s="196" t="s">
        <v>133</v>
      </c>
      <c r="I88" s="213">
        <f>IFERROR(VLOOKUP(H88,$B$3:$F$69,5,FALSE),"")</f>
        <v>0.90110000000000001</v>
      </c>
      <c r="J88" s="201"/>
    </row>
    <row r="89" spans="2:18" x14ac:dyDescent="0.3">
      <c r="H89" s="196" t="s">
        <v>147</v>
      </c>
      <c r="I89" s="213" t="str">
        <f>IFERROR(VLOOKUP(H89,$B$3:$F$69,5,FALSE),"")</f>
        <v/>
      </c>
      <c r="J89" s="201"/>
    </row>
    <row r="90" spans="2:18" x14ac:dyDescent="0.3">
      <c r="H90" s="196" t="s">
        <v>148</v>
      </c>
      <c r="I90" s="213" t="str">
        <f>IFERROR(VLOOKUP(H90,$B$3:$F$69,5,FALSE),"")</f>
        <v/>
      </c>
      <c r="J90" s="201"/>
    </row>
    <row r="91" spans="2:18" x14ac:dyDescent="0.3">
      <c r="H91" s="196" t="s">
        <v>11</v>
      </c>
      <c r="I91" s="213">
        <f>IFERROR(VLOOKUP(H91,$B$3:$F$69,5,FALSE),"")</f>
        <v>0.71589999999999998</v>
      </c>
      <c r="J91" s="201"/>
    </row>
    <row r="92" spans="2:18" x14ac:dyDescent="0.3">
      <c r="H92" s="196" t="s">
        <v>149</v>
      </c>
      <c r="I92" s="213" t="str">
        <f>IFERROR(VLOOKUP(H92,$B$3:$F$69,5,FALSE),"")</f>
        <v/>
      </c>
      <c r="J92" s="201"/>
    </row>
    <row r="93" spans="2:18" x14ac:dyDescent="0.3">
      <c r="H93" s="196" t="s">
        <v>121</v>
      </c>
      <c r="I93" s="213">
        <f>IFERROR(VLOOKUP(H93,$B$3:$F$69,5,FALSE),"")</f>
        <v>0.3236</v>
      </c>
      <c r="J93" s="201"/>
    </row>
    <row r="94" spans="2:18" x14ac:dyDescent="0.3">
      <c r="H94" s="196" t="s">
        <v>150</v>
      </c>
      <c r="I94" s="213" t="str">
        <f>IFERROR(VLOOKUP(H94,$B$3:$F$69,5,FALSE),"")</f>
        <v/>
      </c>
      <c r="J94" s="191"/>
    </row>
    <row r="95" spans="2:18" x14ac:dyDescent="0.3">
      <c r="H95" s="196"/>
      <c r="I95" s="213" t="str">
        <f>IFERROR(VLOOKUP(H95,$B$3:$F$69,5,FALSE),"")</f>
        <v/>
      </c>
      <c r="J95" s="201"/>
    </row>
    <row r="96" spans="2:18" x14ac:dyDescent="0.3">
      <c r="H96" s="196"/>
      <c r="I96" s="213" t="str">
        <f>IFERROR(VLOOKUP(H96,$B$3:$F$69,5,FALSE),"")</f>
        <v/>
      </c>
      <c r="J96" s="201"/>
    </row>
    <row r="97" spans="8:10" x14ac:dyDescent="0.3">
      <c r="H97" s="196"/>
      <c r="I97" s="213" t="str">
        <f>IFERROR(VLOOKUP(H97,$B$3:$F$69,5,FALSE),"")</f>
        <v/>
      </c>
      <c r="J97" s="201"/>
    </row>
    <row r="98" spans="8:10" x14ac:dyDescent="0.3">
      <c r="H98" s="200" t="s">
        <v>74</v>
      </c>
      <c r="I98" s="213" t="str">
        <f>IFERROR(VLOOKUP(H98,$B$3:$F$69,5,FALSE),"")</f>
        <v/>
      </c>
      <c r="J98" s="201">
        <f>SUM(I98:I107)</f>
        <v>0.58260000000000001</v>
      </c>
    </row>
    <row r="99" spans="8:10" s="175" customFormat="1" x14ac:dyDescent="0.3">
      <c r="H99" s="176" t="s">
        <v>429</v>
      </c>
      <c r="I99" s="214">
        <v>0.41660000000000003</v>
      </c>
      <c r="J99" s="177"/>
    </row>
    <row r="100" spans="8:10" s="175" customFormat="1" x14ac:dyDescent="0.3">
      <c r="H100" s="176" t="s">
        <v>461</v>
      </c>
      <c r="I100" s="214">
        <v>0.16600000000000001</v>
      </c>
      <c r="J100" s="177"/>
    </row>
    <row r="101" spans="8:10" x14ac:dyDescent="0.3">
      <c r="H101" s="176"/>
      <c r="I101" s="213" t="str">
        <f>IFERROR(VLOOKUP(H101,$B$3:$F$69,5,FALSE),"")</f>
        <v/>
      </c>
      <c r="J101" s="177"/>
    </row>
    <row r="102" spans="8:10" x14ac:dyDescent="0.3">
      <c r="H102" s="176"/>
      <c r="I102" s="213" t="str">
        <f>IFERROR(VLOOKUP(H102,$B$3:$F$69,5,FALSE),"")</f>
        <v/>
      </c>
      <c r="J102" s="177"/>
    </row>
    <row r="103" spans="8:10" s="175" customFormat="1" x14ac:dyDescent="0.3">
      <c r="H103" s="176"/>
      <c r="I103" s="213" t="str">
        <f>IFERROR(VLOOKUP(H103,$B$3:$F$69,5,FALSE),"")</f>
        <v/>
      </c>
      <c r="J103" s="177"/>
    </row>
    <row r="104" spans="8:10" s="175" customFormat="1" x14ac:dyDescent="0.3">
      <c r="H104" s="176"/>
      <c r="I104" s="213" t="str">
        <f>IFERROR(VLOOKUP(H104,$B$3:$F$69,5,FALSE),"")</f>
        <v/>
      </c>
      <c r="J104" s="177"/>
    </row>
    <row r="105" spans="8:10" s="175" customFormat="1" x14ac:dyDescent="0.3">
      <c r="H105" s="196"/>
      <c r="I105" s="213" t="str">
        <f>IFERROR(VLOOKUP(H105,$B$3:$F$69,5,FALSE),"")</f>
        <v/>
      </c>
      <c r="J105" s="208"/>
    </row>
    <row r="106" spans="8:10" x14ac:dyDescent="0.3">
      <c r="H106" s="196"/>
      <c r="I106" s="213" t="str">
        <f>IFERROR(VLOOKUP(H106,$B$3:$F$69,5,FALSE),"")</f>
        <v/>
      </c>
      <c r="J106" s="201"/>
    </row>
    <row r="107" spans="8:10" s="175" customFormat="1" x14ac:dyDescent="0.3">
      <c r="H107" s="196"/>
      <c r="I107" s="213" t="str">
        <f>IFERROR(VLOOKUP(H107,$B$3:$F$69,5,FALSE),"")</f>
        <v/>
      </c>
      <c r="J107" s="201"/>
    </row>
    <row r="108" spans="8:10" x14ac:dyDescent="0.3">
      <c r="H108" s="200" t="s">
        <v>75</v>
      </c>
      <c r="I108" s="213" t="str">
        <f>IFERROR(VLOOKUP(H108,$B$3:$F$69,5,FALSE),"")</f>
        <v/>
      </c>
      <c r="J108" s="201">
        <f>SUM(I108:I114)</f>
        <v>0.3362</v>
      </c>
    </row>
    <row r="109" spans="8:10" x14ac:dyDescent="0.3">
      <c r="H109" s="196" t="s">
        <v>215</v>
      </c>
      <c r="I109" s="213" t="str">
        <f>IFERROR(VLOOKUP(H109,$B$3:$F$69,5,FALSE),"")</f>
        <v/>
      </c>
      <c r="J109" s="201"/>
    </row>
    <row r="110" spans="8:10" s="175" customFormat="1" x14ac:dyDescent="0.3">
      <c r="H110" s="196" t="s">
        <v>151</v>
      </c>
      <c r="I110" s="213" t="str">
        <f>IFERROR(VLOOKUP(H110,$B$3:$F$69,5,FALSE),"")</f>
        <v/>
      </c>
      <c r="J110" s="201"/>
    </row>
    <row r="111" spans="8:10" x14ac:dyDescent="0.3">
      <c r="H111" s="196" t="s">
        <v>14</v>
      </c>
      <c r="I111" s="211">
        <v>0.3362</v>
      </c>
      <c r="J111" s="201"/>
    </row>
    <row r="112" spans="8:10" x14ac:dyDescent="0.3">
      <c r="H112" s="196" t="s">
        <v>152</v>
      </c>
      <c r="I112" s="213" t="str">
        <f>IFERROR(VLOOKUP(H112,$B$3:$F$69,5,FALSE),"")</f>
        <v/>
      </c>
      <c r="J112" s="201"/>
    </row>
    <row r="113" spans="8:10" x14ac:dyDescent="0.3">
      <c r="H113" s="196" t="s">
        <v>211</v>
      </c>
      <c r="I113" s="213" t="str">
        <f>IFERROR(VLOOKUP(H113,$B$3:$F$69,5,FALSE),"")</f>
        <v/>
      </c>
      <c r="J113" s="201"/>
    </row>
    <row r="114" spans="8:10" x14ac:dyDescent="0.3">
      <c r="H114" s="196" t="s">
        <v>212</v>
      </c>
      <c r="I114" s="213" t="str">
        <f>IFERROR(VLOOKUP(H114,$B$3:$F$69,5,FALSE),"")</f>
        <v/>
      </c>
      <c r="J114" s="201"/>
    </row>
    <row r="115" spans="8:10" x14ac:dyDescent="0.3">
      <c r="H115" s="200" t="s">
        <v>76</v>
      </c>
      <c r="I115" s="213" t="str">
        <f>IFERROR(VLOOKUP(H115,$B$3:$F$69,5,FALSE),"")</f>
        <v/>
      </c>
      <c r="J115" s="201">
        <f>SUM(I115:I119)</f>
        <v>0</v>
      </c>
    </row>
    <row r="116" spans="8:10" x14ac:dyDescent="0.3">
      <c r="H116" s="196"/>
      <c r="I116" s="213" t="str">
        <f>IFERROR(VLOOKUP(H116,$B$3:$F$69,5,FALSE),"")</f>
        <v/>
      </c>
      <c r="J116" s="208"/>
    </row>
    <row r="117" spans="8:10" x14ac:dyDescent="0.3">
      <c r="H117" s="196"/>
      <c r="I117" s="213" t="str">
        <f>IFERROR(VLOOKUP(H117,$B$3:$F$69,5,FALSE),"")</f>
        <v/>
      </c>
      <c r="J117" s="201"/>
    </row>
    <row r="118" spans="8:10" x14ac:dyDescent="0.3">
      <c r="H118" s="196"/>
      <c r="I118" s="213" t="str">
        <f>IFERROR(VLOOKUP(H118,$B$3:$F$69,5,FALSE),"")</f>
        <v/>
      </c>
      <c r="J118" s="201"/>
    </row>
    <row r="119" spans="8:10" x14ac:dyDescent="0.3">
      <c r="H119" s="196"/>
      <c r="I119" s="213" t="str">
        <f>IFERROR(VLOOKUP(H119,$B$3:$F$69,5,FALSE),"")</f>
        <v/>
      </c>
      <c r="J119" s="201"/>
    </row>
    <row r="120" spans="8:10" x14ac:dyDescent="0.3">
      <c r="H120" s="200" t="s">
        <v>78</v>
      </c>
      <c r="I120" s="213" t="str">
        <f>IFERROR(VLOOKUP(H120,$B$3:$F$69,5,FALSE),"")</f>
        <v/>
      </c>
      <c r="J120" s="201">
        <f>SUM(I120:I126)</f>
        <v>0</v>
      </c>
    </row>
    <row r="121" spans="8:10" s="175" customFormat="1" x14ac:dyDescent="0.3">
      <c r="H121" s="176"/>
      <c r="I121" s="213" t="str">
        <f>IFERROR(VLOOKUP(H121,$B$3:$F$69,5,FALSE),"")</f>
        <v/>
      </c>
      <c r="J121" s="177"/>
    </row>
    <row r="122" spans="8:10" x14ac:dyDescent="0.3">
      <c r="H122" s="196"/>
      <c r="I122" s="213" t="str">
        <f>IFERROR(VLOOKUP(H122,$B$3:$F$69,5,FALSE),"")</f>
        <v/>
      </c>
      <c r="J122" s="208"/>
    </row>
    <row r="123" spans="8:10" x14ac:dyDescent="0.3">
      <c r="H123" s="196"/>
      <c r="I123" s="213" t="str">
        <f>IFERROR(VLOOKUP(H123,$B$3:$F$69,5,FALSE),"")</f>
        <v/>
      </c>
      <c r="J123" s="208"/>
    </row>
    <row r="124" spans="8:10" s="175" customFormat="1" x14ac:dyDescent="0.3">
      <c r="H124" s="196"/>
      <c r="I124" s="213" t="str">
        <f>IFERROR(VLOOKUP(H124,$B$3:$F$69,5,FALSE),"")</f>
        <v/>
      </c>
      <c r="J124" s="208"/>
    </row>
    <row r="125" spans="8:10" x14ac:dyDescent="0.3">
      <c r="H125" s="196"/>
      <c r="I125" s="213" t="str">
        <f>IFERROR(VLOOKUP(H125,$B$3:$F$69,5,FALSE),"")</f>
        <v/>
      </c>
      <c r="J125" s="201"/>
    </row>
    <row r="126" spans="8:10" s="175" customFormat="1" x14ac:dyDescent="0.3">
      <c r="H126" s="196"/>
      <c r="I126" s="213" t="str">
        <f>IFERROR(VLOOKUP(H126,$B$3:$F$69,5,FALSE),"")</f>
        <v/>
      </c>
      <c r="J126" s="201"/>
    </row>
    <row r="127" spans="8:10" x14ac:dyDescent="0.3">
      <c r="H127" s="200" t="s">
        <v>77</v>
      </c>
      <c r="I127" s="213" t="str">
        <f>IFERROR(VLOOKUP(H127,$B$3:$F$69,5,FALSE),"")</f>
        <v/>
      </c>
      <c r="J127" s="201">
        <f>SUM(I127:I175)</f>
        <v>12.8415</v>
      </c>
    </row>
    <row r="128" spans="8:10" x14ac:dyDescent="0.3">
      <c r="H128" s="196" t="s">
        <v>60</v>
      </c>
      <c r="I128" s="213">
        <f>IFERROR(VLOOKUP(H128,$B$3:$F$69,5,FALSE),"")</f>
        <v>0.55420000000000003</v>
      </c>
      <c r="J128" s="201"/>
    </row>
    <row r="129" spans="8:10" x14ac:dyDescent="0.3">
      <c r="H129" s="196" t="s">
        <v>153</v>
      </c>
      <c r="I129" s="213" t="str">
        <f>IFERROR(VLOOKUP(H129,$B$3:$F$69,5,FALSE),"")</f>
        <v/>
      </c>
      <c r="J129" s="201"/>
    </row>
    <row r="130" spans="8:10" x14ac:dyDescent="0.3">
      <c r="H130" s="196" t="s">
        <v>154</v>
      </c>
      <c r="I130" s="213" t="str">
        <f>IFERROR(VLOOKUP(H130,$B$3:$F$69,5,FALSE),"")</f>
        <v/>
      </c>
      <c r="J130" s="201"/>
    </row>
    <row r="131" spans="8:10" x14ac:dyDescent="0.3">
      <c r="H131" s="196" t="s">
        <v>114</v>
      </c>
      <c r="I131" s="213">
        <f>IFERROR(VLOOKUP(H131,$B$3:$F$69,5,FALSE),"")</f>
        <v>0.21929999999999999</v>
      </c>
      <c r="J131" s="201"/>
    </row>
    <row r="132" spans="8:10" x14ac:dyDescent="0.3">
      <c r="H132" s="196" t="s">
        <v>116</v>
      </c>
      <c r="I132" s="213">
        <f>IFERROR(VLOOKUP(H132,$B$3:$F$69,5,FALSE),"")</f>
        <v>0.1774</v>
      </c>
      <c r="J132" s="200"/>
    </row>
    <row r="133" spans="8:10" x14ac:dyDescent="0.3">
      <c r="H133" s="196" t="s">
        <v>62</v>
      </c>
      <c r="I133" s="213">
        <f>IFERROR(VLOOKUP(H133,$B$3:$F$69,5,FALSE),"")</f>
        <v>0.36549999999999999</v>
      </c>
      <c r="J133" s="200"/>
    </row>
    <row r="134" spans="8:10" x14ac:dyDescent="0.3">
      <c r="H134" s="196" t="s">
        <v>48</v>
      </c>
      <c r="I134" s="213">
        <f>IFERROR(VLOOKUP(H134,$B$3:$F$69,5,FALSE),"")</f>
        <v>0.38450000000000001</v>
      </c>
      <c r="J134" s="200"/>
    </row>
    <row r="135" spans="8:10" x14ac:dyDescent="0.3">
      <c r="H135" s="196" t="s">
        <v>63</v>
      </c>
      <c r="I135" s="213">
        <f>IFERROR(VLOOKUP(H135,$B$3:$F$69,5,FALSE),"")</f>
        <v>0.95189999999999997</v>
      </c>
      <c r="J135" s="200"/>
    </row>
    <row r="136" spans="8:10" x14ac:dyDescent="0.3">
      <c r="H136" s="196" t="s">
        <v>131</v>
      </c>
      <c r="I136" s="213">
        <f>IFERROR(VLOOKUP(H136,$B$3:$F$69,5,FALSE),"")</f>
        <v>0.21060000000000001</v>
      </c>
      <c r="J136" s="200"/>
    </row>
    <row r="137" spans="8:10" x14ac:dyDescent="0.3">
      <c r="H137" s="196" t="s">
        <v>155</v>
      </c>
      <c r="I137" s="213" t="str">
        <f>IFERROR(VLOOKUP(H137,$B$3:$F$69,5,FALSE),"")</f>
        <v/>
      </c>
      <c r="J137" s="200"/>
    </row>
    <row r="138" spans="8:10" x14ac:dyDescent="0.3">
      <c r="H138" s="196" t="s">
        <v>156</v>
      </c>
      <c r="I138" s="213" t="str">
        <f>IFERROR(VLOOKUP(H138,$B$3:$F$69,5,FALSE),"")</f>
        <v/>
      </c>
      <c r="J138" s="200"/>
    </row>
    <row r="139" spans="8:10" x14ac:dyDescent="0.3">
      <c r="H139" s="196" t="s">
        <v>64</v>
      </c>
      <c r="I139" s="213">
        <f>IFERROR(VLOOKUP(H139,$B$3:$F$69,5,FALSE),"")</f>
        <v>0.99639999999999995</v>
      </c>
      <c r="J139" s="200"/>
    </row>
    <row r="140" spans="8:10" x14ac:dyDescent="0.3">
      <c r="H140" s="196" t="s">
        <v>24</v>
      </c>
      <c r="I140" s="213">
        <f>IFERROR(VLOOKUP(H140,$B$3:$F$69,5,FALSE),"")</f>
        <v>0.35520000000000002</v>
      </c>
      <c r="J140" s="200"/>
    </row>
    <row r="141" spans="8:10" x14ac:dyDescent="0.3">
      <c r="H141" s="196" t="s">
        <v>34</v>
      </c>
      <c r="I141" s="213">
        <f>IFERROR(VLOOKUP(H141,$B$3:$F$69,5,FALSE),"")</f>
        <v>0.95269999999999999</v>
      </c>
      <c r="J141" s="200"/>
    </row>
    <row r="142" spans="8:10" x14ac:dyDescent="0.3">
      <c r="H142" s="196" t="s">
        <v>157</v>
      </c>
      <c r="I142" s="213" t="str">
        <f>IFERROR(VLOOKUP(H142,$B$3:$F$69,5,FALSE),"")</f>
        <v/>
      </c>
      <c r="J142" s="200"/>
    </row>
    <row r="143" spans="8:10" x14ac:dyDescent="0.3">
      <c r="H143" s="196" t="s">
        <v>158</v>
      </c>
      <c r="I143" s="213" t="str">
        <f>IFERROR(VLOOKUP(H143,$B$3:$F$69,5,FALSE),"")</f>
        <v/>
      </c>
      <c r="J143" s="200"/>
    </row>
    <row r="144" spans="8:10" x14ac:dyDescent="0.3">
      <c r="H144" s="196" t="s">
        <v>159</v>
      </c>
      <c r="I144" s="213" t="str">
        <f>IFERROR(VLOOKUP(H144,$B$3:$F$69,5,FALSE),"")</f>
        <v/>
      </c>
      <c r="J144" s="200"/>
    </row>
    <row r="145" spans="8:10" x14ac:dyDescent="0.3">
      <c r="H145" s="196" t="s">
        <v>160</v>
      </c>
      <c r="I145" s="213" t="str">
        <f>IFERROR(VLOOKUP(H145,$B$3:$F$69,5,FALSE),"")</f>
        <v/>
      </c>
      <c r="J145" s="200"/>
    </row>
    <row r="146" spans="8:10" x14ac:dyDescent="0.3">
      <c r="H146" s="196" t="s">
        <v>50</v>
      </c>
      <c r="I146" s="213">
        <f>IFERROR(VLOOKUP(H146,$B$3:$F$69,5,FALSE),"")</f>
        <v>0.1885</v>
      </c>
      <c r="J146" s="200"/>
    </row>
    <row r="147" spans="8:10" x14ac:dyDescent="0.3">
      <c r="H147" s="196" t="s">
        <v>161</v>
      </c>
      <c r="I147" s="213" t="str">
        <f>IFERROR(VLOOKUP(H147,$B$3:$F$69,5,FALSE),"")</f>
        <v/>
      </c>
      <c r="J147" s="200"/>
    </row>
    <row r="148" spans="8:10" x14ac:dyDescent="0.3">
      <c r="H148" s="196" t="s">
        <v>162</v>
      </c>
      <c r="I148" s="213" t="str">
        <f>IFERROR(VLOOKUP(H148,$B$3:$F$69,5,FALSE),"")</f>
        <v/>
      </c>
      <c r="J148" s="200"/>
    </row>
    <row r="149" spans="8:10" x14ac:dyDescent="0.3">
      <c r="H149" s="196" t="s">
        <v>7</v>
      </c>
      <c r="I149" s="213">
        <f>IFERROR(VLOOKUP(H149,$B$3:$F$69,5,FALSE),"")</f>
        <v>0.13550000000000001</v>
      </c>
      <c r="J149" s="200"/>
    </row>
    <row r="150" spans="8:10" x14ac:dyDescent="0.3">
      <c r="H150" s="196" t="s">
        <v>27</v>
      </c>
      <c r="I150" s="213">
        <f>IFERROR(VLOOKUP(H150,$B$3:$F$69,5,FALSE),"")</f>
        <v>0.7792</v>
      </c>
      <c r="J150" s="200"/>
    </row>
    <row r="151" spans="8:10" x14ac:dyDescent="0.3">
      <c r="H151" s="196" t="s">
        <v>163</v>
      </c>
      <c r="I151" s="213" t="str">
        <f>IFERROR(VLOOKUP(H151,$B$3:$F$69,5,FALSE),"")</f>
        <v/>
      </c>
      <c r="J151" s="200"/>
    </row>
    <row r="152" spans="8:10" x14ac:dyDescent="0.3">
      <c r="H152" s="196" t="s">
        <v>164</v>
      </c>
      <c r="I152" s="213" t="str">
        <f>IFERROR(VLOOKUP(H152,$B$3:$F$69,5,FALSE),"")</f>
        <v/>
      </c>
      <c r="J152" s="200"/>
    </row>
    <row r="153" spans="8:10" x14ac:dyDescent="0.3">
      <c r="H153" s="196" t="s">
        <v>165</v>
      </c>
      <c r="I153" s="213" t="str">
        <f>IFERROR(VLOOKUP(H153,$B$3:$F$69,5,FALSE),"")</f>
        <v/>
      </c>
      <c r="J153" s="200"/>
    </row>
    <row r="154" spans="8:10" x14ac:dyDescent="0.3">
      <c r="H154" s="196" t="s">
        <v>166</v>
      </c>
      <c r="I154" s="213" t="str">
        <f>IFERROR(VLOOKUP(H154,$B$3:$F$69,5,FALSE),"")</f>
        <v/>
      </c>
      <c r="J154" s="200"/>
    </row>
    <row r="155" spans="8:10" x14ac:dyDescent="0.3">
      <c r="H155" s="196" t="s">
        <v>135</v>
      </c>
      <c r="I155" s="213">
        <f>IFERROR(VLOOKUP(H155,$B$3:$F$69,5,FALSE),"")</f>
        <v>0.1197</v>
      </c>
      <c r="J155" s="200"/>
    </row>
    <row r="156" spans="8:10" x14ac:dyDescent="0.3">
      <c r="H156" s="196" t="s">
        <v>123</v>
      </c>
      <c r="I156" s="213">
        <f>IFERROR(VLOOKUP(H156,$B$3:$F$69,5,FALSE),"")</f>
        <v>0.86729999999999996</v>
      </c>
      <c r="J156" s="200"/>
    </row>
    <row r="157" spans="8:10" x14ac:dyDescent="0.3">
      <c r="H157" s="196" t="s">
        <v>125</v>
      </c>
      <c r="I157" s="213">
        <f>IFERROR(VLOOKUP(H157,$B$3:$F$69,5,FALSE),"")</f>
        <v>0.98209999999999997</v>
      </c>
      <c r="J157" s="200"/>
    </row>
    <row r="158" spans="8:10" x14ac:dyDescent="0.3">
      <c r="H158" s="196" t="s">
        <v>167</v>
      </c>
      <c r="I158" s="213" t="str">
        <f>IFERROR(VLOOKUP(H158,$B$3:$F$69,5,FALSE),"")</f>
        <v/>
      </c>
      <c r="J158" s="200"/>
    </row>
    <row r="159" spans="8:10" x14ac:dyDescent="0.3">
      <c r="H159" s="196" t="s">
        <v>65</v>
      </c>
      <c r="I159" s="213">
        <f>IFERROR(VLOOKUP(H159,$B$3:$F$69,5,FALSE),"")</f>
        <v>0.26929999999999998</v>
      </c>
      <c r="J159" s="200"/>
    </row>
    <row r="160" spans="8:10" x14ac:dyDescent="0.3">
      <c r="H160" s="196" t="s">
        <v>41</v>
      </c>
      <c r="I160" s="213">
        <f>IFERROR(VLOOKUP(H160,$B$3:$F$69,5,FALSE),"")</f>
        <v>0.1653</v>
      </c>
      <c r="J160" s="200"/>
    </row>
    <row r="161" spans="8:10" x14ac:dyDescent="0.3">
      <c r="H161" s="196" t="s">
        <v>42</v>
      </c>
      <c r="I161" s="213">
        <f>IFERROR(VLOOKUP(H161,$B$3:$F$69,5,FALSE),"")</f>
        <v>0.91800000000000004</v>
      </c>
      <c r="J161" s="200"/>
    </row>
    <row r="162" spans="8:10" x14ac:dyDescent="0.3">
      <c r="H162" s="196" t="s">
        <v>29</v>
      </c>
      <c r="I162" s="213">
        <f>IFERROR(VLOOKUP(H162,$B$3:$F$69,5,FALSE),"")</f>
        <v>0.1804</v>
      </c>
      <c r="J162" s="200"/>
    </row>
    <row r="163" spans="8:10" x14ac:dyDescent="0.3">
      <c r="H163" s="196" t="s">
        <v>16</v>
      </c>
      <c r="I163" s="213">
        <f>IFERROR(VLOOKUP(H163,$B$3:$F$69,5,FALSE),"")</f>
        <v>0.51700000000000002</v>
      </c>
      <c r="J163" s="200"/>
    </row>
    <row r="164" spans="8:10" x14ac:dyDescent="0.3">
      <c r="H164" s="196" t="s">
        <v>168</v>
      </c>
      <c r="I164" s="213" t="str">
        <f>IFERROR(VLOOKUP(H164,$B$3:$F$69,5,FALSE),"")</f>
        <v/>
      </c>
      <c r="J164" s="200"/>
    </row>
    <row r="165" spans="8:10" x14ac:dyDescent="0.3">
      <c r="H165" s="196" t="s">
        <v>18</v>
      </c>
      <c r="I165" s="213">
        <f>IFERROR(VLOOKUP(H165,$B$3:$F$69,5,FALSE),"")</f>
        <v>0.36170000000000002</v>
      </c>
      <c r="J165" s="200"/>
    </row>
    <row r="166" spans="8:10" x14ac:dyDescent="0.3">
      <c r="H166" s="196" t="s">
        <v>45</v>
      </c>
      <c r="I166" s="213">
        <f>IFERROR(VLOOKUP(H166,$B$3:$F$69,5,FALSE),"")</f>
        <v>0.86070000000000002</v>
      </c>
      <c r="J166" s="200"/>
    </row>
    <row r="167" spans="8:10" x14ac:dyDescent="0.3">
      <c r="H167" s="196" t="s">
        <v>53</v>
      </c>
      <c r="I167" s="213" t="str">
        <f>IFERROR(VLOOKUP(H167,$B$3:$F$69,5,FALSE),"")</f>
        <v/>
      </c>
      <c r="J167" s="200"/>
    </row>
    <row r="168" spans="8:10" x14ac:dyDescent="0.3">
      <c r="H168" s="196" t="s">
        <v>187</v>
      </c>
      <c r="I168" s="213" t="str">
        <f>IFERROR(VLOOKUP(H168,$B$3:$F$69,5,FALSE),"")</f>
        <v/>
      </c>
      <c r="J168" s="200"/>
    </row>
    <row r="169" spans="8:10" x14ac:dyDescent="0.3">
      <c r="H169" s="196" t="s">
        <v>52</v>
      </c>
      <c r="I169" s="213">
        <f>IFERROR(VLOOKUP(H169,$B$3:$F$69,5,FALSE),"")</f>
        <v>0.63360000000000005</v>
      </c>
      <c r="J169" s="200"/>
    </row>
    <row r="170" spans="8:10" x14ac:dyDescent="0.3">
      <c r="H170" s="196" t="s">
        <v>55</v>
      </c>
      <c r="I170" s="213">
        <f>IFERROR(VLOOKUP(H170,$B$3:$F$69,5,FALSE),"")</f>
        <v>0.69550000000000001</v>
      </c>
      <c r="J170" s="200"/>
    </row>
    <row r="171" spans="8:10" x14ac:dyDescent="0.3">
      <c r="H171" s="196" t="s">
        <v>169</v>
      </c>
      <c r="I171" s="213" t="str">
        <f>IFERROR(VLOOKUP(H171,$B$3:$F$69,5,FALSE),"")</f>
        <v/>
      </c>
      <c r="J171" s="200"/>
    </row>
    <row r="172" spans="8:10" x14ac:dyDescent="0.3">
      <c r="H172" s="196" t="s">
        <v>213</v>
      </c>
      <c r="I172" s="213" t="str">
        <f>IFERROR(VLOOKUP(H172,$B$3:$F$69,5,FALSE),"")</f>
        <v/>
      </c>
      <c r="J172" s="200"/>
    </row>
    <row r="173" spans="8:10" x14ac:dyDescent="0.3">
      <c r="H173" s="196" t="s">
        <v>214</v>
      </c>
      <c r="I173" s="213" t="str">
        <f>IFERROR(VLOOKUP(H173,$B$3:$F$69,5,FALSE),"")</f>
        <v/>
      </c>
      <c r="J173" s="200"/>
    </row>
    <row r="174" spans="8:10" x14ac:dyDescent="0.3">
      <c r="H174" s="196"/>
      <c r="I174" s="213" t="str">
        <f>IFERROR(VLOOKUP(H174,$B$3:$F$69,5,FALSE),"")</f>
        <v/>
      </c>
      <c r="J174" s="200"/>
    </row>
    <row r="175" spans="8:10" x14ac:dyDescent="0.3">
      <c r="H175" s="196"/>
      <c r="I175" s="213" t="str">
        <f>IFERROR(VLOOKUP(H175,$B$3:$F$69,5,FALSE),"")</f>
        <v/>
      </c>
      <c r="J175" s="200"/>
    </row>
    <row r="176" spans="8:10" x14ac:dyDescent="0.3">
      <c r="H176" s="200" t="s">
        <v>79</v>
      </c>
      <c r="I176" s="213" t="str">
        <f>IFERROR(VLOOKUP(H176,$B$3:$F$69,5,FALSE),"")</f>
        <v/>
      </c>
      <c r="J176" s="209">
        <f>SUM(I176:I205)</f>
        <v>0.84360000000000002</v>
      </c>
    </row>
    <row r="177" spans="8:10" x14ac:dyDescent="0.3">
      <c r="H177" s="196" t="s">
        <v>170</v>
      </c>
      <c r="I177" s="213" t="str">
        <f>IFERROR(VLOOKUP(H177,$B$3:$F$69,5,FALSE),"")</f>
        <v/>
      </c>
      <c r="J177" s="200"/>
    </row>
    <row r="178" spans="8:10" x14ac:dyDescent="0.3">
      <c r="H178" s="196" t="s">
        <v>143</v>
      </c>
      <c r="I178" s="213" t="str">
        <f>IFERROR(VLOOKUP(H178,$B$3:$F$69,5,FALSE),"")</f>
        <v/>
      </c>
      <c r="J178" s="200"/>
    </row>
    <row r="179" spans="8:10" x14ac:dyDescent="0.3">
      <c r="H179" s="196" t="s">
        <v>171</v>
      </c>
      <c r="I179" s="213" t="str">
        <f>IFERROR(VLOOKUP(H179,$B$3:$F$69,5,FALSE),"")</f>
        <v/>
      </c>
      <c r="J179" s="200"/>
    </row>
    <row r="180" spans="8:10" x14ac:dyDescent="0.3">
      <c r="H180" s="196" t="s">
        <v>141</v>
      </c>
      <c r="I180" s="213">
        <f>IFERROR(VLOOKUP(H180,$B$3:$F$69,5,FALSE),"")</f>
        <v>1.14E-2</v>
      </c>
      <c r="J180" s="200"/>
    </row>
    <row r="181" spans="8:10" x14ac:dyDescent="0.3">
      <c r="H181" s="196" t="s">
        <v>172</v>
      </c>
      <c r="I181" s="213" t="str">
        <f>IFERROR(VLOOKUP(H181,$B$3:$F$69,5,FALSE),"")</f>
        <v/>
      </c>
      <c r="J181" s="200"/>
    </row>
    <row r="182" spans="8:10" x14ac:dyDescent="0.3">
      <c r="H182" s="196" t="s">
        <v>173</v>
      </c>
      <c r="I182" s="213" t="str">
        <f>IFERROR(VLOOKUP(H182,$B$3:$F$69,5,FALSE),"")</f>
        <v/>
      </c>
      <c r="J182" s="200"/>
    </row>
    <row r="183" spans="8:10" x14ac:dyDescent="0.3">
      <c r="H183" s="196" t="s">
        <v>174</v>
      </c>
      <c r="I183" s="213" t="str">
        <f>IFERROR(VLOOKUP(H183,$B$3:$F$69,5,FALSE),"")</f>
        <v/>
      </c>
      <c r="J183" s="200"/>
    </row>
    <row r="184" spans="8:10" x14ac:dyDescent="0.3">
      <c r="H184" s="196" t="s">
        <v>175</v>
      </c>
      <c r="I184" s="213" t="str">
        <f>IFERROR(VLOOKUP(H184,$B$3:$F$69,5,FALSE),"")</f>
        <v/>
      </c>
      <c r="J184" s="200"/>
    </row>
    <row r="185" spans="8:10" x14ac:dyDescent="0.3">
      <c r="H185" s="196" t="s">
        <v>176</v>
      </c>
      <c r="I185" s="213" t="str">
        <f>IFERROR(VLOOKUP(H185,$B$3:$F$69,5,FALSE),"")</f>
        <v/>
      </c>
      <c r="J185" s="200"/>
    </row>
    <row r="186" spans="8:10" x14ac:dyDescent="0.3">
      <c r="H186" s="196" t="s">
        <v>186</v>
      </c>
      <c r="I186" s="213" t="str">
        <f>IFERROR(VLOOKUP(H186,$B$3:$F$69,5,FALSE),"")</f>
        <v/>
      </c>
      <c r="J186" s="200"/>
    </row>
    <row r="187" spans="8:10" x14ac:dyDescent="0.3">
      <c r="H187" s="196" t="s">
        <v>185</v>
      </c>
      <c r="I187" s="213" t="str">
        <f>IFERROR(VLOOKUP(H187,$B$3:$F$69,5,FALSE),"")</f>
        <v/>
      </c>
      <c r="J187" s="200"/>
    </row>
    <row r="188" spans="8:10" x14ac:dyDescent="0.3">
      <c r="H188" s="196" t="s">
        <v>137</v>
      </c>
      <c r="I188" s="213">
        <f>IFERROR(VLOOKUP(H188,$B$3:$F$69,5,FALSE),"")</f>
        <v>0.10829999999999999</v>
      </c>
      <c r="J188" s="200"/>
    </row>
    <row r="189" spans="8:10" x14ac:dyDescent="0.3">
      <c r="H189" s="196" t="s">
        <v>177</v>
      </c>
      <c r="I189" s="213" t="str">
        <f>IFERROR(VLOOKUP(H189,$B$3:$F$69,5,FALSE),"")</f>
        <v/>
      </c>
      <c r="J189" s="200"/>
    </row>
    <row r="190" spans="8:10" x14ac:dyDescent="0.3">
      <c r="H190" s="196" t="s">
        <v>178</v>
      </c>
      <c r="I190" s="213" t="str">
        <f>IFERROR(VLOOKUP(H190,$B$3:$F$69,5,FALSE),"")</f>
        <v/>
      </c>
      <c r="J190" s="200"/>
    </row>
    <row r="191" spans="8:10" x14ac:dyDescent="0.3">
      <c r="H191" s="196" t="s">
        <v>179</v>
      </c>
      <c r="I191" s="213" t="str">
        <f>IFERROR(VLOOKUP(H191,$B$3:$F$69,5,FALSE),"")</f>
        <v/>
      </c>
      <c r="J191" s="200"/>
    </row>
    <row r="192" spans="8:10" x14ac:dyDescent="0.3">
      <c r="H192" s="196" t="s">
        <v>180</v>
      </c>
      <c r="I192" s="213" t="str">
        <f>IFERROR(VLOOKUP(H192,$B$3:$F$69,5,FALSE),"")</f>
        <v/>
      </c>
      <c r="J192" s="200"/>
    </row>
    <row r="193" spans="8:10" x14ac:dyDescent="0.3">
      <c r="H193" s="196" t="s">
        <v>139</v>
      </c>
      <c r="I193" s="213">
        <f>IFERROR(VLOOKUP(H193,$B$3:$F$69,5,FALSE),"")</f>
        <v>0.72389999999999999</v>
      </c>
      <c r="J193" s="200"/>
    </row>
    <row r="194" spans="8:10" x14ac:dyDescent="0.3">
      <c r="H194" s="196" t="s">
        <v>181</v>
      </c>
      <c r="I194" s="213" t="str">
        <f>IFERROR(VLOOKUP(H194,$B$3:$F$69,5,FALSE),"")</f>
        <v/>
      </c>
      <c r="J194" s="200"/>
    </row>
    <row r="195" spans="8:10" x14ac:dyDescent="0.3">
      <c r="H195" s="196" t="s">
        <v>182</v>
      </c>
      <c r="I195" s="213" t="str">
        <f>IFERROR(VLOOKUP(H195,$B$3:$F$69,5,FALSE),"")</f>
        <v/>
      </c>
      <c r="J195" s="200"/>
    </row>
    <row r="196" spans="8:10" x14ac:dyDescent="0.3">
      <c r="H196" s="196"/>
      <c r="I196" s="213" t="str">
        <f>IFERROR(VLOOKUP(H196,$B$3:$F$69,5,FALSE),"")</f>
        <v/>
      </c>
      <c r="J196" s="200"/>
    </row>
    <row r="197" spans="8:10" x14ac:dyDescent="0.3">
      <c r="H197" s="196"/>
      <c r="I197" s="213" t="str">
        <f>IFERROR(VLOOKUP(H197,$B$3:$F$69,5,FALSE),"")</f>
        <v/>
      </c>
      <c r="J197" s="200"/>
    </row>
    <row r="198" spans="8:10" x14ac:dyDescent="0.3">
      <c r="H198" s="196"/>
      <c r="I198" s="213" t="str">
        <f>IFERROR(VLOOKUP(H198,$B$3:$F$69,5,FALSE),"")</f>
        <v/>
      </c>
      <c r="J198" s="200"/>
    </row>
    <row r="199" spans="8:10" x14ac:dyDescent="0.3">
      <c r="H199" s="196"/>
      <c r="I199" s="213" t="str">
        <f>IFERROR(VLOOKUP(H199,$B$3:$F$69,5,FALSE),"")</f>
        <v/>
      </c>
      <c r="J199" s="200"/>
    </row>
    <row r="200" spans="8:10" x14ac:dyDescent="0.3">
      <c r="H200" s="196"/>
      <c r="I200" s="213" t="str">
        <f>IFERROR(VLOOKUP(H200,$B$3:$F$69,5,FALSE),"")</f>
        <v/>
      </c>
      <c r="J200" s="200"/>
    </row>
    <row r="201" spans="8:10" x14ac:dyDescent="0.3">
      <c r="H201" s="196"/>
      <c r="I201" s="213" t="str">
        <f>IFERROR(VLOOKUP(H201,$B$3:$F$69,5,FALSE),"")</f>
        <v/>
      </c>
      <c r="J201" s="200"/>
    </row>
    <row r="202" spans="8:10" x14ac:dyDescent="0.3">
      <c r="H202" s="196"/>
      <c r="I202" s="213" t="str">
        <f>IFERROR(VLOOKUP(H202,$B$3:$F$69,5,FALSE),"")</f>
        <v/>
      </c>
      <c r="J202" s="200"/>
    </row>
    <row r="203" spans="8:10" x14ac:dyDescent="0.3">
      <c r="H203" s="196"/>
      <c r="I203" s="213" t="str">
        <f>IFERROR(VLOOKUP(H203,$B$3:$F$69,5,FALSE),"")</f>
        <v/>
      </c>
      <c r="J203" s="200"/>
    </row>
    <row r="204" spans="8:10" x14ac:dyDescent="0.3">
      <c r="H204" s="196"/>
      <c r="I204" s="213" t="str">
        <f>IFERROR(VLOOKUP(H204,$B$3:$F$69,5,FALSE),"")</f>
        <v/>
      </c>
      <c r="J204" s="200"/>
    </row>
    <row r="205" spans="8:10" x14ac:dyDescent="0.3">
      <c r="H205" s="196"/>
      <c r="I205" s="213" t="str">
        <f>IFERROR(VLOOKUP(H205,$B$3:$F$69,5,FALSE),"")</f>
        <v/>
      </c>
      <c r="J205" s="200"/>
    </row>
    <row r="206" spans="8:10" x14ac:dyDescent="0.3">
      <c r="H206" s="200" t="s">
        <v>80</v>
      </c>
      <c r="I206" s="213" t="str">
        <f>IFERROR(VLOOKUP(H206,$B$3:$F$69,5,FALSE),"")</f>
        <v/>
      </c>
      <c r="J206" s="209">
        <f>SUM(I206:I216)</f>
        <v>0</v>
      </c>
    </row>
    <row r="207" spans="8:10" x14ac:dyDescent="0.3">
      <c r="H207" s="196"/>
      <c r="I207" s="213" t="str">
        <f>IFERROR(VLOOKUP(H207,$B$3:$F$69,5,FALSE),"")</f>
        <v/>
      </c>
      <c r="J207" s="196"/>
    </row>
    <row r="208" spans="8:10" x14ac:dyDescent="0.3">
      <c r="H208" s="196"/>
      <c r="I208" s="213" t="str">
        <f>IFERROR(VLOOKUP(H208,$B$3:$F$69,5,FALSE),"")</f>
        <v/>
      </c>
      <c r="J208" s="196"/>
    </row>
    <row r="209" spans="8:10" x14ac:dyDescent="0.3">
      <c r="H209" s="196"/>
      <c r="I209" s="213" t="str">
        <f>IFERROR(VLOOKUP(H209,$B$3:$F$69,5,FALSE),"")</f>
        <v/>
      </c>
      <c r="J209" s="196"/>
    </row>
    <row r="210" spans="8:10" x14ac:dyDescent="0.3">
      <c r="H210" s="196"/>
      <c r="I210" s="213" t="str">
        <f>IFERROR(VLOOKUP(H210,$B$3:$F$69,5,FALSE),"")</f>
        <v/>
      </c>
      <c r="J210" s="196"/>
    </row>
    <row r="211" spans="8:10" x14ac:dyDescent="0.3">
      <c r="H211" s="196"/>
      <c r="I211" s="213" t="str">
        <f>IFERROR(VLOOKUP(H211,$B$3:$F$69,5,FALSE),"")</f>
        <v/>
      </c>
      <c r="J211" s="196"/>
    </row>
    <row r="212" spans="8:10" x14ac:dyDescent="0.3">
      <c r="H212" s="196"/>
      <c r="I212" s="213" t="str">
        <f>IFERROR(VLOOKUP(H212,$B$3:$F$69,5,FALSE),"")</f>
        <v/>
      </c>
      <c r="J212" s="196"/>
    </row>
    <row r="213" spans="8:10" x14ac:dyDescent="0.3">
      <c r="H213" s="196"/>
      <c r="I213" s="213" t="str">
        <f>IFERROR(VLOOKUP(H213,$B$3:$F$69,5,FALSE),"")</f>
        <v/>
      </c>
      <c r="J213" s="196"/>
    </row>
    <row r="214" spans="8:10" x14ac:dyDescent="0.3">
      <c r="H214" s="196"/>
      <c r="I214" s="213" t="str">
        <f>IFERROR(VLOOKUP(H214,$B$3:$F$69,5,FALSE),"")</f>
        <v/>
      </c>
      <c r="J214" s="196"/>
    </row>
    <row r="215" spans="8:10" x14ac:dyDescent="0.3">
      <c r="H215" s="196"/>
      <c r="I215" s="213" t="str">
        <f>IFERROR(VLOOKUP(H215,$B$3:$F$69,5,FALSE),"")</f>
        <v/>
      </c>
      <c r="J215" s="196"/>
    </row>
    <row r="216" spans="8:10" x14ac:dyDescent="0.3">
      <c r="H216" s="196"/>
      <c r="I216" s="213" t="str">
        <f>IFERROR(VLOOKUP(H216,$B$3:$F$69,5,FALSE),"")</f>
        <v/>
      </c>
      <c r="J216" s="196"/>
    </row>
    <row r="217" spans="8:10" x14ac:dyDescent="0.3">
      <c r="I217" s="213" t="str">
        <f>IFERROR(VLOOKUP(H217,$B$3:$F$69,5,FALSE),"")</f>
        <v/>
      </c>
    </row>
    <row r="218" spans="8:10" x14ac:dyDescent="0.3">
      <c r="I218" s="213" t="str">
        <f>IFERROR(VLOOKUP(H218,$B$3:$F$69,5,FALSE),"")</f>
        <v/>
      </c>
    </row>
    <row r="219" spans="8:10" x14ac:dyDescent="0.3">
      <c r="I219" s="213" t="str">
        <f>IFERROR(VLOOKUP(H219,$B$3:$F$69,5,FALSE),"")</f>
        <v/>
      </c>
    </row>
    <row r="220" spans="8:10" x14ac:dyDescent="0.3">
      <c r="I220" s="213" t="str">
        <f>IFERROR(VLOOKUP(H220,$B$3:$F$69,5,FALSE),"")</f>
        <v/>
      </c>
    </row>
    <row r="221" spans="8:10" x14ac:dyDescent="0.3">
      <c r="I221" s="213" t="str">
        <f>IFERROR(VLOOKUP(H221,$B$3:$F$69,5,FALSE),"")</f>
        <v/>
      </c>
    </row>
    <row r="222" spans="8:10" x14ac:dyDescent="0.3">
      <c r="I222" s="213" t="str">
        <f>IFERROR(VLOOKUP(H222,$B$3:$F$69,5,FALSE),"")</f>
        <v/>
      </c>
    </row>
    <row r="223" spans="8:10" x14ac:dyDescent="0.3">
      <c r="I223" s="213" t="str">
        <f>IFERROR(VLOOKUP(H223,$B$3:$F$69,5,FALSE),"")</f>
        <v/>
      </c>
    </row>
    <row r="224" spans="8:10" x14ac:dyDescent="0.3">
      <c r="I224" s="213" t="str">
        <f>IFERROR(VLOOKUP(H224,$B$3:$F$69,5,FALSE),"")</f>
        <v/>
      </c>
    </row>
    <row r="225" spans="9:9" x14ac:dyDescent="0.3">
      <c r="I225" s="213" t="str">
        <f>IFERROR(VLOOKUP(H225,$B$3:$F$69,5,FALSE),"")</f>
        <v/>
      </c>
    </row>
    <row r="226" spans="9:9" x14ac:dyDescent="0.3">
      <c r="I226" s="213" t="str">
        <f>IFERROR(VLOOKUP(H226,$B$3:$F$69,5,FALSE),"")</f>
        <v/>
      </c>
    </row>
    <row r="227" spans="9:9" x14ac:dyDescent="0.3">
      <c r="I227" s="213" t="str">
        <f>IFERROR(VLOOKUP(H227,$B$3:$F$69,5,FALSE),"")</f>
        <v/>
      </c>
    </row>
    <row r="228" spans="9:9" x14ac:dyDescent="0.3">
      <c r="I228" s="213" t="str">
        <f>IFERROR(VLOOKUP(H228,$B$3:$F$69,5,FALSE),"")</f>
        <v/>
      </c>
    </row>
    <row r="229" spans="9:9" x14ac:dyDescent="0.3">
      <c r="I229" s="213" t="str">
        <f>IFERROR(VLOOKUP(H229,$B$3:$F$69,5,FALSE),"")</f>
        <v/>
      </c>
    </row>
    <row r="230" spans="9:9" x14ac:dyDescent="0.3">
      <c r="I230" s="213" t="str">
        <f>IFERROR(VLOOKUP(H230,$B$3:$F$69,5,FALSE),"")</f>
        <v/>
      </c>
    </row>
    <row r="231" spans="9:9" x14ac:dyDescent="0.3">
      <c r="I231" s="213" t="str">
        <f>IFERROR(VLOOKUP(H231,$B$3:$F$69,5,FALSE),"")</f>
        <v/>
      </c>
    </row>
    <row r="232" spans="9:9" x14ac:dyDescent="0.3">
      <c r="I232" s="213" t="str">
        <f>IFERROR(VLOOKUP(H232,$B$3:$F$69,5,FALSE),"")</f>
        <v/>
      </c>
    </row>
    <row r="233" spans="9:9" x14ac:dyDescent="0.3">
      <c r="I233" s="213" t="str">
        <f>IFERROR(VLOOKUP(H233,$B$3:$F$69,5,FALSE),"")</f>
        <v/>
      </c>
    </row>
    <row r="234" spans="9:9" x14ac:dyDescent="0.3">
      <c r="I234" s="213" t="str">
        <f>IFERROR(VLOOKUP(H234,$B$3:$F$69,5,FALSE),"")</f>
        <v/>
      </c>
    </row>
    <row r="235" spans="9:9" x14ac:dyDescent="0.3">
      <c r="I235" s="213" t="str">
        <f>IFERROR(VLOOKUP(H235,$B$3:$F$69,5,FALSE),"")</f>
        <v/>
      </c>
    </row>
    <row r="236" spans="9:9" x14ac:dyDescent="0.3">
      <c r="I236" s="213" t="str">
        <f>IFERROR(VLOOKUP(H236,$B$3:$F$69,5,FALSE),"")</f>
        <v/>
      </c>
    </row>
    <row r="237" spans="9:9" x14ac:dyDescent="0.3">
      <c r="I237" s="213" t="str">
        <f>IFERROR(VLOOKUP(H237,$B$3:$F$69,5,FALSE),"")</f>
        <v/>
      </c>
    </row>
    <row r="238" spans="9:9" x14ac:dyDescent="0.3">
      <c r="I238" s="213" t="str">
        <f>IFERROR(VLOOKUP(H238,$B$3:$F$69,5,FALSE),"")</f>
        <v/>
      </c>
    </row>
    <row r="239" spans="9:9" x14ac:dyDescent="0.3">
      <c r="I239" s="213" t="str">
        <f>IFERROR(VLOOKUP(H239,$B$3:$F$69,5,FALSE),"")</f>
        <v/>
      </c>
    </row>
    <row r="240" spans="9:9" x14ac:dyDescent="0.3">
      <c r="I240" s="213" t="str">
        <f>IFERROR(VLOOKUP(H240,$B$3:$F$69,5,FALSE),"")</f>
        <v/>
      </c>
    </row>
    <row r="241" spans="9:9" x14ac:dyDescent="0.3">
      <c r="I241" s="213" t="str">
        <f>IFERROR(VLOOKUP(H241,$B$3:$F$69,5,FALSE),"")</f>
        <v/>
      </c>
    </row>
    <row r="242" spans="9:9" x14ac:dyDescent="0.3">
      <c r="I242" s="213" t="str">
        <f>IFERROR(VLOOKUP(H242,$B$3:$F$69,5,FALSE),"")</f>
        <v/>
      </c>
    </row>
    <row r="243" spans="9:9" x14ac:dyDescent="0.3">
      <c r="I243" s="213" t="str">
        <f>IFERROR(VLOOKUP(H243,$B$3:$F$69,5,FALSE),"")</f>
        <v/>
      </c>
    </row>
    <row r="244" spans="9:9" x14ac:dyDescent="0.3">
      <c r="I244" s="213" t="str">
        <f>IFERROR(VLOOKUP(H244,$B$3:$F$69,5,FALSE),"")</f>
        <v/>
      </c>
    </row>
    <row r="245" spans="9:9" x14ac:dyDescent="0.3">
      <c r="I245" s="213" t="str">
        <f>IFERROR(VLOOKUP(H245,$B$3:$F$69,5,FALSE),"")</f>
        <v/>
      </c>
    </row>
    <row r="246" spans="9:9" x14ac:dyDescent="0.3">
      <c r="I246" s="213" t="str">
        <f>IFERROR(VLOOKUP(H246,$B$3:$F$69,5,FALSE),"")</f>
        <v/>
      </c>
    </row>
    <row r="247" spans="9:9" x14ac:dyDescent="0.3">
      <c r="I247" s="213" t="str">
        <f>IFERROR(VLOOKUP(H247,$B$3:$F$69,5,FALSE),"")</f>
        <v/>
      </c>
    </row>
    <row r="248" spans="9:9" x14ac:dyDescent="0.3">
      <c r="I248" s="213" t="str">
        <f>IFERROR(VLOOKUP(H248,$B$3:$F$69,5,FALSE),"")</f>
        <v/>
      </c>
    </row>
    <row r="249" spans="9:9" x14ac:dyDescent="0.3">
      <c r="I249" s="213" t="str">
        <f>IFERROR(VLOOKUP(H249,$B$3:$F$69,5,FALSE),"")</f>
        <v/>
      </c>
    </row>
    <row r="250" spans="9:9" x14ac:dyDescent="0.3">
      <c r="I250" s="213" t="str">
        <f>IFERROR(VLOOKUP(H250,$B$3:$F$69,5,FALSE),"")</f>
        <v/>
      </c>
    </row>
    <row r="251" spans="9:9" x14ac:dyDescent="0.3">
      <c r="I251" s="213" t="str">
        <f>IFERROR(VLOOKUP(H251,$B$3:$F$69,5,FALSE),"")</f>
        <v/>
      </c>
    </row>
    <row r="252" spans="9:9" x14ac:dyDescent="0.3">
      <c r="I252" s="213" t="str">
        <f>IFERROR(VLOOKUP(H252,$B$3:$F$69,5,FALSE),"")</f>
        <v/>
      </c>
    </row>
    <row r="253" spans="9:9" x14ac:dyDescent="0.3">
      <c r="I253" s="213" t="str">
        <f>IFERROR(VLOOKUP(H253,$B$3:$F$69,5,FALSE),"")</f>
        <v/>
      </c>
    </row>
    <row r="254" spans="9:9" x14ac:dyDescent="0.3">
      <c r="I254" s="213" t="str">
        <f>IFERROR(VLOOKUP(H254,$B$3:$F$69,5,FALSE),"")</f>
        <v/>
      </c>
    </row>
    <row r="255" spans="9:9" x14ac:dyDescent="0.3">
      <c r="I255" s="213" t="str">
        <f>IFERROR(VLOOKUP(H255,$B$3:$F$69,5,FALSE),"")</f>
        <v/>
      </c>
    </row>
    <row r="256" spans="9:9" x14ac:dyDescent="0.3">
      <c r="I256" s="213" t="str">
        <f>IFERROR(VLOOKUP(H256,$B$3:$F$69,5,FALSE),"")</f>
        <v/>
      </c>
    </row>
    <row r="257" spans="9:9" x14ac:dyDescent="0.3">
      <c r="I257" s="213" t="str">
        <f>IFERROR(VLOOKUP(H257,$B$3:$F$69,5,FALSE),"")</f>
        <v/>
      </c>
    </row>
    <row r="258" spans="9:9" x14ac:dyDescent="0.3">
      <c r="I258" s="213" t="str">
        <f>IFERROR(VLOOKUP(H258,$B$3:$F$69,5,FALSE),"")</f>
        <v/>
      </c>
    </row>
    <row r="259" spans="9:9" x14ac:dyDescent="0.3">
      <c r="I259" s="213" t="str">
        <f>IFERROR(VLOOKUP(H259,$B$3:$F$69,5,FALSE),"")</f>
        <v/>
      </c>
    </row>
    <row r="260" spans="9:9" x14ac:dyDescent="0.3">
      <c r="I260" s="213" t="str">
        <f>IFERROR(VLOOKUP(H260,$B$3:$F$69,5,FALSE),"")</f>
        <v/>
      </c>
    </row>
    <row r="261" spans="9:9" x14ac:dyDescent="0.3">
      <c r="I261" s="213" t="str">
        <f>IFERROR(VLOOKUP(H261,$B$3:$F$69,5,FALSE),"")</f>
        <v/>
      </c>
    </row>
    <row r="262" spans="9:9" x14ac:dyDescent="0.3">
      <c r="I262" s="213" t="str">
        <f>IFERROR(VLOOKUP(H262,$B$3:$F$69,5,FALSE),"")</f>
        <v/>
      </c>
    </row>
    <row r="263" spans="9:9" x14ac:dyDescent="0.3">
      <c r="I263" s="213" t="str">
        <f>IFERROR(VLOOKUP(H263,$B$3:$F$69,5,FALSE),"")</f>
        <v/>
      </c>
    </row>
    <row r="264" spans="9:9" x14ac:dyDescent="0.3">
      <c r="I264" s="213" t="str">
        <f>IFERROR(VLOOKUP(H264,$B$3:$F$69,5,FALSE),"")</f>
        <v/>
      </c>
    </row>
    <row r="265" spans="9:9" x14ac:dyDescent="0.3">
      <c r="I265" s="213" t="str">
        <f>IFERROR(VLOOKUP(H265,$B$3:$F$69,5,FALSE),"")</f>
        <v/>
      </c>
    </row>
    <row r="266" spans="9:9" x14ac:dyDescent="0.3">
      <c r="I266" s="213" t="str">
        <f>IFERROR(VLOOKUP(H266,$B$3:$F$69,5,FALSE),"")</f>
        <v/>
      </c>
    </row>
    <row r="267" spans="9:9" x14ac:dyDescent="0.3">
      <c r="I267" s="213" t="str">
        <f>IFERROR(VLOOKUP(H267,$B$3:$F$69,5,FALSE),"")</f>
        <v/>
      </c>
    </row>
    <row r="268" spans="9:9" x14ac:dyDescent="0.3">
      <c r="I268" s="213" t="str">
        <f>IFERROR(VLOOKUP(H268,$B$3:$F$69,5,FALSE),"")</f>
        <v/>
      </c>
    </row>
    <row r="269" spans="9:9" x14ac:dyDescent="0.3">
      <c r="I269" s="213" t="str">
        <f>IFERROR(VLOOKUP(H269,$B$3:$F$69,5,FALSE),"")</f>
        <v/>
      </c>
    </row>
    <row r="270" spans="9:9" x14ac:dyDescent="0.3">
      <c r="I270" s="213" t="str">
        <f>IFERROR(VLOOKUP(H270,$B$3:$F$69,5,FALSE),"")</f>
        <v/>
      </c>
    </row>
    <row r="271" spans="9:9" x14ac:dyDescent="0.3">
      <c r="I271" s="213" t="str">
        <f>IFERROR(VLOOKUP(H271,$B$3:$F$69,5,FALSE),"")</f>
        <v/>
      </c>
    </row>
    <row r="272" spans="9:9" x14ac:dyDescent="0.3">
      <c r="I272" s="213" t="str">
        <f>IFERROR(VLOOKUP(H272,$B$3:$F$69,5,FALSE),"")</f>
        <v/>
      </c>
    </row>
    <row r="273" spans="9:9" x14ac:dyDescent="0.3">
      <c r="I273" s="213" t="str">
        <f>IFERROR(VLOOKUP(H273,$B$3:$F$69,5,FALSE),"")</f>
        <v/>
      </c>
    </row>
    <row r="274" spans="9:9" x14ac:dyDescent="0.3">
      <c r="I274" s="213" t="str">
        <f>IFERROR(VLOOKUP(H274,$B$3:$F$69,5,FALSE),"")</f>
        <v/>
      </c>
    </row>
    <row r="275" spans="9:9" x14ac:dyDescent="0.3">
      <c r="I275" s="213" t="str">
        <f>IFERROR(VLOOKUP(H275,$B$3:$F$69,5,FALSE),"")</f>
        <v/>
      </c>
    </row>
    <row r="276" spans="9:9" x14ac:dyDescent="0.3">
      <c r="I276" s="213" t="str">
        <f>IFERROR(VLOOKUP(H276,$B$3:$F$69,5,FALSE),"")</f>
        <v/>
      </c>
    </row>
  </sheetData>
  <customSheetViews>
    <customSheetView guid="{5C7B38D6-29D9-4C20-A92E-817BB499D35F}">
      <selection activeCell="E3" sqref="E3:E65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0A231-D702-478D-A1C9-83AA441444AF}">
  <sheetPr codeName="Sheet2"/>
  <dimension ref="B1:R276"/>
  <sheetViews>
    <sheetView topLeftCell="C79" zoomScale="85" zoomScaleNormal="85" workbookViewId="0">
      <selection activeCell="K84" sqref="K84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4" x14ac:dyDescent="0.3">
      <c r="B1" t="s">
        <v>58</v>
      </c>
      <c r="C1" t="s">
        <v>59</v>
      </c>
    </row>
    <row r="2" spans="2:14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2"/>
      <c r="L2" s="111" t="s">
        <v>69</v>
      </c>
      <c r="M2" s="112" t="s">
        <v>203</v>
      </c>
      <c r="N2" s="112" t="s">
        <v>203</v>
      </c>
    </row>
    <row r="3" spans="2:14" s="1" customFormat="1" x14ac:dyDescent="0.3">
      <c r="B3" s="43" t="s">
        <v>20</v>
      </c>
      <c r="C3" s="41" t="s">
        <v>21</v>
      </c>
      <c r="D3" s="42">
        <v>0.5857</v>
      </c>
      <c r="E3" s="24" t="str">
        <f>IF(IF(B3="MDZ140R","",IFERROR((SUMIF($B$3:$B$74,"MDZ140R",$F$3:$F$74)*INDEX($Q$20:$Q$86,MATCH(B3,$N$20:$N$86,0))),""))=0,"",IF(B3="MDZ140R","",IFERROR((SUMIF($B$3:$B$74,"MDZ140R",$F$3:$F$74)*INDEX($Q$20:$Q$86,MATCH(B3,$N$20:$N$86,0))),"")))</f>
        <v/>
      </c>
      <c r="F3" s="42">
        <f>IF(D3="","",D3+ IF(E3="",0,E3))</f>
        <v>0.5857</v>
      </c>
      <c r="H3" s="202" t="s">
        <v>71</v>
      </c>
      <c r="I3" s="213" t="str">
        <f>IFERROR(VLOOKUP(H3,$B$3:$F$69,5,FALSE),"")</f>
        <v/>
      </c>
      <c r="J3" s="203">
        <f>SUM(I3:I21)</f>
        <v>3.1473000000000004</v>
      </c>
      <c r="L3" s="139" t="s">
        <v>70</v>
      </c>
      <c r="M3" s="140">
        <f>VLOOKUP(L3,$H$3:$J$221,3,FALSE)</f>
        <v>0</v>
      </c>
      <c r="N3" s="138">
        <f>(M3/$M$14)</f>
        <v>0</v>
      </c>
    </row>
    <row r="4" spans="2:14" s="1" customFormat="1" x14ac:dyDescent="0.3">
      <c r="B4" s="43" t="s">
        <v>32</v>
      </c>
      <c r="C4" s="41" t="s">
        <v>33</v>
      </c>
      <c r="D4" s="42">
        <v>3.7900000000000003E-2</v>
      </c>
      <c r="E4" s="24" t="str">
        <f>IF(IF(B4="MDZ140R","",IFERROR((SUMIF($B$3:$B$74,"MDZ140R",$F$3:$F$74)*INDEX($Q$20:$Q$86,MATCH(B4,$N$20:$N$86,0))),""))=0,"",IF(B4="MDZ140R","",IFERROR((SUMIF($B$3:$B$74,"MDZ140R",$F$3:$F$74)*INDEX($Q$20:$Q$86,MATCH(B4,$N$20:$N$86,0))),"")))</f>
        <v/>
      </c>
      <c r="F4" s="42">
        <f t="shared" ref="F4:F86" si="0">IF(D4="","",D4+ IF(E4="",0,E4))</f>
        <v>3.7900000000000003E-2</v>
      </c>
      <c r="H4" s="192" t="s">
        <v>46</v>
      </c>
      <c r="I4" s="213">
        <f>IFERROR(VLOOKUP(H4,$B$3:$F$69,5,FALSE),"")</f>
        <v>0.52210000000000001</v>
      </c>
      <c r="J4" s="204"/>
      <c r="L4" s="56" t="s">
        <v>71</v>
      </c>
      <c r="M4" s="140">
        <f>VLOOKUP(L4,$H$3:$J$221,3,FALSE)</f>
        <v>3.1473000000000004</v>
      </c>
      <c r="N4" s="138">
        <f t="shared" ref="N4:N13" si="1">(M4/$M$14)</f>
        <v>0.15755406487785342</v>
      </c>
    </row>
    <row r="5" spans="2:14" s="1" customFormat="1" x14ac:dyDescent="0.3">
      <c r="B5" s="43" t="s">
        <v>46</v>
      </c>
      <c r="C5" s="41" t="s">
        <v>47</v>
      </c>
      <c r="D5" s="42">
        <v>0.52210000000000001</v>
      </c>
      <c r="E5" s="24" t="str">
        <f>IF(IF(B5="MDZ140R","",IFERROR((SUMIF($B$3:$B$74,"MDZ140R",$F$3:$F$74)*INDEX($Q$20:$Q$86,MATCH(B5,$N$20:$N$86,0))),""))=0,"",IF(B5="MDZ140R","",IFERROR((SUMIF($B$3:$B$74,"MDZ140R",$F$3:$F$74)*INDEX($Q$20:$Q$86,MATCH(B5,$N$20:$N$86,0))),"")))</f>
        <v/>
      </c>
      <c r="F5" s="42">
        <f t="shared" si="0"/>
        <v>0.52210000000000001</v>
      </c>
      <c r="H5" s="192" t="s">
        <v>86</v>
      </c>
      <c r="I5" s="213" t="str">
        <f>IFERROR(VLOOKUP(H5,$B$3:$F$69,5,FALSE),"")</f>
        <v/>
      </c>
      <c r="J5" s="204"/>
      <c r="L5" s="80" t="s">
        <v>72</v>
      </c>
      <c r="M5" s="140">
        <f>VLOOKUP(L5,$H$3:$J$221,3,FALSE)</f>
        <v>0.40944999999999998</v>
      </c>
      <c r="N5" s="138">
        <f t="shared" si="1"/>
        <v>2.0497096515818981E-2</v>
      </c>
    </row>
    <row r="6" spans="2:14" s="1" customFormat="1" x14ac:dyDescent="0.3">
      <c r="B6" s="43" t="s">
        <v>36</v>
      </c>
      <c r="C6" s="41" t="s">
        <v>37</v>
      </c>
      <c r="D6" s="42">
        <v>0.26600000000000001</v>
      </c>
      <c r="E6" s="24" t="str">
        <f>IF(IF(B6="MDZ140R","",IFERROR((SUMIF($B$3:$B$74,"MDZ140R",$F$3:$F$74)*INDEX($Q$20:$Q$86,MATCH(B6,$N$20:$N$86,0))),""))=0,"",IF(B6="MDZ140R","",IFERROR((SUMIF($B$3:$B$74,"MDZ140R",$F$3:$F$74)*INDEX($Q$20:$Q$86,MATCH(B6,$N$20:$N$86,0))),"")))</f>
        <v/>
      </c>
      <c r="F6" s="42">
        <f t="shared" si="0"/>
        <v>0.26600000000000001</v>
      </c>
      <c r="H6" s="192" t="s">
        <v>36</v>
      </c>
      <c r="I6" s="213">
        <f>IFERROR(VLOOKUP(H6,$B$3:$F$69,5,FALSE),"")</f>
        <v>0.26600000000000001</v>
      </c>
      <c r="J6" s="204"/>
      <c r="L6" s="56" t="s">
        <v>73</v>
      </c>
      <c r="M6" s="140">
        <f>VLOOKUP(L6,$H$3:$J$221,3,FALSE)</f>
        <v>2.0569250000000001</v>
      </c>
      <c r="N6" s="138">
        <f t="shared" si="1"/>
        <v>0.10296981377653183</v>
      </c>
    </row>
    <row r="7" spans="2:14" s="1" customFormat="1" x14ac:dyDescent="0.3">
      <c r="B7" s="43" t="s">
        <v>87</v>
      </c>
      <c r="C7" s="41" t="s">
        <v>118</v>
      </c>
      <c r="D7" s="42">
        <v>0.2051</v>
      </c>
      <c r="E7" s="24" t="str">
        <f>IF(IF(B7="MDZ140R","",IFERROR((SUMIF($B$3:$B$74,"MDZ140R",$F$3:$F$74)*INDEX($Q$20:$Q$86,MATCH(B7,$N$20:$N$86,0))),""))=0,"",IF(B7="MDZ140R","",IFERROR((SUMIF($B$3:$B$74,"MDZ140R",$F$3:$F$74)*INDEX($Q$20:$Q$86,MATCH(B7,$N$20:$N$86,0))),"")))</f>
        <v/>
      </c>
      <c r="F7" s="42">
        <f t="shared" si="0"/>
        <v>0.2051</v>
      </c>
      <c r="H7" s="192" t="s">
        <v>87</v>
      </c>
      <c r="I7" s="211">
        <v>0.10255</v>
      </c>
      <c r="J7" s="204"/>
      <c r="L7" s="80" t="s">
        <v>74</v>
      </c>
      <c r="M7" s="140">
        <f>VLOOKUP(L7,$H$3:$J$221,3,FALSE)</f>
        <v>0.41812500000000002</v>
      </c>
      <c r="N7" s="138">
        <f t="shared" si="1"/>
        <v>2.0931367641169402E-2</v>
      </c>
    </row>
    <row r="8" spans="2:14" s="1" customFormat="1" x14ac:dyDescent="0.3">
      <c r="B8" s="43" t="s">
        <v>13</v>
      </c>
      <c r="C8" s="41" t="s">
        <v>68</v>
      </c>
      <c r="D8" s="42">
        <v>8.5199999999999998E-2</v>
      </c>
      <c r="E8" s="24" t="str">
        <f>IF(IF(B8="MDZ140R","",IFERROR((SUMIF($B$3:$B$74,"MDZ140R",$F$3:$F$74)*INDEX($Q$20:$Q$86,MATCH(B8,$N$20:$N$86,0))),""))=0,"",IF(B8="MDZ140R","",IFERROR((SUMIF($B$3:$B$74,"MDZ140R",$F$3:$F$74)*INDEX($Q$20:$Q$86,MATCH(B8,$N$20:$N$86,0))),"")))</f>
        <v/>
      </c>
      <c r="F8" s="42">
        <f t="shared" si="0"/>
        <v>8.5199999999999998E-2</v>
      </c>
      <c r="H8" s="192" t="s">
        <v>88</v>
      </c>
      <c r="I8" s="213" t="str">
        <f>IFERROR(VLOOKUP(H8,$B$3:$F$69,5,FALSE),"")</f>
        <v/>
      </c>
      <c r="J8" s="204"/>
      <c r="L8" s="56" t="s">
        <v>75</v>
      </c>
      <c r="M8" s="140">
        <f>VLOOKUP(L8,$H$3:$J$221,3,FALSE)</f>
        <v>0.42</v>
      </c>
      <c r="N8" s="138">
        <f t="shared" si="1"/>
        <v>2.1025230276331595E-2</v>
      </c>
    </row>
    <row r="9" spans="2:14" s="1" customFormat="1" x14ac:dyDescent="0.3">
      <c r="B9" s="43" t="s">
        <v>31</v>
      </c>
      <c r="C9" s="41" t="s">
        <v>67</v>
      </c>
      <c r="D9" s="42">
        <v>0.81889999999999996</v>
      </c>
      <c r="E9" s="24" t="str">
        <f>IF(IF(B9="MDZ140R","",IFERROR((SUMIF($B$3:$B$74,"MDZ140R",$F$3:$F$74)*INDEX($Q$20:$Q$86,MATCH(B9,$N$20:$N$86,0))),""))=0,"",IF(B9="MDZ140R","",IFERROR((SUMIF($B$3:$B$74,"MDZ140R",$F$3:$F$74)*INDEX($Q$20:$Q$86,MATCH(B9,$N$20:$N$86,0))),"")))</f>
        <v/>
      </c>
      <c r="F9" s="42">
        <f t="shared" si="0"/>
        <v>0.81889999999999996</v>
      </c>
      <c r="H9" s="192" t="s">
        <v>89</v>
      </c>
      <c r="I9" s="213" t="str">
        <f>IFERROR(VLOOKUP(H9,$B$3:$F$69,5,FALSE),"")</f>
        <v/>
      </c>
      <c r="J9" s="204"/>
      <c r="L9" s="80" t="s">
        <v>76</v>
      </c>
      <c r="M9" s="140">
        <f>VLOOKUP(L9,$H$3:$J$221,3,FALSE)</f>
        <v>0</v>
      </c>
      <c r="N9" s="138">
        <f t="shared" si="1"/>
        <v>0</v>
      </c>
    </row>
    <row r="10" spans="2:14" s="1" customFormat="1" x14ac:dyDescent="0.3">
      <c r="B10" s="43" t="s">
        <v>94</v>
      </c>
      <c r="C10" s="41" t="s">
        <v>127</v>
      </c>
      <c r="D10" s="42">
        <v>0.86650000000000005</v>
      </c>
      <c r="E10" s="24" t="str">
        <f>IF(IF(B10="MDZ140R","",IFERROR((SUMIF($B$3:$B$74,"MDZ140R",$F$3:$F$74)*INDEX($Q$20:$Q$86,MATCH(B10,$N$20:$N$86,0))),""))=0,"",IF(B10="MDZ140R","",IFERROR((SUMIF($B$3:$B$74,"MDZ140R",$F$3:$F$74)*INDEX($Q$20:$Q$86,MATCH(B10,$N$20:$N$86,0))),"")))</f>
        <v/>
      </c>
      <c r="F10" s="42">
        <f t="shared" si="0"/>
        <v>0.86650000000000005</v>
      </c>
      <c r="H10" s="192" t="s">
        <v>13</v>
      </c>
      <c r="I10" s="213">
        <f>IFERROR(VLOOKUP(H10,$B$3:$F$69,5,FALSE),"")</f>
        <v>8.5199999999999998E-2</v>
      </c>
      <c r="J10" s="204"/>
      <c r="L10" s="56" t="s">
        <v>77</v>
      </c>
      <c r="M10" s="140">
        <f>VLOOKUP(L10,$H$3:$J$221,3,FALSE)</f>
        <v>11.724200000000002</v>
      </c>
      <c r="N10" s="138">
        <f t="shared" si="1"/>
        <v>0.58691429715658794</v>
      </c>
    </row>
    <row r="11" spans="2:14" s="1" customFormat="1" x14ac:dyDescent="0.3">
      <c r="B11" s="43" t="s">
        <v>95</v>
      </c>
      <c r="C11" s="41" t="s">
        <v>189</v>
      </c>
      <c r="D11" s="42">
        <v>0.89549999999999996</v>
      </c>
      <c r="E11" s="24" t="str">
        <f>IF(IF(B11="MDZ140R","",IFERROR((SUMIF($B$3:$B$74,"MDZ140R",$F$3:$F$74)*INDEX($Q$20:$Q$86,MATCH(B11,$N$20:$N$86,0))),""))=0,"",IF(B11="MDZ140R","",IFERROR((SUMIF($B$3:$B$74,"MDZ140R",$F$3:$F$74)*INDEX($Q$20:$Q$86,MATCH(B11,$N$20:$N$86,0))),"")))</f>
        <v/>
      </c>
      <c r="F11" s="42">
        <f t="shared" si="0"/>
        <v>0.89549999999999996</v>
      </c>
      <c r="H11" s="192" t="s">
        <v>31</v>
      </c>
      <c r="I11" s="211">
        <v>0.40944999999999998</v>
      </c>
      <c r="J11" s="204"/>
      <c r="L11" s="80" t="s">
        <v>78</v>
      </c>
      <c r="M11" s="140">
        <f>VLOOKUP(L11,$H$3:$J$221,3,FALSE)</f>
        <v>0</v>
      </c>
      <c r="N11" s="138">
        <f t="shared" si="1"/>
        <v>0</v>
      </c>
    </row>
    <row r="12" spans="2:14" s="1" customFormat="1" x14ac:dyDescent="0.3">
      <c r="B12" s="43" t="s">
        <v>44</v>
      </c>
      <c r="C12" s="41" t="s">
        <v>146</v>
      </c>
      <c r="D12" s="42">
        <v>0.1125</v>
      </c>
      <c r="E12" s="24" t="str">
        <f>IF(IF(B12="MDZ140R","",IFERROR((SUMIF($B$3:$B$74,"MDZ140R",$F$3:$F$74)*INDEX($Q$20:$Q$86,MATCH(B12,$N$20:$N$86,0))),""))=0,"",IF(B12="MDZ140R","",IFERROR((SUMIF($B$3:$B$74,"MDZ140R",$F$3:$F$74)*INDEX($Q$20:$Q$86,MATCH(B12,$N$20:$N$86,0))),"")))</f>
        <v/>
      </c>
      <c r="F12" s="42">
        <f t="shared" si="0"/>
        <v>0.1125</v>
      </c>
      <c r="H12" s="192" t="s">
        <v>90</v>
      </c>
      <c r="I12" s="213" t="str">
        <f>IFERROR(VLOOKUP(H12,$B$3:$F$69,5,FALSE),"")</f>
        <v/>
      </c>
      <c r="J12" s="204"/>
      <c r="L12" s="56" t="s">
        <v>79</v>
      </c>
      <c r="M12" s="140">
        <f>VLOOKUP(L12,$H$3:$J$221,3,FALSE)</f>
        <v>1.7999999999999998</v>
      </c>
      <c r="N12" s="138">
        <f t="shared" si="1"/>
        <v>9.0108129755706826E-2</v>
      </c>
    </row>
    <row r="13" spans="2:14" s="1" customFormat="1" x14ac:dyDescent="0.3">
      <c r="B13" s="43" t="s">
        <v>38</v>
      </c>
      <c r="C13" s="41" t="s">
        <v>39</v>
      </c>
      <c r="D13" s="42">
        <v>0.78</v>
      </c>
      <c r="E13" s="24" t="str">
        <f>IF(IF(B13="MDZ140R","",IFERROR((SUMIF($B$3:$B$74,"MDZ140R",$F$3:$F$74)*INDEX($Q$20:$Q$86,MATCH(B13,$N$20:$N$86,0))),""))=0,"",IF(B13="MDZ140R","",IFERROR((SUMIF($B$3:$B$74,"MDZ140R",$F$3:$F$74)*INDEX($Q$20:$Q$86,MATCH(B13,$N$20:$N$86,0))),"")))</f>
        <v/>
      </c>
      <c r="F13" s="42">
        <f t="shared" si="0"/>
        <v>0.78</v>
      </c>
      <c r="H13" s="192" t="s">
        <v>91</v>
      </c>
      <c r="I13" s="213" t="str">
        <f>IFERROR(VLOOKUP(H13,$B$3:$F$69,5,FALSE),"")</f>
        <v/>
      </c>
      <c r="J13" s="204"/>
      <c r="L13" s="80" t="s">
        <v>80</v>
      </c>
      <c r="M13" s="140">
        <f>VLOOKUP(L13,$H$3:$J$221,3,FALSE)</f>
        <v>0</v>
      </c>
      <c r="N13" s="138">
        <f t="shared" si="1"/>
        <v>0</v>
      </c>
    </row>
    <row r="14" spans="2:14" s="1" customFormat="1" x14ac:dyDescent="0.3">
      <c r="B14" s="43" t="s">
        <v>9</v>
      </c>
      <c r="C14" s="41" t="s">
        <v>10</v>
      </c>
      <c r="D14" s="42">
        <v>0.2883</v>
      </c>
      <c r="E14" s="24" t="str">
        <f>IF(IF(B14="MDZ140R","",IFERROR((SUMIF($B$3:$B$74,"MDZ140R",$F$3:$F$74)*INDEX($Q$20:$Q$86,MATCH(B14,$N$20:$N$86,0))),""))=0,"",IF(B14="MDZ140R","",IFERROR((SUMIF($B$3:$B$74,"MDZ140R",$F$3:$F$74)*INDEX($Q$20:$Q$86,MATCH(B14,$N$20:$N$86,0))),"")))</f>
        <v/>
      </c>
      <c r="F14" s="42">
        <f t="shared" si="0"/>
        <v>0.2883</v>
      </c>
      <c r="H14" s="192" t="s">
        <v>92</v>
      </c>
      <c r="I14" s="213" t="str">
        <f>IFERROR(VLOOKUP(H14,$B$3:$F$69,5,FALSE),"")</f>
        <v/>
      </c>
      <c r="J14" s="204"/>
      <c r="L14" s="119" t="s">
        <v>81</v>
      </c>
      <c r="M14" s="120">
        <f>SUM(M3:M13)</f>
        <v>19.976000000000003</v>
      </c>
      <c r="N14" s="121">
        <f>SUM(N3:N13)</f>
        <v>0.99999999999999989</v>
      </c>
    </row>
    <row r="15" spans="2:14" s="1" customFormat="1" x14ac:dyDescent="0.3">
      <c r="B15" s="43" t="s">
        <v>119</v>
      </c>
      <c r="C15" s="41" t="s">
        <v>120</v>
      </c>
      <c r="D15" s="42">
        <v>0.30680000000000002</v>
      </c>
      <c r="E15" s="24" t="str">
        <f>IF(IF(B15="MDZ140R","",IFERROR((SUMIF($B$3:$B$74,"MDZ140R",$F$3:$F$74)*INDEX($Q$20:$Q$86,MATCH(B15,$N$20:$N$86,0))),""))=0,"",IF(B15="MDZ140R","",IFERROR((SUMIF($B$3:$B$74,"MDZ140R",$F$3:$F$74)*INDEX($Q$20:$Q$86,MATCH(B15,$N$20:$N$86,0))),"")))</f>
        <v/>
      </c>
      <c r="F15" s="42">
        <f t="shared" si="0"/>
        <v>0.30680000000000002</v>
      </c>
      <c r="H15" s="192" t="s">
        <v>93</v>
      </c>
      <c r="I15" s="213" t="str">
        <f>IFERROR(VLOOKUP(H15,$B$3:$F$69,5,FALSE),"")</f>
        <v/>
      </c>
      <c r="J15" s="204"/>
      <c r="L15" s="122" t="s">
        <v>82</v>
      </c>
      <c r="M15" s="120">
        <f>SUM(M3,M5,M7,M9,M11,M13)</f>
        <v>0.82757499999999995</v>
      </c>
      <c r="N15" s="123">
        <f>SUM(N13,N11,N9,N7,N5,N3)</f>
        <v>4.1428464156988379E-2</v>
      </c>
    </row>
    <row r="16" spans="2:14" s="1" customFormat="1" x14ac:dyDescent="0.3">
      <c r="B16" s="43" t="s">
        <v>133</v>
      </c>
      <c r="C16" s="41" t="s">
        <v>134</v>
      </c>
      <c r="D16" s="42">
        <v>0.59399999999999997</v>
      </c>
      <c r="E16" s="24" t="str">
        <f>IF(IF(B16="MDZ140R","",IFERROR((SUMIF($B$3:$B$74,"MDZ140R",$F$3:$F$74)*INDEX($Q$20:$Q$86,MATCH(B16,$N$20:$N$86,0))),""))=0,"",IF(B16="MDZ140R","",IFERROR((SUMIF($B$3:$B$74,"MDZ140R",$F$3:$F$74)*INDEX($Q$20:$Q$86,MATCH(B16,$N$20:$N$86,0))),"")))</f>
        <v/>
      </c>
      <c r="F16" s="42">
        <f t="shared" si="0"/>
        <v>0.59399999999999997</v>
      </c>
      <c r="H16" s="192" t="s">
        <v>94</v>
      </c>
      <c r="I16" s="211">
        <v>0.86650000000000005</v>
      </c>
      <c r="J16" s="204"/>
    </row>
    <row r="17" spans="2:18" s="1" customFormat="1" x14ac:dyDescent="0.3">
      <c r="B17" s="43" t="s">
        <v>11</v>
      </c>
      <c r="C17" s="41" t="s">
        <v>190</v>
      </c>
      <c r="D17" s="42">
        <v>0.1447</v>
      </c>
      <c r="E17" s="24" t="str">
        <f>IF(IF(B17="MDZ140R","",IFERROR((SUMIF($B$3:$B$74,"MDZ140R",$F$3:$F$74)*INDEX($Q$20:$Q$86,MATCH(B17,$N$20:$N$86,0))),""))=0,"",IF(B17="MDZ140R","",IFERROR((SUMIF($B$3:$B$74,"MDZ140R",$F$3:$F$74)*INDEX($Q$20:$Q$86,MATCH(B17,$N$20:$N$86,0))),"")))</f>
        <v/>
      </c>
      <c r="F17" s="42">
        <f t="shared" si="0"/>
        <v>0.1447</v>
      </c>
      <c r="H17" s="192" t="s">
        <v>95</v>
      </c>
      <c r="I17" s="213">
        <f>IFERROR(VLOOKUP(H17,$B$3:$F$69,5,FALSE),"")</f>
        <v>0.89549999999999996</v>
      </c>
      <c r="J17" s="204"/>
    </row>
    <row r="18" spans="2:18" s="1" customFormat="1" x14ac:dyDescent="0.3">
      <c r="B18" s="43" t="s">
        <v>121</v>
      </c>
      <c r="C18" s="41" t="s">
        <v>122</v>
      </c>
      <c r="D18" s="42">
        <v>0.30499999999999999</v>
      </c>
      <c r="E18" s="24" t="str">
        <f>IF(IF(B18="MDZ140R","",IFERROR((SUMIF($B$3:$B$74,"MDZ140R",$F$3:$F$74)*INDEX($Q$20:$Q$86,MATCH(B18,$N$20:$N$86,0))),""))=0,"",IF(B18="MDZ140R","",IFERROR((SUMIF($B$3:$B$74,"MDZ140R",$F$3:$F$74)*INDEX($Q$20:$Q$86,MATCH(B18,$N$20:$N$86,0))),"")))</f>
        <v/>
      </c>
      <c r="F18" s="42">
        <f t="shared" si="0"/>
        <v>0.30499999999999999</v>
      </c>
      <c r="H18" s="192" t="s">
        <v>96</v>
      </c>
      <c r="I18" s="213" t="str">
        <f>IFERROR(VLOOKUP(H18,$B$3:$F$69,5,FALSE),"")</f>
        <v/>
      </c>
      <c r="J18" s="198"/>
    </row>
    <row r="19" spans="2:18" s="1" customFormat="1" x14ac:dyDescent="0.3">
      <c r="B19" s="43" t="s">
        <v>14</v>
      </c>
      <c r="C19" s="41" t="s">
        <v>15</v>
      </c>
      <c r="D19" s="42">
        <v>0.42</v>
      </c>
      <c r="E19" s="24" t="str">
        <f>IF(IF(B19="MDZ140R","",IFERROR((SUMIF($B$3:$B$74,"MDZ140R",$F$3:$F$74)*INDEX($Q$20:$Q$86,MATCH(B19,$N$20:$N$86,0))),""))=0,"",IF(B19="MDZ140R","",IFERROR((SUMIF($B$3:$B$74,"MDZ140R",$F$3:$F$74)*INDEX($Q$20:$Q$86,MATCH(B19,$N$20:$N$86,0))),"")))</f>
        <v/>
      </c>
      <c r="F19" s="42">
        <f t="shared" si="0"/>
        <v>0.42</v>
      </c>
      <c r="H19" s="192" t="s">
        <v>97</v>
      </c>
      <c r="I19" s="213" t="str">
        <f>IFERROR(VLOOKUP(H19,$B$3:$F$69,5,FALSE),"")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3" t="s">
        <v>61</v>
      </c>
      <c r="C20" s="41" t="s">
        <v>5</v>
      </c>
      <c r="D20" s="42">
        <v>0.95409999999999995</v>
      </c>
      <c r="E20" s="24" t="str">
        <f>IF(IF(B20="MDZ140R","",IFERROR((SUMIF($B$3:$B$74,"MDZ140R",$F$3:$F$74)*INDEX($Q$20:$Q$86,MATCH(B20,$N$20:$N$86,0))),""))=0,"",IF(B20="MDZ140R","",IFERROR((SUMIF($B$3:$B$74,"MDZ140R",$F$3:$F$74)*INDEX($Q$20:$Q$86,MATCH(B20,$N$20:$N$86,0))),"")))</f>
        <v/>
      </c>
      <c r="F20" s="42">
        <f t="shared" si="0"/>
        <v>0.95409999999999995</v>
      </c>
      <c r="H20" s="192" t="s">
        <v>98</v>
      </c>
      <c r="I20" s="213" t="str">
        <f>IFERROR(VLOOKUP(H20,$B$3:$F$69,5,FALSE),"")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3" t="s">
        <v>129</v>
      </c>
      <c r="C21" s="41" t="s">
        <v>130</v>
      </c>
      <c r="D21" s="42">
        <v>0.18590000000000001</v>
      </c>
      <c r="E21" s="24" t="str">
        <f>IF(IF(B21="MDZ140R","",IFERROR((SUMIF($B$3:$B$74,"MDZ140R",$F$3:$F$74)*INDEX($Q$20:$Q$86,MATCH(B21,$N$20:$N$86,0))),""))=0,"",IF(B21="MDZ140R","",IFERROR((SUMIF($B$3:$B$74,"MDZ140R",$F$3:$F$74)*INDEX($Q$20:$Q$86,MATCH(B21,$N$20:$N$86,0))),"")))</f>
        <v/>
      </c>
      <c r="F21" s="42">
        <f t="shared" si="0"/>
        <v>0.18590000000000001</v>
      </c>
      <c r="H21" s="192" t="s">
        <v>99</v>
      </c>
      <c r="I21" s="213" t="str">
        <f>IFERROR(VLOOKUP(H21,$B$3:$F$69,5,FALSE),"")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3" t="s">
        <v>60</v>
      </c>
      <c r="C22" s="41" t="s">
        <v>4</v>
      </c>
      <c r="D22" s="42">
        <v>0.64419999999999999</v>
      </c>
      <c r="E22" s="24" t="str">
        <f>IF(IF(B22="MDZ140R","",IFERROR((SUMIF($B$3:$B$74,"MDZ140R",$F$3:$F$74)*INDEX($Q$20:$Q$86,MATCH(B22,$N$20:$N$86,0))),""))=0,"",IF(B22="MDZ140R","",IFERROR((SUMIF($B$3:$B$74,"MDZ140R",$F$3:$F$74)*INDEX($Q$20:$Q$86,MATCH(B22,$N$20:$N$86,0))),"")))</f>
        <v/>
      </c>
      <c r="F22" s="42">
        <f t="shared" si="0"/>
        <v>0.64419999999999999</v>
      </c>
      <c r="H22" s="197" t="s">
        <v>70</v>
      </c>
      <c r="I22" s="213" t="str">
        <f>IFERROR(VLOOKUP(H22,$B$3:$F$69,5,FALSE),"")</f>
        <v/>
      </c>
      <c r="J22" s="198">
        <f>SUM(I22:I36)</f>
        <v>0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6"/>
      <c r="C23" s="180"/>
      <c r="D23" s="181"/>
      <c r="E23" s="182"/>
      <c r="F23" s="181"/>
      <c r="H23" s="199"/>
      <c r="I23" s="214"/>
      <c r="J23" s="186"/>
      <c r="L23" s="183"/>
      <c r="M23" s="183"/>
      <c r="N23" s="183"/>
      <c r="O23" s="183"/>
      <c r="P23" s="185"/>
      <c r="Q23" s="186"/>
      <c r="R23" s="183"/>
    </row>
    <row r="24" spans="2:18" s="144" customFormat="1" x14ac:dyDescent="0.3">
      <c r="B24" s="176"/>
      <c r="C24" s="180"/>
      <c r="D24" s="181"/>
      <c r="E24" s="182"/>
      <c r="F24" s="181"/>
      <c r="H24" s="199"/>
      <c r="I24" s="213"/>
      <c r="J24" s="186"/>
      <c r="L24" s="183"/>
      <c r="M24" s="183"/>
      <c r="N24" s="183"/>
      <c r="O24" s="183"/>
      <c r="P24" s="185"/>
      <c r="Q24" s="186"/>
      <c r="R24" s="183"/>
    </row>
    <row r="25" spans="2:18" s="144" customFormat="1" x14ac:dyDescent="0.3">
      <c r="B25" s="176"/>
      <c r="C25" s="180"/>
      <c r="D25" s="181"/>
      <c r="E25" s="182"/>
      <c r="F25" s="181"/>
      <c r="H25" s="199"/>
      <c r="I25" s="213"/>
      <c r="J25" s="186"/>
      <c r="L25" s="183"/>
      <c r="M25" s="183"/>
      <c r="N25" s="183"/>
      <c r="O25" s="183"/>
      <c r="P25" s="185"/>
      <c r="Q25" s="186"/>
      <c r="R25" s="183"/>
    </row>
    <row r="26" spans="2:18" s="144" customFormat="1" x14ac:dyDescent="0.3">
      <c r="B26" s="176"/>
      <c r="C26" s="180"/>
      <c r="D26" s="181"/>
      <c r="E26" s="182"/>
      <c r="F26" s="181"/>
      <c r="H26" s="199"/>
      <c r="I26" s="213"/>
      <c r="J26" s="186"/>
      <c r="L26" s="183"/>
      <c r="M26" s="183"/>
      <c r="N26" s="183"/>
      <c r="O26" s="183"/>
      <c r="P26" s="185"/>
      <c r="Q26" s="186"/>
      <c r="R26" s="183"/>
    </row>
    <row r="27" spans="2:18" s="144" customFormat="1" x14ac:dyDescent="0.3">
      <c r="B27" s="176"/>
      <c r="C27" s="180"/>
      <c r="D27" s="181"/>
      <c r="E27" s="182"/>
      <c r="F27" s="181"/>
      <c r="H27" s="192"/>
      <c r="I27" s="213"/>
      <c r="J27" s="204"/>
      <c r="L27" s="183"/>
      <c r="M27" s="183"/>
      <c r="N27" s="183"/>
      <c r="O27" s="183"/>
      <c r="P27" s="185"/>
      <c r="Q27" s="186"/>
      <c r="R27" s="183"/>
    </row>
    <row r="28" spans="2:18" s="144" customFormat="1" x14ac:dyDescent="0.3">
      <c r="B28" s="176"/>
      <c r="C28" s="180"/>
      <c r="D28" s="181"/>
      <c r="E28" s="182"/>
      <c r="F28" s="181"/>
      <c r="H28" s="192"/>
      <c r="I28" s="213"/>
      <c r="J28" s="204"/>
      <c r="L28" s="183"/>
      <c r="M28" s="183"/>
      <c r="N28" s="183"/>
      <c r="O28" s="183"/>
      <c r="P28" s="185"/>
      <c r="Q28" s="186"/>
      <c r="R28" s="183"/>
    </row>
    <row r="29" spans="2:18" s="1" customFormat="1" x14ac:dyDescent="0.3">
      <c r="B29" s="43" t="s">
        <v>114</v>
      </c>
      <c r="C29" s="41" t="s">
        <v>115</v>
      </c>
      <c r="D29" s="42">
        <v>4.3999999999999997E-2</v>
      </c>
      <c r="E29" s="24" t="str">
        <f>IF(IF(B29="MDZ140R","",IFERROR((SUMIF($B$3:$B$74,"MDZ140R",$F$3:$F$74)*INDEX($Q$20:$Q$86,MATCH(B29,$N$20:$N$86,0))),""))=0,"",IF(B29="MDZ140R","",IFERROR((SUMIF($B$3:$B$74,"MDZ140R",$F$3:$F$74)*INDEX($Q$20:$Q$86,MATCH(B29,$N$20:$N$86,0))),"")))</f>
        <v/>
      </c>
      <c r="F29" s="42">
        <f t="shared" si="0"/>
        <v>4.3999999999999997E-2</v>
      </c>
      <c r="H29" s="192"/>
      <c r="I29" s="213"/>
      <c r="J29" s="204"/>
      <c r="L29" s="56"/>
      <c r="M29" s="56"/>
      <c r="N29" s="56" t="s">
        <v>14</v>
      </c>
      <c r="O29" s="56" t="s">
        <v>15</v>
      </c>
      <c r="P29" s="125">
        <v>5</v>
      </c>
      <c r="Q29" s="126">
        <v>2.7321999999999999E-2</v>
      </c>
      <c r="R29" s="56"/>
    </row>
    <row r="30" spans="2:18" s="1" customFormat="1" x14ac:dyDescent="0.3">
      <c r="B30" s="43" t="s">
        <v>116</v>
      </c>
      <c r="C30" s="41" t="s">
        <v>117</v>
      </c>
      <c r="D30" s="42">
        <v>0.57379999999999998</v>
      </c>
      <c r="E30" s="24" t="str">
        <f>IF(IF(B30="MDZ140R","",IFERROR((SUMIF($B$3:$B$74,"MDZ140R",$F$3:$F$74)*INDEX($Q$20:$Q$86,MATCH(B30,$N$20:$N$86,0))),""))=0,"",IF(B30="MDZ140R","",IFERROR((SUMIF($B$3:$B$74,"MDZ140R",$F$3:$F$74)*INDEX($Q$20:$Q$86,MATCH(B30,$N$20:$N$86,0))),"")))</f>
        <v/>
      </c>
      <c r="F30" s="42">
        <f t="shared" si="0"/>
        <v>0.57379999999999998</v>
      </c>
      <c r="H30" s="192"/>
      <c r="I30" s="213"/>
      <c r="J30" s="204"/>
      <c r="L30" s="56"/>
      <c r="M30" s="56"/>
      <c r="N30" s="56" t="s">
        <v>60</v>
      </c>
      <c r="O30" s="56" t="s">
        <v>4</v>
      </c>
      <c r="P30" s="125">
        <v>2</v>
      </c>
      <c r="Q30" s="126">
        <v>1.0928999999999999E-2</v>
      </c>
      <c r="R30" s="56"/>
    </row>
    <row r="31" spans="2:18" s="1" customFormat="1" x14ac:dyDescent="0.3">
      <c r="B31" s="43" t="s">
        <v>62</v>
      </c>
      <c r="C31" s="41" t="s">
        <v>6</v>
      </c>
      <c r="D31" s="42">
        <v>4.2200000000000001E-2</v>
      </c>
      <c r="E31" s="24" t="str">
        <f>IF(IF(B31="MDZ140R","",IFERROR((SUMIF($B$3:$B$74,"MDZ140R",$F$3:$F$74)*INDEX($Q$20:$Q$86,MATCH(B31,$N$20:$N$86,0))),""))=0,"",IF(B31="MDZ140R","",IFERROR((SUMIF($B$3:$B$74,"MDZ140R",$F$3:$F$74)*INDEX($Q$20:$Q$86,MATCH(B31,$N$20:$N$86,0))),"")))</f>
        <v/>
      </c>
      <c r="F31" s="42">
        <f t="shared" si="0"/>
        <v>4.2200000000000001E-2</v>
      </c>
      <c r="H31" s="192"/>
      <c r="I31" s="213" t="str">
        <f>IFERROR(VLOOKUP(H31,$B$3:$F$69,5,FALSE),"")</f>
        <v/>
      </c>
      <c r="J31" s="204"/>
      <c r="L31" s="56"/>
      <c r="M31" s="56"/>
      <c r="N31" s="56" t="s">
        <v>61</v>
      </c>
      <c r="O31" s="56" t="s">
        <v>5</v>
      </c>
      <c r="P31" s="125">
        <v>2</v>
      </c>
      <c r="Q31" s="126">
        <v>1.0928999999999999E-2</v>
      </c>
      <c r="R31" s="56"/>
    </row>
    <row r="32" spans="2:18" s="1" customFormat="1" x14ac:dyDescent="0.3">
      <c r="B32" s="43" t="s">
        <v>48</v>
      </c>
      <c r="C32" s="41" t="s">
        <v>49</v>
      </c>
      <c r="D32" s="42">
        <v>1.8800000000000001E-2</v>
      </c>
      <c r="E32" s="24" t="str">
        <f>IF(IF(B32="MDZ140R","",IFERROR((SUMIF($B$3:$B$74,"MDZ140R",$F$3:$F$74)*INDEX($Q$20:$Q$86,MATCH(B32,$N$20:$N$86,0))),""))=0,"",IF(B32="MDZ140R","",IFERROR((SUMIF($B$3:$B$74,"MDZ140R",$F$3:$F$74)*INDEX($Q$20:$Q$86,MATCH(B32,$N$20:$N$86,0))),"")))</f>
        <v/>
      </c>
      <c r="F32" s="42">
        <f t="shared" si="0"/>
        <v>1.8800000000000001E-2</v>
      </c>
      <c r="H32" s="192"/>
      <c r="I32" s="213" t="str">
        <f>IFERROR(VLOOKUP(H32,$B$3:$F$69,5,FALSE),"")</f>
        <v/>
      </c>
      <c r="J32" s="204"/>
      <c r="L32" s="56"/>
      <c r="M32" s="56"/>
      <c r="N32" s="56" t="s">
        <v>18</v>
      </c>
      <c r="O32" s="56" t="s">
        <v>110</v>
      </c>
      <c r="P32" s="125">
        <v>4</v>
      </c>
      <c r="Q32" s="126">
        <v>2.1857999999999999E-2</v>
      </c>
      <c r="R32" s="56"/>
    </row>
    <row r="33" spans="2:18" s="1" customFormat="1" x14ac:dyDescent="0.3">
      <c r="B33" s="43" t="s">
        <v>63</v>
      </c>
      <c r="C33" s="41" t="s">
        <v>191</v>
      </c>
      <c r="D33" s="42">
        <v>0.45090000000000002</v>
      </c>
      <c r="E33" s="24" t="str">
        <f>IF(IF(B33="MDZ140R","",IFERROR((SUMIF($B$3:$B$74,"MDZ140R",$F$3:$F$74)*INDEX($Q$20:$Q$86,MATCH(B33,$N$20:$N$86,0))),""))=0,"",IF(B33="MDZ140R","",IFERROR((SUMIF($B$3:$B$74,"MDZ140R",$F$3:$F$74)*INDEX($Q$20:$Q$86,MATCH(B33,$N$20:$N$86,0))),"")))</f>
        <v/>
      </c>
      <c r="F33" s="42">
        <f t="shared" si="0"/>
        <v>0.45090000000000002</v>
      </c>
      <c r="H33" s="205"/>
      <c r="I33" s="213" t="str">
        <f>IFERROR(VLOOKUP(H33,$B$3:$F$69,5,FALSE),"")</f>
        <v/>
      </c>
      <c r="J33" s="204"/>
      <c r="L33" s="56"/>
      <c r="M33" s="56"/>
      <c r="N33" s="56" t="s">
        <v>24</v>
      </c>
      <c r="O33" s="56" t="s">
        <v>111</v>
      </c>
      <c r="P33" s="125">
        <v>1</v>
      </c>
      <c r="Q33" s="126">
        <v>5.4640000000000001E-3</v>
      </c>
      <c r="R33" s="56"/>
    </row>
    <row r="34" spans="2:18" s="1" customFormat="1" x14ac:dyDescent="0.3">
      <c r="B34" s="43" t="s">
        <v>131</v>
      </c>
      <c r="C34" s="41" t="s">
        <v>132</v>
      </c>
      <c r="D34" s="42">
        <v>0.74070000000000003</v>
      </c>
      <c r="E34" s="24" t="str">
        <f>IF(IF(B34="MDZ140R","",IFERROR((SUMIF($B$3:$B$74,"MDZ140R",$F$3:$F$74)*INDEX($Q$20:$Q$86,MATCH(B34,$N$20:$N$86,0))),""))=0,"",IF(B34="MDZ140R","",IFERROR((SUMIF($B$3:$B$74,"MDZ140R",$F$3:$F$74)*INDEX($Q$20:$Q$86,MATCH(B34,$N$20:$N$86,0))),"")))</f>
        <v/>
      </c>
      <c r="F34" s="42">
        <f t="shared" si="0"/>
        <v>0.74070000000000003</v>
      </c>
      <c r="H34" s="192"/>
      <c r="I34" s="213" t="str">
        <f>IFERROR(VLOOKUP(H34,$B$3:$F$69,5,FALSE),"")</f>
        <v/>
      </c>
      <c r="J34" s="198"/>
      <c r="L34" s="56"/>
      <c r="M34" s="56"/>
      <c r="N34" s="56" t="s">
        <v>64</v>
      </c>
      <c r="O34" s="127">
        <v>4020</v>
      </c>
      <c r="P34" s="125">
        <v>3</v>
      </c>
      <c r="Q34" s="126">
        <v>1.6393000000000001E-2</v>
      </c>
      <c r="R34" s="56"/>
    </row>
    <row r="35" spans="2:18" s="1" customFormat="1" x14ac:dyDescent="0.3">
      <c r="B35" s="43" t="s">
        <v>64</v>
      </c>
      <c r="C35" s="41" t="s">
        <v>192</v>
      </c>
      <c r="D35" s="42">
        <v>0.30599999999999999</v>
      </c>
      <c r="E35" s="24" t="str">
        <f>IF(IF(B35="MDZ140R","",IFERROR((SUMIF($B$3:$B$74,"MDZ140R",$F$3:$F$74)*INDEX($Q$20:$Q$86,MATCH(B35,$N$20:$N$86,0))),""))=0,"",IF(B35="MDZ140R","",IFERROR((SUMIF($B$3:$B$74,"MDZ140R",$F$3:$F$74)*INDEX($Q$20:$Q$86,MATCH(B35,$N$20:$N$86,0))),"")))</f>
        <v/>
      </c>
      <c r="F35" s="42">
        <f t="shared" si="0"/>
        <v>0.30599999999999999</v>
      </c>
      <c r="H35" s="192"/>
      <c r="I35" s="213" t="str">
        <f>IFERROR(VLOOKUP(H35,$B$3:$F$69,5,FALSE),"")</f>
        <v/>
      </c>
      <c r="J35" s="198"/>
      <c r="L35" s="56"/>
      <c r="M35" s="56"/>
      <c r="N35" s="56" t="s">
        <v>34</v>
      </c>
      <c r="O35" s="56" t="s">
        <v>112</v>
      </c>
      <c r="P35" s="125">
        <v>2</v>
      </c>
      <c r="Q35" s="126">
        <v>1.0928999999999999E-2</v>
      </c>
      <c r="R35" s="56"/>
    </row>
    <row r="36" spans="2:18" s="1" customFormat="1" x14ac:dyDescent="0.3">
      <c r="B36" s="43" t="s">
        <v>24</v>
      </c>
      <c r="C36" s="41" t="s">
        <v>193</v>
      </c>
      <c r="D36" s="42">
        <v>0.53129999999999999</v>
      </c>
      <c r="E36" s="24" t="str">
        <f>IF(IF(B36="MDZ140R","",IFERROR((SUMIF($B$3:$B$74,"MDZ140R",$F$3:$F$74)*INDEX($Q$20:$Q$86,MATCH(B36,$N$20:$N$86,0))),""))=0,"",IF(B36="MDZ140R","",IFERROR((SUMIF($B$3:$B$74,"MDZ140R",$F$3:$F$74)*INDEX($Q$20:$Q$86,MATCH(B36,$N$20:$N$86,0))),"")))</f>
        <v/>
      </c>
      <c r="F36" s="42">
        <f t="shared" si="0"/>
        <v>0.53129999999999999</v>
      </c>
      <c r="H36" s="189"/>
      <c r="I36" s="213" t="str">
        <f>IFERROR(VLOOKUP(H36,$B$3:$F$69,5,FALSE),"")</f>
        <v/>
      </c>
      <c r="J36" s="198"/>
      <c r="L36" s="56"/>
      <c r="M36" s="56"/>
      <c r="N36" s="56" t="s">
        <v>63</v>
      </c>
      <c r="O36" s="56" t="s">
        <v>23</v>
      </c>
      <c r="P36" s="125">
        <v>1</v>
      </c>
      <c r="Q36" s="126">
        <v>5.4640000000000001E-3</v>
      </c>
      <c r="R36" s="56"/>
    </row>
    <row r="37" spans="2:18" s="1" customFormat="1" x14ac:dyDescent="0.3">
      <c r="B37" s="43" t="s">
        <v>34</v>
      </c>
      <c r="C37" s="41" t="s">
        <v>35</v>
      </c>
      <c r="D37" s="42">
        <v>0.63449999999999995</v>
      </c>
      <c r="E37" s="24" t="str">
        <f>IF(IF(B37="MDZ140R","",IFERROR((SUMIF($B$3:$B$74,"MDZ140R",$F$3:$F$74)*INDEX($Q$20:$Q$86,MATCH(B37,$N$20:$N$86,0))),""))=0,"",IF(B37="MDZ140R","",IFERROR((SUMIF($B$3:$B$74,"MDZ140R",$F$3:$F$74)*INDEX($Q$20:$Q$86,MATCH(B37,$N$20:$N$86,0))),"")))</f>
        <v/>
      </c>
      <c r="F37" s="42">
        <f t="shared" si="0"/>
        <v>0.63449999999999995</v>
      </c>
      <c r="H37" s="189" t="s">
        <v>72</v>
      </c>
      <c r="I37" s="213" t="str">
        <f>IFERROR(VLOOKUP(H37,$B$3:$F$69,5,FALSE),"")</f>
        <v/>
      </c>
      <c r="J37" s="191">
        <f>SUM(I37:I82)</f>
        <v>0.40944999999999998</v>
      </c>
      <c r="L37" s="56"/>
      <c r="M37" s="56"/>
      <c r="N37" s="56" t="s">
        <v>7</v>
      </c>
      <c r="O37" s="56" t="s">
        <v>8</v>
      </c>
      <c r="P37" s="125">
        <v>1</v>
      </c>
      <c r="Q37" s="126">
        <v>5.4640000000000001E-3</v>
      </c>
      <c r="R37" s="56"/>
    </row>
    <row r="38" spans="2:18" s="144" customFormat="1" x14ac:dyDescent="0.3">
      <c r="B38" s="176"/>
      <c r="C38" s="180"/>
      <c r="D38" s="181"/>
      <c r="E38" s="182"/>
      <c r="F38" s="181"/>
      <c r="H38" s="183" t="s">
        <v>386</v>
      </c>
      <c r="I38" s="214">
        <v>0.40944999999999998</v>
      </c>
      <c r="J38" s="184"/>
      <c r="L38" s="183"/>
      <c r="M38" s="183"/>
      <c r="N38" s="183"/>
      <c r="O38" s="183"/>
      <c r="P38" s="185"/>
      <c r="Q38" s="186"/>
      <c r="R38" s="183"/>
    </row>
    <row r="39" spans="2:18" s="144" customFormat="1" x14ac:dyDescent="0.3">
      <c r="B39" s="176"/>
      <c r="C39" s="180"/>
      <c r="D39" s="181"/>
      <c r="E39" s="182"/>
      <c r="F39" s="181"/>
      <c r="H39" s="183"/>
      <c r="I39" s="215"/>
      <c r="J39" s="184"/>
      <c r="L39" s="183"/>
      <c r="M39" s="183"/>
      <c r="N39" s="183"/>
      <c r="O39" s="183"/>
      <c r="P39" s="185"/>
      <c r="Q39" s="186"/>
      <c r="R39" s="183"/>
    </row>
    <row r="40" spans="2:18" s="1" customFormat="1" x14ac:dyDescent="0.3">
      <c r="B40" s="43" t="s">
        <v>50</v>
      </c>
      <c r="C40" s="41" t="s">
        <v>51</v>
      </c>
      <c r="D40" s="42">
        <v>0.15</v>
      </c>
      <c r="E40" s="24" t="str">
        <f>IF(IF(B40="MDZ140R","",IFERROR((SUMIF($B$3:$B$74,"MDZ140R",$F$3:$F$74)*INDEX($Q$20:$Q$86,MATCH(B40,$N$20:$N$86,0))),""))=0,"",IF(B40="MDZ140R","",IFERROR((SUMIF($B$3:$B$74,"MDZ140R",$F$3:$F$74)*INDEX($Q$20:$Q$86,MATCH(B40,$N$20:$N$86,0))),"")))</f>
        <v/>
      </c>
      <c r="F40" s="42">
        <f t="shared" si="0"/>
        <v>0.15</v>
      </c>
      <c r="H40" s="183"/>
      <c r="I40" s="213"/>
      <c r="J40" s="184"/>
      <c r="L40" s="56"/>
      <c r="M40" s="56"/>
      <c r="N40" s="56" t="s">
        <v>27</v>
      </c>
      <c r="O40" s="56" t="s">
        <v>113</v>
      </c>
      <c r="P40" s="125">
        <v>1</v>
      </c>
      <c r="Q40" s="126">
        <v>5.4640000000000001E-3</v>
      </c>
      <c r="R40" s="56"/>
    </row>
    <row r="41" spans="2:18" s="144" customFormat="1" x14ac:dyDescent="0.3">
      <c r="B41" s="176"/>
      <c r="C41" s="180"/>
      <c r="D41" s="181"/>
      <c r="E41" s="182"/>
      <c r="F41" s="181"/>
      <c r="H41" s="183"/>
      <c r="I41" s="213"/>
      <c r="J41" s="184"/>
      <c r="L41" s="183"/>
      <c r="M41" s="183"/>
      <c r="N41" s="183"/>
      <c r="O41" s="183"/>
      <c r="P41" s="185"/>
      <c r="Q41" s="186"/>
      <c r="R41" s="183"/>
    </row>
    <row r="42" spans="2:18" s="144" customFormat="1" x14ac:dyDescent="0.3">
      <c r="B42" s="176"/>
      <c r="C42" s="180"/>
      <c r="D42" s="181"/>
      <c r="E42" s="182"/>
      <c r="F42" s="181"/>
      <c r="H42" s="189"/>
      <c r="I42" s="213" t="str">
        <f>IFERROR(VLOOKUP(H42,$B$3:$F$69,5,FALSE),"")</f>
        <v/>
      </c>
      <c r="J42" s="191"/>
      <c r="L42" s="183"/>
      <c r="M42" s="183"/>
      <c r="N42" s="183"/>
      <c r="O42" s="183"/>
      <c r="P42" s="185"/>
      <c r="Q42" s="186"/>
      <c r="R42" s="183"/>
    </row>
    <row r="43" spans="2:18" s="144" customFormat="1" x14ac:dyDescent="0.3">
      <c r="B43" s="176"/>
      <c r="C43" s="180"/>
      <c r="D43" s="181"/>
      <c r="E43" s="182"/>
      <c r="F43" s="181"/>
      <c r="H43" s="192"/>
      <c r="I43" s="213" t="str">
        <f>IFERROR(VLOOKUP(H43,$B$3:$F$69,5,FALSE),"")</f>
        <v/>
      </c>
      <c r="J43" s="206"/>
      <c r="L43" s="183"/>
      <c r="M43" s="183"/>
      <c r="N43" s="183"/>
      <c r="O43" s="183"/>
      <c r="P43" s="185"/>
      <c r="Q43" s="186"/>
      <c r="R43" s="183"/>
    </row>
    <row r="44" spans="2:18" s="144" customFormat="1" x14ac:dyDescent="0.3">
      <c r="B44" s="176"/>
      <c r="C44" s="180"/>
      <c r="D44" s="181"/>
      <c r="E44" s="182"/>
      <c r="F44" s="181"/>
      <c r="H44" s="192"/>
      <c r="I44" s="213" t="str">
        <f>IFERROR(VLOOKUP(H44,$B$3:$F$69,5,FALSE),"")</f>
        <v/>
      </c>
      <c r="J44" s="206"/>
      <c r="L44" s="183"/>
      <c r="M44" s="183"/>
      <c r="N44" s="183"/>
      <c r="O44" s="183"/>
      <c r="P44" s="185"/>
      <c r="Q44" s="186"/>
      <c r="R44" s="183"/>
    </row>
    <row r="45" spans="2:18" s="144" customFormat="1" x14ac:dyDescent="0.3">
      <c r="B45" s="176"/>
      <c r="C45" s="180"/>
      <c r="D45" s="181"/>
      <c r="E45" s="182"/>
      <c r="F45" s="181"/>
      <c r="H45" s="192"/>
      <c r="I45" s="213" t="str">
        <f>IFERROR(VLOOKUP(H45,$B$3:$F$69,5,FALSE),"")</f>
        <v/>
      </c>
      <c r="J45" s="206"/>
      <c r="L45" s="183"/>
      <c r="M45" s="183"/>
      <c r="N45" s="183"/>
      <c r="O45" s="183"/>
      <c r="P45" s="185"/>
      <c r="Q45" s="186"/>
      <c r="R45" s="183"/>
    </row>
    <row r="46" spans="2:18" s="144" customFormat="1" x14ac:dyDescent="0.3">
      <c r="B46" s="176"/>
      <c r="C46" s="180"/>
      <c r="D46" s="181"/>
      <c r="E46" s="182"/>
      <c r="F46" s="181"/>
      <c r="H46" s="192"/>
      <c r="I46" s="213" t="str">
        <f>IFERROR(VLOOKUP(H46,$B$3:$F$69,5,FALSE),"")</f>
        <v/>
      </c>
      <c r="J46" s="206"/>
      <c r="L46" s="183"/>
      <c r="M46" s="183"/>
      <c r="N46" s="183"/>
      <c r="O46" s="183"/>
      <c r="P46" s="185"/>
      <c r="Q46" s="186"/>
      <c r="R46" s="183"/>
    </row>
    <row r="47" spans="2:18" s="144" customFormat="1" x14ac:dyDescent="0.3">
      <c r="B47" s="176"/>
      <c r="C47" s="180"/>
      <c r="D47" s="181"/>
      <c r="E47" s="182"/>
      <c r="F47" s="181"/>
      <c r="H47" s="192"/>
      <c r="I47" s="213" t="str">
        <f>IFERROR(VLOOKUP(H47,$B$3:$F$69,5,FALSE),"")</f>
        <v/>
      </c>
      <c r="J47" s="206"/>
      <c r="L47" s="183"/>
      <c r="M47" s="183"/>
      <c r="N47" s="183"/>
      <c r="O47" s="183"/>
      <c r="P47" s="185"/>
      <c r="Q47" s="186"/>
      <c r="R47" s="183"/>
    </row>
    <row r="48" spans="2:18" s="144" customFormat="1" x14ac:dyDescent="0.3">
      <c r="B48" s="176"/>
      <c r="C48" s="180"/>
      <c r="D48" s="181"/>
      <c r="E48" s="182"/>
      <c r="F48" s="181"/>
      <c r="H48" s="192"/>
      <c r="I48" s="213" t="str">
        <f>IFERROR(VLOOKUP(H48,$B$3:$F$69,5,FALSE),"")</f>
        <v/>
      </c>
      <c r="J48" s="206"/>
      <c r="L48" s="183"/>
      <c r="M48" s="183"/>
      <c r="N48" s="183"/>
      <c r="O48" s="183"/>
      <c r="P48" s="185"/>
      <c r="Q48" s="186"/>
      <c r="R48" s="183"/>
    </row>
    <row r="49" spans="2:18" s="144" customFormat="1" x14ac:dyDescent="0.3">
      <c r="B49" s="43" t="s">
        <v>27</v>
      </c>
      <c r="C49" s="43" t="s">
        <v>28</v>
      </c>
      <c r="D49" s="42">
        <v>0.4899</v>
      </c>
      <c r="E49" s="24" t="str">
        <f>IF(IF(B49="MDZ140R","",IFERROR((SUMIF($B$3:$B$74,"MDZ140R",$F$3:$F$74)*INDEX($Q$20:$Q$86,MATCH(B49,$N$20:$N$86,0))),""))=0,"",IF(B49="MDZ140R","",IFERROR((SUMIF($B$3:$B$74,"MDZ140R",$F$3:$F$74)*INDEX($Q$20:$Q$86,MATCH(B49,$N$20:$N$86,0))),"")))</f>
        <v/>
      </c>
      <c r="F49" s="42">
        <f t="shared" ref="F49:F70" si="2">IF(D49="","",D49+ IF(E49="",0,E49))</f>
        <v>0.4899</v>
      </c>
      <c r="H49" s="192"/>
      <c r="I49" s="213" t="str">
        <f>IFERROR(VLOOKUP(H49,$B$3:$F$69,5,FALSE),"")</f>
        <v/>
      </c>
      <c r="J49" s="206"/>
      <c r="L49" s="145"/>
      <c r="M49" s="145"/>
      <c r="N49" s="145"/>
      <c r="O49" s="145"/>
      <c r="P49" s="147"/>
      <c r="Q49" s="148"/>
      <c r="R49" s="145"/>
    </row>
    <row r="50" spans="2:18" s="1" customFormat="1" x14ac:dyDescent="0.3">
      <c r="B50" s="89" t="s">
        <v>135</v>
      </c>
      <c r="C50" s="43" t="s">
        <v>136</v>
      </c>
      <c r="D50" s="42">
        <v>0.92349999999999999</v>
      </c>
      <c r="E50" s="24" t="str">
        <f>IF(IF(B50="MDZ140R","",IFERROR((SUMIF($B$3:$B$74,"MDZ140R",$F$3:$F$74)*INDEX($Q$20:$Q$86,MATCH(B50,$N$20:$N$86,0))),""))=0,"",IF(B50="MDZ140R","",IFERROR((SUMIF($B$3:$B$74,"MDZ140R",$F$3:$F$74)*INDEX($Q$20:$Q$86,MATCH(B50,$N$20:$N$86,0))),"")))</f>
        <v/>
      </c>
      <c r="F50" s="42">
        <f t="shared" si="2"/>
        <v>0.92349999999999999</v>
      </c>
      <c r="H50" s="192"/>
      <c r="I50" s="213" t="str">
        <f>IFERROR(VLOOKUP(H50,$B$3:$F$69,5,FALSE),"")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89" t="s">
        <v>123</v>
      </c>
      <c r="C51" s="43" t="s">
        <v>124</v>
      </c>
      <c r="D51" s="42">
        <v>0.78769999999999996</v>
      </c>
      <c r="E51" s="24" t="str">
        <f>IF(IF(B51="MDZ140R","",IFERROR((SUMIF($B$3:$B$74,"MDZ140R",$F$3:$F$74)*INDEX($Q$20:$Q$86,MATCH(B51,$N$20:$N$86,0))),""))=0,"",IF(B51="MDZ140R","",IFERROR((SUMIF($B$3:$B$74,"MDZ140R",$F$3:$F$74)*INDEX($Q$20:$Q$86,MATCH(B51,$N$20:$N$86,0))),"")))</f>
        <v/>
      </c>
      <c r="F51" s="42">
        <f t="shared" si="2"/>
        <v>0.78769999999999996</v>
      </c>
      <c r="H51" s="192"/>
      <c r="I51" s="213" t="str">
        <f>IFERROR(VLOOKUP(H51,$B$3:$F$69,5,FALSE),"")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 t="s">
        <v>125</v>
      </c>
      <c r="C52" s="43" t="s">
        <v>126</v>
      </c>
      <c r="D52" s="42">
        <v>0.15160000000000001</v>
      </c>
      <c r="E52" s="24" t="str">
        <f>IF(IF(B52="MDZ140R","",IFERROR((SUMIF($B$3:$B$74,"MDZ140R",$F$3:$F$74)*INDEX($Q$20:$Q$86,MATCH(B52,$N$20:$N$86,0))),""))=0,"",IF(B52="MDZ140R","",IFERROR((SUMIF($B$3:$B$74,"MDZ140R",$F$3:$F$74)*INDEX($Q$20:$Q$86,MATCH(B52,$N$20:$N$86,0))),"")))</f>
        <v/>
      </c>
      <c r="F52" s="42">
        <f t="shared" si="2"/>
        <v>0.15160000000000001</v>
      </c>
      <c r="H52" s="192"/>
      <c r="I52" s="213" t="str">
        <f>IFERROR(VLOOKUP(H52,$B$3:$F$69,5,FALSE),"")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 t="s">
        <v>65</v>
      </c>
      <c r="C53" s="43" t="s">
        <v>40</v>
      </c>
      <c r="D53" s="42">
        <v>0.29759999999999998</v>
      </c>
      <c r="E53" s="24" t="str">
        <f>IF(IF(B53="MDZ140R","",IFERROR((SUMIF($B$3:$B$74,"MDZ140R",$F$3:$F$74)*INDEX($Q$20:$Q$86,MATCH(B53,$N$20:$N$86,0))),""))=0,"",IF(B53="MDZ140R","",IFERROR((SUMIF($B$3:$B$74,"MDZ140R",$F$3:$F$74)*INDEX($Q$20:$Q$86,MATCH(B53,$N$20:$N$86,0))),"")))</f>
        <v/>
      </c>
      <c r="F53" s="42">
        <f t="shared" si="2"/>
        <v>0.29759999999999998</v>
      </c>
      <c r="H53" s="192"/>
      <c r="I53" s="213" t="str">
        <f>IFERROR(VLOOKUP(H53,$B$3:$F$69,5,FALSE),"")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 t="s">
        <v>41</v>
      </c>
      <c r="C54" s="43" t="s">
        <v>66</v>
      </c>
      <c r="D54" s="42">
        <v>0.9909</v>
      </c>
      <c r="E54" s="24" t="str">
        <f>IF(IF(B54="MDZ140R","",IFERROR((SUMIF($B$3:$B$74,"MDZ140R",$F$3:$F$74)*INDEX($Q$20:$Q$86,MATCH(B54,$N$20:$N$86,0))),""))=0,"",IF(B54="MDZ140R","",IFERROR((SUMIF($B$3:$B$74,"MDZ140R",$F$3:$F$74)*INDEX($Q$20:$Q$86,MATCH(B54,$N$20:$N$86,0))),"")))</f>
        <v/>
      </c>
      <c r="F54" s="42">
        <f t="shared" si="2"/>
        <v>0.9909</v>
      </c>
      <c r="H54" s="192"/>
      <c r="I54" s="213" t="str">
        <f>IFERROR(VLOOKUP(H54,$B$3:$F$69,5,FALSE),"")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89" t="s">
        <v>42</v>
      </c>
      <c r="C55" s="43" t="s">
        <v>43</v>
      </c>
      <c r="D55" s="42">
        <v>7.8100000000000003E-2</v>
      </c>
      <c r="E55" s="24" t="str">
        <f>IF(IF(B55="MDZ140R","",IFERROR((SUMIF($B$3:$B$74,"MDZ140R",$F$3:$F$74)*INDEX($Q$20:$Q$86,MATCH(B55,$N$20:$N$86,0))),""))=0,"",IF(B55="MDZ140R","",IFERROR((SUMIF($B$3:$B$74,"MDZ140R",$F$3:$F$74)*INDEX($Q$20:$Q$86,MATCH(B55,$N$20:$N$86,0))),"")))</f>
        <v/>
      </c>
      <c r="F55" s="42">
        <f t="shared" si="2"/>
        <v>7.8100000000000003E-2</v>
      </c>
      <c r="H55" s="192"/>
      <c r="I55" s="213" t="str">
        <f>IFERROR(VLOOKUP(H55,$B$3:$F$69,5,FALSE),"")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89" t="s">
        <v>29</v>
      </c>
      <c r="C56" s="43" t="s">
        <v>30</v>
      </c>
      <c r="D56" s="42">
        <v>6.0299999999999999E-2</v>
      </c>
      <c r="E56" s="24" t="str">
        <f>IF(IF(B56="MDZ140R","",IFERROR((SUMIF($B$3:$B$74,"MDZ140R",$F$3:$F$74)*INDEX($Q$20:$Q$86,MATCH(B56,$N$20:$N$86,0))),""))=0,"",IF(B56="MDZ140R","",IFERROR((SUMIF($B$3:$B$74,"MDZ140R",$F$3:$F$74)*INDEX($Q$20:$Q$86,MATCH(B56,$N$20:$N$86,0))),"")))</f>
        <v/>
      </c>
      <c r="F56" s="42">
        <f t="shared" si="2"/>
        <v>6.0299999999999999E-2</v>
      </c>
      <c r="H56" s="192"/>
      <c r="I56" s="213" t="str">
        <f>IFERROR(VLOOKUP(H56,$B$3:$F$69,5,FALSE),"")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89" t="s">
        <v>16</v>
      </c>
      <c r="C57" s="43" t="s">
        <v>17</v>
      </c>
      <c r="D57" s="42">
        <v>0.71099999999999997</v>
      </c>
      <c r="E57" s="24" t="str">
        <f>IF(IF(B57="MDZ140R","",IFERROR((SUMIF($B$3:$B$74,"MDZ140R",$F$3:$F$74)*INDEX($Q$20:$Q$86,MATCH(B57,$N$20:$N$86,0))),""))=0,"",IF(B57="MDZ140R","",IFERROR((SUMIF($B$3:$B$74,"MDZ140R",$F$3:$F$74)*INDEX($Q$20:$Q$86,MATCH(B57,$N$20:$N$86,0))),"")))</f>
        <v/>
      </c>
      <c r="F57" s="42">
        <f t="shared" si="2"/>
        <v>0.71099999999999997</v>
      </c>
      <c r="H57" s="192"/>
      <c r="I57" s="213" t="str">
        <f>IFERROR(VLOOKUP(H57,$B$3:$F$69,5,FALSE),"")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 t="s">
        <v>18</v>
      </c>
      <c r="C58" s="43" t="s">
        <v>19</v>
      </c>
      <c r="D58" s="42">
        <v>0.96409999999999996</v>
      </c>
      <c r="E58" s="24" t="str">
        <f>IF(IF(B58="MDZ140R","",IFERROR((SUMIF($B$3:$B$74,"MDZ140R",$F$3:$F$74)*INDEX($Q$20:$Q$86,MATCH(B58,$N$20:$N$86,0))),""))=0,"",IF(B58="MDZ140R","",IFERROR((SUMIF($B$3:$B$74,"MDZ140R",$F$3:$F$74)*INDEX($Q$20:$Q$86,MATCH(B58,$N$20:$N$86,0))),"")))</f>
        <v/>
      </c>
      <c r="F58" s="42">
        <f t="shared" si="2"/>
        <v>0.96409999999999996</v>
      </c>
      <c r="H58" s="192"/>
      <c r="I58" s="213" t="str">
        <f>IFERROR(VLOOKUP(H58,$B$3:$F$69,5,FALSE),"")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 t="s">
        <v>45</v>
      </c>
      <c r="C59" s="43" t="s">
        <v>183</v>
      </c>
      <c r="D59" s="42">
        <v>1.8800000000000001E-2</v>
      </c>
      <c r="E59" s="24" t="str">
        <f>IF(IF(B59="MDZ140R","",IFERROR((SUMIF($B$3:$B$74,"MDZ140R",$F$3:$F$74)*INDEX($Q$20:$Q$86,MATCH(B59,$N$20:$N$86,0))),""))=0,"",IF(B59="MDZ140R","",IFERROR((SUMIF($B$3:$B$74,"MDZ140R",$F$3:$F$74)*INDEX($Q$20:$Q$86,MATCH(B59,$N$20:$N$86,0))),"")))</f>
        <v/>
      </c>
      <c r="F59" s="42">
        <f t="shared" si="2"/>
        <v>1.8800000000000001E-2</v>
      </c>
      <c r="H59" s="192"/>
      <c r="I59" s="213" t="str">
        <f>IFERROR(VLOOKUP(H59,$B$3:$F$69,5,FALSE),"")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 t="s">
        <v>53</v>
      </c>
      <c r="C60" s="43" t="s">
        <v>54</v>
      </c>
      <c r="D60" s="42">
        <v>0.45419999999999999</v>
      </c>
      <c r="E60" s="24" t="str">
        <f>IF(IF(B60="MDZ140R","",IFERROR((SUMIF($B$3:$B$74,"MDZ140R",$F$3:$F$74)*INDEX($Q$20:$Q$86,MATCH(B60,$N$20:$N$86,0))),""))=0,"",IF(B60="MDZ140R","",IFERROR((SUMIF($B$3:$B$74,"MDZ140R",$F$3:$F$74)*INDEX($Q$20:$Q$86,MATCH(B60,$N$20:$N$86,0))),"")))</f>
        <v/>
      </c>
      <c r="F60" s="42">
        <f t="shared" si="2"/>
        <v>0.45419999999999999</v>
      </c>
      <c r="H60" s="192"/>
      <c r="I60" s="213" t="str">
        <f>IFERROR(VLOOKUP(H60,$B$3:$F$69,5,FALSE),"")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 t="s">
        <v>52</v>
      </c>
      <c r="C61" s="43" t="s">
        <v>184</v>
      </c>
      <c r="D61" s="42">
        <v>0.81640000000000001</v>
      </c>
      <c r="E61" s="24" t="str">
        <f>IF(IF(B61="MDZ140R","",IFERROR((SUMIF($B$3:$B$74,"MDZ140R",$F$3:$F$74)*INDEX($Q$20:$Q$86,MATCH(B61,$N$20:$N$86,0))),""))=0,"",IF(B61="MDZ140R","",IFERROR((SUMIF($B$3:$B$74,"MDZ140R",$F$3:$F$74)*INDEX($Q$20:$Q$86,MATCH(B61,$N$20:$N$86,0))),"")))</f>
        <v/>
      </c>
      <c r="F61" s="42">
        <f t="shared" si="2"/>
        <v>0.81640000000000001</v>
      </c>
      <c r="H61" s="192"/>
      <c r="I61" s="213" t="str">
        <f>IFERROR(VLOOKUP(H61,$B$3:$F$69,5,FALSE),"")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 t="s">
        <v>55</v>
      </c>
      <c r="C62" s="43" t="s">
        <v>56</v>
      </c>
      <c r="D62" s="42">
        <v>0.84370000000000001</v>
      </c>
      <c r="E62" s="24" t="str">
        <f>IF(IF(B62="MDZ140R","",IFERROR((SUMIF($B$3:$B$74,"MDZ140R",$F$3:$F$74)*INDEX($Q$20:$Q$86,MATCH(B62,$N$20:$N$86,0))),""))=0,"",IF(B62="MDZ140R","",IFERROR((SUMIF($B$3:$B$74,"MDZ140R",$F$3:$F$74)*INDEX($Q$20:$Q$86,MATCH(B62,$N$20:$N$86,0))),"")))</f>
        <v/>
      </c>
      <c r="F62" s="42">
        <f t="shared" si="2"/>
        <v>0.84370000000000001</v>
      </c>
      <c r="H62" s="192"/>
      <c r="I62" s="213" t="str">
        <f>IFERROR(VLOOKUP(H62,$B$3:$F$69,5,FALSE),"")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 t="s">
        <v>137</v>
      </c>
      <c r="C63" s="43" t="s">
        <v>138</v>
      </c>
      <c r="D63" s="42">
        <v>0.98529999999999995</v>
      </c>
      <c r="E63" s="24" t="str">
        <f>IF(IF(B63="MDZ140R","",IFERROR((SUMIF($B$3:$B$74,"MDZ140R",$F$3:$F$74)*INDEX($Q$20:$Q$86,MATCH(B63,$N$20:$N$86,0))),""))=0,"",IF(B63="MDZ140R","",IFERROR((SUMIF($B$3:$B$74,"MDZ140R",$F$3:$F$74)*INDEX($Q$20:$Q$86,MATCH(B63,$N$20:$N$86,0))),"")))</f>
        <v/>
      </c>
      <c r="F63" s="42">
        <f t="shared" si="2"/>
        <v>0.98529999999999995</v>
      </c>
      <c r="H63" s="192"/>
      <c r="I63" s="213" t="str">
        <f>IFERROR(VLOOKUP(H63,$B$3:$F$69,5,FALSE),"")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89" t="s">
        <v>139</v>
      </c>
      <c r="C64" s="43" t="s">
        <v>188</v>
      </c>
      <c r="D64" s="42">
        <v>0.73009999999999997</v>
      </c>
      <c r="E64" s="24" t="str">
        <f>IF(IF(B64="MDZ140R","",IFERROR((SUMIF($B$3:$B$74,"MDZ140R",$F$3:$F$74)*INDEX($Q$20:$Q$86,MATCH(B64,$N$20:$N$86,0))),""))=0,"",IF(B64="MDZ140R","",IFERROR((SUMIF($B$3:$B$74,"MDZ140R",$F$3:$F$74)*INDEX($Q$20:$Q$86,MATCH(B64,$N$20:$N$86,0))),"")))</f>
        <v/>
      </c>
      <c r="F64" s="42">
        <f t="shared" si="2"/>
        <v>0.73009999999999997</v>
      </c>
      <c r="H64" s="192"/>
      <c r="I64" s="213" t="str">
        <f>IFERROR(VLOOKUP(H64,$B$3:$F$69,5,FALSE),"")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89" t="s">
        <v>141</v>
      </c>
      <c r="C65" s="43" t="s">
        <v>142</v>
      </c>
      <c r="D65" s="42">
        <v>8.4599999999999995E-2</v>
      </c>
      <c r="E65" s="24" t="str">
        <f>IF(IF(B65="MDZ140R","",IFERROR((SUMIF($B$3:$B$74,"MDZ140R",$F$3:$F$74)*INDEX($Q$20:$Q$86,MATCH(B65,$N$20:$N$86,0))),""))=0,"",IF(B65="MDZ140R","",IFERROR((SUMIF($B$3:$B$74,"MDZ140R",$F$3:$F$74)*INDEX($Q$20:$Q$86,MATCH(B65,$N$20:$N$86,0))),"")))</f>
        <v/>
      </c>
      <c r="F65" s="42">
        <f t="shared" si="2"/>
        <v>8.4599999999999995E-2</v>
      </c>
      <c r="H65" s="192"/>
      <c r="I65" s="213" t="str">
        <f>IFERROR(VLOOKUP(H65,$B$3:$F$69,5,FALSE),"")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89"/>
      <c r="C66" s="43"/>
      <c r="D66" s="42"/>
      <c r="E66" s="24" t="str">
        <f>IF(IF(B66="MDZ140R","",IFERROR((SUMIF($B$3:$B$74,"MDZ140R",$F$3:$F$74)*INDEX($Q$20:$Q$86,MATCH(B66,$N$20:$N$86,0))),""))=0,"",IF(B66="MDZ140R","",IFERROR((SUMIF($B$3:$B$74,"MDZ140R",$F$3:$F$74)*INDEX($Q$20:$Q$86,MATCH(B66,$N$20:$N$86,0))),"")))</f>
        <v/>
      </c>
      <c r="F66" s="42" t="str">
        <f t="shared" si="2"/>
        <v/>
      </c>
      <c r="H66" s="192"/>
      <c r="I66" s="213" t="str">
        <f>IFERROR(VLOOKUP(H66,$B$3:$F$69,5,FALSE),"")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89"/>
      <c r="C67" s="43"/>
      <c r="D67" s="42"/>
      <c r="E67" s="24" t="str">
        <f>IF(IF(B67="MDZ140R","",IFERROR((SUMIF($B$3:$B$74,"MDZ140R",$F$3:$F$74)*INDEX($Q$20:$Q$86,MATCH(B67,$N$20:$N$86,0))),""))=0,"",IF(B67="MDZ140R","",IFERROR((SUMIF($B$3:$B$74,"MDZ140R",$F$3:$F$74)*INDEX($Q$20:$Q$86,MATCH(B67,$N$20:$N$86,0))),"")))</f>
        <v/>
      </c>
      <c r="F67" s="42" t="str">
        <f t="shared" si="2"/>
        <v/>
      </c>
      <c r="H67" s="192"/>
      <c r="I67" s="213" t="str">
        <f>IFERROR(VLOOKUP(H67,$B$3:$F$69,5,FALSE),"")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89"/>
      <c r="C68" s="43"/>
      <c r="D68" s="42"/>
      <c r="E68" s="24" t="str">
        <f>IF(IF(B68="MDZ140R","",IFERROR((SUMIF($B$3:$B$74,"MDZ140R",$F$3:$F$74)*INDEX($Q$20:$Q$86,MATCH(B68,$N$20:$N$86,0))),""))=0,"",IF(B68="MDZ140R","",IFERROR((SUMIF($B$3:$B$74,"MDZ140R",$F$3:$F$74)*INDEX($Q$20:$Q$86,MATCH(B68,$N$20:$N$86,0))),"")))</f>
        <v/>
      </c>
      <c r="F68" s="42" t="str">
        <f t="shared" si="2"/>
        <v/>
      </c>
      <c r="H68" s="192"/>
      <c r="I68" s="213" t="str">
        <f>IFERROR(VLOOKUP(H68,$B$3:$F$69,5,FALSE),"")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89"/>
      <c r="C69" s="43"/>
      <c r="D69" s="42"/>
      <c r="E69" s="24" t="str">
        <f>IF(IF(B69="MDZ140R","",IFERROR((SUMIF($B$3:$B$74,"MDZ140R",$F$3:$F$74)*INDEX($Q$20:$Q$86,MATCH(B69,$N$20:$N$86,0))),""))=0,"",IF(B69="MDZ140R","",IFERROR((SUMIF($B$3:$B$74,"MDZ140R",$F$3:$F$74)*INDEX($Q$20:$Q$86,MATCH(B69,$N$20:$N$86,0))),"")))</f>
        <v/>
      </c>
      <c r="F69" s="42" t="str">
        <f t="shared" si="2"/>
        <v/>
      </c>
      <c r="H69" s="192"/>
      <c r="I69" s="213" t="str">
        <f>IFERROR(VLOOKUP(H69,$B$3:$F$69,5,FALSE),"")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89"/>
      <c r="C70" s="43"/>
      <c r="D70" s="42"/>
      <c r="E70" s="24" t="str">
        <f>IF(IF(B70="MDZ140R","",IFERROR((SUMIF($B$3:$B$74,"MDZ140R",$F$3:$F$74)*INDEX($Q$20:$Q$86,MATCH(B70,$N$20:$N$86,0))),""))=0,"",IF(B70="MDZ140R","",IFERROR((SUMIF($B$3:$B$74,"MDZ140R",$F$3:$F$74)*INDEX($Q$20:$Q$86,MATCH(B70,$N$20:$N$86,0))),"")))</f>
        <v/>
      </c>
      <c r="F70" s="42" t="str">
        <f t="shared" si="2"/>
        <v/>
      </c>
      <c r="H70" s="192"/>
      <c r="I70" s="213" t="str">
        <f>IFERROR(VLOOKUP(H70,$B$3:$F$69,5,FALSE),"")</f>
        <v/>
      </c>
      <c r="J70" s="206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89"/>
      <c r="C71" s="43"/>
      <c r="D71" s="42"/>
      <c r="E71" s="24"/>
      <c r="F71" s="42"/>
      <c r="H71" s="192"/>
      <c r="I71" s="213" t="str">
        <f>IFERROR(VLOOKUP(H71,$B$3:$F$69,5,FALSE),"")</f>
        <v/>
      </c>
      <c r="J71" s="206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89"/>
      <c r="C72" s="43"/>
      <c r="D72" s="42"/>
      <c r="E72" s="24" t="str">
        <f>IF(IF(B72="MDZ140R","",IFERROR((SUMIF($B$3:$B$74,"MDZ140R",$F$3:$F$74)*INDEX($Q$20:$Q$86,MATCH(B72,$N$20:$N$86,0))),""))=0,"",IF(B72="MDZ140R","",IFERROR((SUMIF($B$3:$B$74,"MDZ140R",$F$3:$F$74)*INDEX($Q$20:$Q$86,MATCH(B72,$N$20:$N$86,0))),"")))</f>
        <v/>
      </c>
      <c r="F72" s="42" t="str">
        <f>IF(D72="","",D72+ IF(E72="",0,E72))</f>
        <v/>
      </c>
      <c r="H72" s="192"/>
      <c r="I72" s="213" t="str">
        <f>IFERROR(VLOOKUP(H72,$B$3:$F$69,5,FALSE),"")</f>
        <v/>
      </c>
      <c r="J72" s="206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89" t="s">
        <v>143</v>
      </c>
      <c r="C73" s="43" t="s">
        <v>144</v>
      </c>
      <c r="D73" s="42">
        <v>0.45900000000000002</v>
      </c>
      <c r="E73" s="24" t="str">
        <f>IF(IF(B73="MDZ140R","",IFERROR((SUMIF($B$3:$B$74,"MDZ140R",$F$3:$F$74)*INDEX($Q$20:$Q$86,MATCH(B73,$N$20:$N$86,0))),""))=0,"",IF(B73="MDZ140R","",IFERROR((SUMIF($B$3:$B$74,"MDZ140R",$F$3:$F$74)*INDEX($Q$20:$Q$86,MATCH(B73,$N$20:$N$86,0))),"")))</f>
        <v/>
      </c>
      <c r="F73" s="42">
        <f>IF(D73="","",D73+ IF(E73="",0,E73))</f>
        <v>0.45900000000000002</v>
      </c>
      <c r="H73" s="192"/>
      <c r="I73" s="213" t="str">
        <f>IFERROR(VLOOKUP(H73,$B$3:$F$69,5,FALSE),"")</f>
        <v/>
      </c>
      <c r="J73" s="206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127"/>
      <c r="C74" s="60" t="s">
        <v>145</v>
      </c>
      <c r="D74" s="133">
        <f>SUM(D3:D73)</f>
        <v>22.357399999999995</v>
      </c>
      <c r="E74" s="134"/>
      <c r="F74" s="135">
        <f>D74+E74</f>
        <v>22.357399999999995</v>
      </c>
      <c r="H74" s="192"/>
      <c r="I74" s="213" t="str">
        <f>IFERROR(VLOOKUP(H74,$B$3:$F$69,5,FALSE),"")</f>
        <v/>
      </c>
      <c r="J74" s="206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B75" s="127"/>
      <c r="C75" s="60"/>
      <c r="D75" s="133"/>
      <c r="E75" s="134"/>
      <c r="F75" s="135"/>
      <c r="H75" s="192"/>
      <c r="I75" s="213" t="str">
        <f>IFERROR(VLOOKUP(H75,$B$3:$F$69,5,FALSE),"")</f>
        <v/>
      </c>
      <c r="J75" s="206"/>
      <c r="L75" s="56"/>
      <c r="M75" s="56"/>
      <c r="N75" s="56"/>
      <c r="O75" s="56"/>
      <c r="P75" s="125"/>
      <c r="Q75" s="126"/>
      <c r="R75" s="56"/>
    </row>
    <row r="76" spans="2:18" s="1" customFormat="1" x14ac:dyDescent="0.3">
      <c r="B76" s="136"/>
      <c r="C76" s="136"/>
      <c r="D76" s="133">
        <v>0</v>
      </c>
      <c r="E76" s="134"/>
      <c r="F76" s="135">
        <f>D76+E76</f>
        <v>0</v>
      </c>
      <c r="H76" s="192"/>
      <c r="I76" s="213" t="str">
        <f>IFERROR(VLOOKUP(H76,$B$3:$F$69,5,FALSE),"")</f>
        <v/>
      </c>
      <c r="J76" s="191"/>
      <c r="L76" s="56"/>
      <c r="M76" s="56"/>
      <c r="N76" s="56"/>
      <c r="O76" s="56"/>
      <c r="P76" s="125"/>
      <c r="Q76" s="126"/>
      <c r="R76" s="56"/>
    </row>
    <row r="77" spans="2:18" s="1" customFormat="1" x14ac:dyDescent="0.3">
      <c r="B77" s="136"/>
      <c r="C77" s="136"/>
      <c r="D77" s="133">
        <v>0</v>
      </c>
      <c r="E77" s="134"/>
      <c r="F77" s="135">
        <f>D77+E77</f>
        <v>0</v>
      </c>
      <c r="H77" s="192"/>
      <c r="I77" s="213" t="str">
        <f>IFERROR(VLOOKUP(H77,$B$3:$F$69,5,FALSE),"")</f>
        <v/>
      </c>
      <c r="J77" s="191"/>
      <c r="L77" s="56"/>
      <c r="M77" s="56"/>
      <c r="N77" s="56"/>
      <c r="O77" s="56"/>
      <c r="P77" s="125"/>
      <c r="Q77" s="126"/>
      <c r="R77" s="56"/>
    </row>
    <row r="78" spans="2:18" s="1" customFormat="1" x14ac:dyDescent="0.3">
      <c r="B78" s="43"/>
      <c r="C78" s="41"/>
      <c r="D78" s="42"/>
      <c r="E78" s="24"/>
      <c r="F78" s="42"/>
      <c r="H78" s="192"/>
      <c r="I78" s="213" t="str">
        <f>IFERROR(VLOOKUP(H78,$B$3:$F$69,5,FALSE),"")</f>
        <v/>
      </c>
      <c r="J78" s="191"/>
      <c r="L78" s="56"/>
      <c r="M78" s="56"/>
      <c r="N78" s="56"/>
      <c r="O78" s="56"/>
      <c r="P78" s="125"/>
      <c r="Q78" s="126"/>
      <c r="R78" s="56"/>
    </row>
    <row r="79" spans="2:18" s="1" customFormat="1" x14ac:dyDescent="0.3">
      <c r="B79" s="43"/>
      <c r="C79" s="41"/>
      <c r="D79" s="42"/>
      <c r="E79" s="24"/>
      <c r="F79" s="42"/>
      <c r="H79" s="192"/>
      <c r="I79" s="213" t="str">
        <f>IFERROR(VLOOKUP(H79,$B$3:$F$69,5,FALSE),"")</f>
        <v/>
      </c>
      <c r="J79" s="191"/>
      <c r="L79" s="56"/>
      <c r="M79" s="56"/>
      <c r="N79" s="56"/>
      <c r="O79" s="56"/>
      <c r="P79" s="125"/>
      <c r="Q79" s="126"/>
      <c r="R79" s="56"/>
    </row>
    <row r="80" spans="2:18" s="1" customFormat="1" x14ac:dyDescent="0.3">
      <c r="B80" s="43"/>
      <c r="C80" s="41"/>
      <c r="D80" s="42"/>
      <c r="E80" s="24" t="str">
        <f>IF(IF(B80="MDZ140R","",IFERROR((SUMIF($B$3:$B$74,"MDZ140R",$F$3:$F$74)*INDEX($Q$20:$Q$86,MATCH(B80,$N$20:$N$86,0))),""))=0,"",IF(B80="MDZ140R","",IFERROR((SUMIF($B$3:$B$74,"MDZ140R",$F$3:$F$74)*INDEX($Q$20:$Q$86,MATCH(B80,$N$20:$N$86,0))),"")))</f>
        <v/>
      </c>
      <c r="F80" s="42" t="str">
        <f t="shared" si="0"/>
        <v/>
      </c>
      <c r="H80" s="192"/>
      <c r="I80" s="213" t="str">
        <f>IFERROR(VLOOKUP(H80,$B$3:$F$69,5,FALSE),"")</f>
        <v/>
      </c>
      <c r="J80" s="191"/>
      <c r="L80" s="56"/>
      <c r="M80" s="56"/>
      <c r="N80" s="56"/>
      <c r="O80" s="56"/>
      <c r="P80" s="125"/>
      <c r="Q80" s="126"/>
      <c r="R80" s="56"/>
    </row>
    <row r="81" spans="2:18" s="1" customFormat="1" x14ac:dyDescent="0.3">
      <c r="B81" s="43"/>
      <c r="C81" s="41"/>
      <c r="D81" s="42"/>
      <c r="E81" s="24" t="str">
        <f>IF(IF(B81="MDZ140R","",IFERROR((SUMIF($B$3:$B$74,"MDZ140R",$F$3:$F$74)*INDEX($Q$20:$Q$86,MATCH(B81,$N$20:$N$86,0))),""))=0,"",IF(B81="MDZ140R","",IFERROR((SUMIF($B$3:$B$74,"MDZ140R",$F$3:$F$74)*INDEX($Q$20:$Q$86,MATCH(B81,$N$20:$N$86,0))),"")))</f>
        <v/>
      </c>
      <c r="F81" s="42" t="str">
        <f t="shared" si="0"/>
        <v/>
      </c>
      <c r="H81" s="192"/>
      <c r="I81" s="213" t="str">
        <f>IFERROR(VLOOKUP(H81,$B$3:$F$69,5,FALSE),"")</f>
        <v/>
      </c>
      <c r="J81" s="191"/>
      <c r="L81" s="56"/>
      <c r="M81" s="56"/>
      <c r="N81" s="56"/>
      <c r="O81" s="56"/>
      <c r="P81" s="125"/>
      <c r="Q81" s="126"/>
      <c r="R81" s="56"/>
    </row>
    <row r="82" spans="2:18" s="1" customFormat="1" x14ac:dyDescent="0.3">
      <c r="B82" s="43"/>
      <c r="C82" s="41"/>
      <c r="D82" s="42"/>
      <c r="E82" s="24" t="str">
        <f>IF(IF(B82="MDZ140R","",IFERROR((SUMIF($B$3:$B$74,"MDZ140R",$F$3:$F$74)*INDEX($Q$20:$Q$86,MATCH(B82,$N$20:$N$86,0))),""))=0,"",IF(B82="MDZ140R","",IFERROR((SUMIF($B$3:$B$74,"MDZ140R",$F$3:$F$74)*INDEX($Q$20:$Q$86,MATCH(B82,$N$20:$N$86,0))),"")))</f>
        <v/>
      </c>
      <c r="F82" s="42" t="str">
        <f t="shared" si="0"/>
        <v/>
      </c>
      <c r="H82" s="192"/>
      <c r="I82" s="213" t="str">
        <f>IFERROR(VLOOKUP(H82,$B$3:$F$69,5,FALSE),"")</f>
        <v/>
      </c>
      <c r="J82" s="207"/>
      <c r="L82" s="56"/>
      <c r="M82" s="56"/>
      <c r="N82" s="56"/>
      <c r="O82" s="56"/>
      <c r="P82" s="125"/>
      <c r="Q82" s="126"/>
      <c r="R82" s="56"/>
    </row>
    <row r="83" spans="2:18" s="1" customFormat="1" x14ac:dyDescent="0.3">
      <c r="B83" s="43"/>
      <c r="C83" s="41"/>
      <c r="D83" s="42"/>
      <c r="E83" s="24" t="str">
        <f>IF(IF(B83="MDZ140R","",IFERROR((SUMIF($B$3:$B$74,"MDZ140R",$F$3:$F$74)*INDEX($Q$20:$Q$86,MATCH(B83,$N$20:$N$86,0))),""))=0,"",IF(B83="MDZ140R","",IFERROR((SUMIF($B$3:$B$74,"MDZ140R",$F$3:$F$74)*INDEX($Q$20:$Q$86,MATCH(B83,$N$20:$N$86,0))),"")))</f>
        <v/>
      </c>
      <c r="F83" s="42" t="str">
        <f t="shared" si="0"/>
        <v/>
      </c>
      <c r="H83" s="189" t="s">
        <v>73</v>
      </c>
      <c r="I83" s="213" t="str">
        <f>IFERROR(VLOOKUP(H83,$B$3:$F$69,5,FALSE),"")</f>
        <v/>
      </c>
      <c r="J83" s="191">
        <f>SUM(I83:I97)</f>
        <v>2.0569250000000001</v>
      </c>
      <c r="L83" s="56"/>
      <c r="M83" s="56"/>
      <c r="N83" s="56"/>
      <c r="O83" s="56"/>
      <c r="P83" s="125"/>
      <c r="Q83" s="126"/>
      <c r="R83" s="56"/>
    </row>
    <row r="84" spans="2:18" s="1" customFormat="1" x14ac:dyDescent="0.3">
      <c r="B84" s="43"/>
      <c r="C84" s="41"/>
      <c r="D84" s="42"/>
      <c r="E84" s="24" t="str">
        <f>IF(IF(B84="MDZ140R","",IFERROR((SUMIF($B$3:$B$74,"MDZ140R",$F$3:$F$74)*INDEX($Q$20:$Q$86,MATCH(B84,$N$20:$N$86,0))),""))=0,"",IF(B84="MDZ140R","",IFERROR((SUMIF($B$3:$B$74,"MDZ140R",$F$3:$F$74)*INDEX($Q$20:$Q$86,MATCH(B84,$N$20:$N$86,0))),"")))</f>
        <v/>
      </c>
      <c r="F84" s="42" t="str">
        <f t="shared" si="0"/>
        <v/>
      </c>
      <c r="H84" s="196" t="s">
        <v>44</v>
      </c>
      <c r="I84" s="211">
        <v>2.8125000000000001E-2</v>
      </c>
      <c r="J84" s="201"/>
      <c r="K84" s="1">
        <v>5.6250000000000001E-2</v>
      </c>
      <c r="L84" s="56"/>
      <c r="M84" s="56"/>
      <c r="N84" s="56"/>
      <c r="O84" s="56"/>
      <c r="P84" s="125"/>
      <c r="Q84" s="126"/>
      <c r="R84" s="56"/>
    </row>
    <row r="85" spans="2:18" s="1" customFormat="1" x14ac:dyDescent="0.3">
      <c r="B85" s="43"/>
      <c r="C85" s="41"/>
      <c r="D85" s="42"/>
      <c r="E85" s="24" t="str">
        <f>IF(IF(B85="MDZ140R","",IFERROR((SUMIF($B$3:$B$74,"MDZ140R",$F$3:$F$74)*INDEX($Q$20:$Q$86,MATCH(B85,$N$20:$N$86,0))),""))=0,"",IF(B85="MDZ140R","",IFERROR((SUMIF($B$3:$B$74,"MDZ140R",$F$3:$F$74)*INDEX($Q$20:$Q$86,MATCH(B85,$N$20:$N$86,0))),"")))</f>
        <v/>
      </c>
      <c r="F85" s="42" t="str">
        <f t="shared" si="0"/>
        <v/>
      </c>
      <c r="H85" s="196" t="s">
        <v>38</v>
      </c>
      <c r="I85" s="211">
        <v>0.39</v>
      </c>
      <c r="J85" s="201"/>
      <c r="K85" s="1">
        <v>0.78</v>
      </c>
      <c r="L85" s="56"/>
      <c r="M85" s="56"/>
      <c r="N85" s="56"/>
      <c r="O85" s="56"/>
      <c r="P85" s="125"/>
      <c r="Q85" s="126"/>
      <c r="R85" s="56"/>
    </row>
    <row r="86" spans="2:18" s="1" customFormat="1" x14ac:dyDescent="0.3">
      <c r="B86" s="43"/>
      <c r="C86" s="41"/>
      <c r="D86" s="42"/>
      <c r="E86" s="24" t="str">
        <f>IF(IF(B86="MDZ140R","",IFERROR((SUMIF($B$3:$B$74,"MDZ140R",$F$3:$F$74)*INDEX($Q$20:$Q$86,MATCH(B86,$N$20:$N$86,0))),""))=0,"",IF(B86="MDZ140R","",IFERROR((SUMIF($B$3:$B$74,"MDZ140R",$F$3:$F$74)*INDEX($Q$20:$Q$86,MATCH(B86,$N$20:$N$86,0))),"")))</f>
        <v/>
      </c>
      <c r="F86" s="42" t="str">
        <f t="shared" si="0"/>
        <v/>
      </c>
      <c r="H86" s="196" t="s">
        <v>9</v>
      </c>
      <c r="I86" s="213">
        <f>IFERROR(VLOOKUP(H86,$B$3:$F$69,5,FALSE),"")</f>
        <v>0.2883</v>
      </c>
      <c r="J86" s="201"/>
      <c r="L86" s="56"/>
      <c r="M86" s="56"/>
      <c r="N86" s="56"/>
      <c r="O86" s="56"/>
      <c r="P86" s="125"/>
      <c r="Q86" s="126"/>
      <c r="R86" s="56"/>
    </row>
    <row r="87" spans="2:18" s="1" customFormat="1" x14ac:dyDescent="0.3">
      <c r="H87" s="196" t="s">
        <v>119</v>
      </c>
      <c r="I87" s="213">
        <f>IFERROR(VLOOKUP(H87,$B$3:$F$69,5,FALSE),"")</f>
        <v>0.30680000000000002</v>
      </c>
      <c r="J87" s="201"/>
      <c r="L87" s="56"/>
      <c r="M87" s="56"/>
      <c r="N87" s="56"/>
      <c r="O87" s="59" t="s">
        <v>3</v>
      </c>
      <c r="P87" s="131">
        <f>SUM(P20:P40)</f>
        <v>182</v>
      </c>
      <c r="Q87" s="131">
        <f>SUM(Q20:Q40)</f>
        <v>0.994533</v>
      </c>
      <c r="R87" s="59">
        <v>0</v>
      </c>
    </row>
    <row r="88" spans="2:18" x14ac:dyDescent="0.3">
      <c r="H88" s="196" t="s">
        <v>133</v>
      </c>
      <c r="I88" s="213">
        <f>IFERROR(VLOOKUP(H88,$B$3:$F$69,5,FALSE),"")</f>
        <v>0.59399999999999997</v>
      </c>
      <c r="J88" s="201"/>
    </row>
    <row r="89" spans="2:18" x14ac:dyDescent="0.3">
      <c r="H89" s="196" t="s">
        <v>147</v>
      </c>
      <c r="I89" s="213" t="str">
        <f>IFERROR(VLOOKUP(H89,$B$3:$F$69,5,FALSE),"")</f>
        <v/>
      </c>
      <c r="J89" s="201"/>
    </row>
    <row r="90" spans="2:18" x14ac:dyDescent="0.3">
      <c r="H90" s="196" t="s">
        <v>148</v>
      </c>
      <c r="I90" s="213" t="str">
        <f>IFERROR(VLOOKUP(H90,$B$3:$F$69,5,FALSE),"")</f>
        <v/>
      </c>
      <c r="J90" s="201"/>
    </row>
    <row r="91" spans="2:18" x14ac:dyDescent="0.3">
      <c r="H91" s="196" t="s">
        <v>11</v>
      </c>
      <c r="I91" s="213">
        <f>IFERROR(VLOOKUP(H91,$B$3:$F$69,5,FALSE),"")</f>
        <v>0.1447</v>
      </c>
      <c r="J91" s="201"/>
    </row>
    <row r="92" spans="2:18" x14ac:dyDescent="0.3">
      <c r="H92" s="196" t="s">
        <v>149</v>
      </c>
      <c r="I92" s="213" t="str">
        <f>IFERROR(VLOOKUP(H92,$B$3:$F$69,5,FALSE),"")</f>
        <v/>
      </c>
      <c r="J92" s="201"/>
    </row>
    <row r="93" spans="2:18" x14ac:dyDescent="0.3">
      <c r="H93" s="196" t="s">
        <v>121</v>
      </c>
      <c r="I93" s="213">
        <f>IFERROR(VLOOKUP(H93,$B$3:$F$69,5,FALSE),"")</f>
        <v>0.30499999999999999</v>
      </c>
      <c r="J93" s="201"/>
    </row>
    <row r="94" spans="2:18" x14ac:dyDescent="0.3">
      <c r="H94" s="196" t="s">
        <v>150</v>
      </c>
      <c r="I94" s="213" t="str">
        <f>IFERROR(VLOOKUP(H94,$B$3:$F$69,5,FALSE),"")</f>
        <v/>
      </c>
      <c r="J94" s="191"/>
    </row>
    <row r="95" spans="2:18" x14ac:dyDescent="0.3">
      <c r="H95" s="196"/>
      <c r="I95" s="213" t="str">
        <f>IFERROR(VLOOKUP(H95,$B$3:$F$69,5,FALSE),"")</f>
        <v/>
      </c>
      <c r="J95" s="201"/>
    </row>
    <row r="96" spans="2:18" x14ac:dyDescent="0.3">
      <c r="H96" s="196"/>
      <c r="I96" s="213" t="str">
        <f>IFERROR(VLOOKUP(H96,$B$3:$F$69,5,FALSE),"")</f>
        <v/>
      </c>
      <c r="J96" s="201"/>
    </row>
    <row r="97" spans="8:10" x14ac:dyDescent="0.3">
      <c r="H97" s="196"/>
      <c r="I97" s="213" t="str">
        <f>IFERROR(VLOOKUP(H97,$B$3:$F$69,5,FALSE),"")</f>
        <v/>
      </c>
      <c r="J97" s="201"/>
    </row>
    <row r="98" spans="8:10" x14ac:dyDescent="0.3">
      <c r="H98" s="200" t="s">
        <v>74</v>
      </c>
      <c r="I98" s="213" t="str">
        <f>IFERROR(VLOOKUP(H98,$B$3:$F$69,5,FALSE),"")</f>
        <v/>
      </c>
      <c r="J98" s="201">
        <f>SUM(I98:I107)</f>
        <v>0.41812500000000002</v>
      </c>
    </row>
    <row r="99" spans="8:10" s="175" customFormat="1" x14ac:dyDescent="0.3">
      <c r="H99" s="176" t="s">
        <v>429</v>
      </c>
      <c r="I99" s="214">
        <v>0.39</v>
      </c>
      <c r="J99" s="177"/>
    </row>
    <row r="100" spans="8:10" s="175" customFormat="1" x14ac:dyDescent="0.3">
      <c r="H100" s="176" t="s">
        <v>461</v>
      </c>
      <c r="I100" s="214">
        <v>2.8125000000000001E-2</v>
      </c>
      <c r="J100" s="177"/>
    </row>
    <row r="101" spans="8:10" x14ac:dyDescent="0.3">
      <c r="H101" s="176"/>
      <c r="I101" s="213" t="str">
        <f>IFERROR(VLOOKUP(H101,$B$3:$F$69,5,FALSE),"")</f>
        <v/>
      </c>
      <c r="J101" s="177"/>
    </row>
    <row r="102" spans="8:10" x14ac:dyDescent="0.3">
      <c r="H102" s="176"/>
      <c r="I102" s="213" t="str">
        <f>IFERROR(VLOOKUP(H102,$B$3:$F$69,5,FALSE),"")</f>
        <v/>
      </c>
      <c r="J102" s="177"/>
    </row>
    <row r="103" spans="8:10" s="175" customFormat="1" x14ac:dyDescent="0.3">
      <c r="H103" s="176"/>
      <c r="I103" s="213" t="str">
        <f>IFERROR(VLOOKUP(H103,$B$3:$F$69,5,FALSE),"")</f>
        <v/>
      </c>
      <c r="J103" s="177"/>
    </row>
    <row r="104" spans="8:10" s="175" customFormat="1" x14ac:dyDescent="0.3">
      <c r="H104" s="176"/>
      <c r="I104" s="213" t="str">
        <f>IFERROR(VLOOKUP(H104,$B$3:$F$69,5,FALSE),"")</f>
        <v/>
      </c>
      <c r="J104" s="177"/>
    </row>
    <row r="105" spans="8:10" s="175" customFormat="1" x14ac:dyDescent="0.3">
      <c r="H105" s="196"/>
      <c r="I105" s="213" t="str">
        <f>IFERROR(VLOOKUP(H105,$B$3:$F$69,5,FALSE),"")</f>
        <v/>
      </c>
      <c r="J105" s="208"/>
    </row>
    <row r="106" spans="8:10" x14ac:dyDescent="0.3">
      <c r="H106" s="196"/>
      <c r="I106" s="213" t="str">
        <f>IFERROR(VLOOKUP(H106,$B$3:$F$69,5,FALSE),"")</f>
        <v/>
      </c>
      <c r="J106" s="201"/>
    </row>
    <row r="107" spans="8:10" s="175" customFormat="1" x14ac:dyDescent="0.3">
      <c r="H107" s="196"/>
      <c r="I107" s="213" t="str">
        <f>IFERROR(VLOOKUP(H107,$B$3:$F$69,5,FALSE),"")</f>
        <v/>
      </c>
      <c r="J107" s="201"/>
    </row>
    <row r="108" spans="8:10" x14ac:dyDescent="0.3">
      <c r="H108" s="200" t="s">
        <v>75</v>
      </c>
      <c r="I108" s="213" t="str">
        <f>IFERROR(VLOOKUP(H108,$B$3:$F$69,5,FALSE),"")</f>
        <v/>
      </c>
      <c r="J108" s="201">
        <f>SUM(I108:I114)</f>
        <v>0.42</v>
      </c>
    </row>
    <row r="109" spans="8:10" x14ac:dyDescent="0.3">
      <c r="H109" s="196" t="s">
        <v>215</v>
      </c>
      <c r="I109" s="213" t="str">
        <f>IFERROR(VLOOKUP(H109,$B$3:$F$69,5,FALSE),"")</f>
        <v/>
      </c>
      <c r="J109" s="201"/>
    </row>
    <row r="110" spans="8:10" s="175" customFormat="1" x14ac:dyDescent="0.3">
      <c r="H110" s="196" t="s">
        <v>151</v>
      </c>
      <c r="I110" s="213" t="str">
        <f>IFERROR(VLOOKUP(H110,$B$3:$F$69,5,FALSE),"")</f>
        <v/>
      </c>
      <c r="J110" s="201"/>
    </row>
    <row r="111" spans="8:10" x14ac:dyDescent="0.3">
      <c r="H111" s="196" t="s">
        <v>14</v>
      </c>
      <c r="I111" s="211">
        <v>0.42</v>
      </c>
      <c r="J111" s="201"/>
    </row>
    <row r="112" spans="8:10" x14ac:dyDescent="0.3">
      <c r="H112" s="196" t="s">
        <v>152</v>
      </c>
      <c r="I112" s="213" t="str">
        <f>IFERROR(VLOOKUP(H112,$B$3:$F$69,5,FALSE),"")</f>
        <v/>
      </c>
      <c r="J112" s="201"/>
    </row>
    <row r="113" spans="8:10" x14ac:dyDescent="0.3">
      <c r="H113" s="196" t="s">
        <v>211</v>
      </c>
      <c r="I113" s="213" t="str">
        <f>IFERROR(VLOOKUP(H113,$B$3:$F$69,5,FALSE),"")</f>
        <v/>
      </c>
      <c r="J113" s="201"/>
    </row>
    <row r="114" spans="8:10" x14ac:dyDescent="0.3">
      <c r="H114" s="196" t="s">
        <v>212</v>
      </c>
      <c r="I114" s="213" t="str">
        <f>IFERROR(VLOOKUP(H114,$B$3:$F$69,5,FALSE),"")</f>
        <v/>
      </c>
      <c r="J114" s="201"/>
    </row>
    <row r="115" spans="8:10" x14ac:dyDescent="0.3">
      <c r="H115" s="200" t="s">
        <v>76</v>
      </c>
      <c r="I115" s="213" t="str">
        <f>IFERROR(VLOOKUP(H115,$B$3:$F$69,5,FALSE),"")</f>
        <v/>
      </c>
      <c r="J115" s="201">
        <f>SUM(I115:I119)</f>
        <v>0</v>
      </c>
    </row>
    <row r="116" spans="8:10" x14ac:dyDescent="0.3">
      <c r="H116" s="196"/>
      <c r="I116" s="213" t="str">
        <f>IFERROR(VLOOKUP(H116,$B$3:$F$69,5,FALSE),"")</f>
        <v/>
      </c>
      <c r="J116" s="208"/>
    </row>
    <row r="117" spans="8:10" x14ac:dyDescent="0.3">
      <c r="H117" s="196"/>
      <c r="I117" s="213" t="str">
        <f>IFERROR(VLOOKUP(H117,$B$3:$F$69,5,FALSE),"")</f>
        <v/>
      </c>
      <c r="J117" s="201"/>
    </row>
    <row r="118" spans="8:10" x14ac:dyDescent="0.3">
      <c r="H118" s="196"/>
      <c r="I118" s="213" t="str">
        <f>IFERROR(VLOOKUP(H118,$B$3:$F$69,5,FALSE),"")</f>
        <v/>
      </c>
      <c r="J118" s="201"/>
    </row>
    <row r="119" spans="8:10" x14ac:dyDescent="0.3">
      <c r="H119" s="196"/>
      <c r="I119" s="213" t="str">
        <f>IFERROR(VLOOKUP(H119,$B$3:$F$69,5,FALSE),"")</f>
        <v/>
      </c>
      <c r="J119" s="201"/>
    </row>
    <row r="120" spans="8:10" x14ac:dyDescent="0.3">
      <c r="H120" s="200" t="s">
        <v>78</v>
      </c>
      <c r="I120" s="213" t="str">
        <f>IFERROR(VLOOKUP(H120,$B$3:$F$69,5,FALSE),"")</f>
        <v/>
      </c>
      <c r="J120" s="201">
        <f>SUM(I120:I126)</f>
        <v>0</v>
      </c>
    </row>
    <row r="121" spans="8:10" s="175" customFormat="1" x14ac:dyDescent="0.3">
      <c r="H121" s="176"/>
      <c r="I121" s="213" t="str">
        <f>IFERROR(VLOOKUP(H121,$B$3:$F$69,5,FALSE),"")</f>
        <v/>
      </c>
      <c r="J121" s="177"/>
    </row>
    <row r="122" spans="8:10" x14ac:dyDescent="0.3">
      <c r="H122" s="196"/>
      <c r="I122" s="213" t="str">
        <f>IFERROR(VLOOKUP(H122,$B$3:$F$69,5,FALSE),"")</f>
        <v/>
      </c>
      <c r="J122" s="208"/>
    </row>
    <row r="123" spans="8:10" x14ac:dyDescent="0.3">
      <c r="H123" s="196"/>
      <c r="I123" s="213" t="str">
        <f>IFERROR(VLOOKUP(H123,$B$3:$F$69,5,FALSE),"")</f>
        <v/>
      </c>
      <c r="J123" s="208"/>
    </row>
    <row r="124" spans="8:10" s="175" customFormat="1" x14ac:dyDescent="0.3">
      <c r="H124" s="196"/>
      <c r="I124" s="213" t="str">
        <f>IFERROR(VLOOKUP(H124,$B$3:$F$69,5,FALSE),"")</f>
        <v/>
      </c>
      <c r="J124" s="208"/>
    </row>
    <row r="125" spans="8:10" x14ac:dyDescent="0.3">
      <c r="H125" s="196"/>
      <c r="I125" s="213" t="str">
        <f>IFERROR(VLOOKUP(H125,$B$3:$F$69,5,FALSE),"")</f>
        <v/>
      </c>
      <c r="J125" s="201"/>
    </row>
    <row r="126" spans="8:10" x14ac:dyDescent="0.3">
      <c r="H126" s="196"/>
      <c r="I126" s="213" t="str">
        <f>IFERROR(VLOOKUP(H126,$B$3:$F$69,5,FALSE),"")</f>
        <v/>
      </c>
      <c r="J126" s="201"/>
    </row>
    <row r="127" spans="8:10" x14ac:dyDescent="0.3">
      <c r="H127" s="200" t="s">
        <v>77</v>
      </c>
      <c r="I127" s="213" t="str">
        <f>IFERROR(VLOOKUP(H127,$B$3:$F$69,5,FALSE),"")</f>
        <v/>
      </c>
      <c r="J127" s="201">
        <f>SUM(I127:I175)</f>
        <v>11.724200000000002</v>
      </c>
    </row>
    <row r="128" spans="8:10" s="175" customFormat="1" x14ac:dyDescent="0.3">
      <c r="H128" s="196" t="s">
        <v>60</v>
      </c>
      <c r="I128" s="213">
        <f>IFERROR(VLOOKUP(H128,$B$3:$F$69,5,FALSE),"")</f>
        <v>0.64419999999999999</v>
      </c>
      <c r="J128" s="201"/>
    </row>
    <row r="129" spans="8:10" x14ac:dyDescent="0.3">
      <c r="H129" s="196" t="s">
        <v>153</v>
      </c>
      <c r="I129" s="213" t="str">
        <f>IFERROR(VLOOKUP(H129,$B$3:$F$69,5,FALSE),"")</f>
        <v/>
      </c>
      <c r="J129" s="201"/>
    </row>
    <row r="130" spans="8:10" x14ac:dyDescent="0.3">
      <c r="H130" s="196" t="s">
        <v>154</v>
      </c>
      <c r="I130" s="213" t="str">
        <f>IFERROR(VLOOKUP(H130,$B$3:$F$69,5,FALSE),"")</f>
        <v/>
      </c>
      <c r="J130" s="201"/>
    </row>
    <row r="131" spans="8:10" x14ac:dyDescent="0.3">
      <c r="H131" s="196" t="s">
        <v>114</v>
      </c>
      <c r="I131" s="213">
        <f>IFERROR(VLOOKUP(H131,$B$3:$F$69,5,FALSE),"")</f>
        <v>4.3999999999999997E-2</v>
      </c>
      <c r="J131" s="201"/>
    </row>
    <row r="132" spans="8:10" x14ac:dyDescent="0.3">
      <c r="H132" s="196" t="s">
        <v>116</v>
      </c>
      <c r="I132" s="213">
        <f>IFERROR(VLOOKUP(H132,$B$3:$F$69,5,FALSE),"")</f>
        <v>0.57379999999999998</v>
      </c>
      <c r="J132" s="200"/>
    </row>
    <row r="133" spans="8:10" x14ac:dyDescent="0.3">
      <c r="H133" s="196" t="s">
        <v>62</v>
      </c>
      <c r="I133" s="213">
        <f>IFERROR(VLOOKUP(H133,$B$3:$F$69,5,FALSE),"")</f>
        <v>4.2200000000000001E-2</v>
      </c>
      <c r="J133" s="200"/>
    </row>
    <row r="134" spans="8:10" x14ac:dyDescent="0.3">
      <c r="H134" s="196" t="s">
        <v>48</v>
      </c>
      <c r="I134" s="213">
        <f>IFERROR(VLOOKUP(H134,$B$3:$F$69,5,FALSE),"")</f>
        <v>1.8800000000000001E-2</v>
      </c>
      <c r="J134" s="200"/>
    </row>
    <row r="135" spans="8:10" x14ac:dyDescent="0.3">
      <c r="H135" s="196" t="s">
        <v>63</v>
      </c>
      <c r="I135" s="213">
        <f>IFERROR(VLOOKUP(H135,$B$3:$F$69,5,FALSE),"")</f>
        <v>0.45090000000000002</v>
      </c>
      <c r="J135" s="200"/>
    </row>
    <row r="136" spans="8:10" x14ac:dyDescent="0.3">
      <c r="H136" s="196" t="s">
        <v>131</v>
      </c>
      <c r="I136" s="213">
        <f>IFERROR(VLOOKUP(H136,$B$3:$F$69,5,FALSE),"")</f>
        <v>0.74070000000000003</v>
      </c>
      <c r="J136" s="200"/>
    </row>
    <row r="137" spans="8:10" x14ac:dyDescent="0.3">
      <c r="H137" s="196" t="s">
        <v>155</v>
      </c>
      <c r="I137" s="213" t="str">
        <f>IFERROR(VLOOKUP(H137,$B$3:$F$69,5,FALSE),"")</f>
        <v/>
      </c>
      <c r="J137" s="200"/>
    </row>
    <row r="138" spans="8:10" x14ac:dyDescent="0.3">
      <c r="H138" s="196" t="s">
        <v>156</v>
      </c>
      <c r="I138" s="213" t="str">
        <f>IFERROR(VLOOKUP(H138,$B$3:$F$69,5,FALSE),"")</f>
        <v/>
      </c>
      <c r="J138" s="200"/>
    </row>
    <row r="139" spans="8:10" x14ac:dyDescent="0.3">
      <c r="H139" s="196" t="s">
        <v>64</v>
      </c>
      <c r="I139" s="213">
        <f>IFERROR(VLOOKUP(H139,$B$3:$F$69,5,FALSE),"")</f>
        <v>0.30599999999999999</v>
      </c>
      <c r="J139" s="200"/>
    </row>
    <row r="140" spans="8:10" x14ac:dyDescent="0.3">
      <c r="H140" s="196" t="s">
        <v>24</v>
      </c>
      <c r="I140" s="213">
        <f>IFERROR(VLOOKUP(H140,$B$3:$F$69,5,FALSE),"")</f>
        <v>0.53129999999999999</v>
      </c>
      <c r="J140" s="200"/>
    </row>
    <row r="141" spans="8:10" x14ac:dyDescent="0.3">
      <c r="H141" s="196" t="s">
        <v>34</v>
      </c>
      <c r="I141" s="213">
        <f>IFERROR(VLOOKUP(H141,$B$3:$F$69,5,FALSE),"")</f>
        <v>0.63449999999999995</v>
      </c>
      <c r="J141" s="200"/>
    </row>
    <row r="142" spans="8:10" x14ac:dyDescent="0.3">
      <c r="H142" s="196" t="s">
        <v>157</v>
      </c>
      <c r="I142" s="213" t="str">
        <f>IFERROR(VLOOKUP(H142,$B$3:$F$69,5,FALSE),"")</f>
        <v/>
      </c>
      <c r="J142" s="200"/>
    </row>
    <row r="143" spans="8:10" x14ac:dyDescent="0.3">
      <c r="H143" s="196" t="s">
        <v>158</v>
      </c>
      <c r="I143" s="213" t="str">
        <f>IFERROR(VLOOKUP(H143,$B$3:$F$69,5,FALSE),"")</f>
        <v/>
      </c>
      <c r="J143" s="200"/>
    </row>
    <row r="144" spans="8:10" x14ac:dyDescent="0.3">
      <c r="H144" s="196" t="s">
        <v>159</v>
      </c>
      <c r="I144" s="213" t="str">
        <f>IFERROR(VLOOKUP(H144,$B$3:$F$69,5,FALSE),"")</f>
        <v/>
      </c>
      <c r="J144" s="200"/>
    </row>
    <row r="145" spans="8:10" x14ac:dyDescent="0.3">
      <c r="H145" s="196" t="s">
        <v>160</v>
      </c>
      <c r="I145" s="213" t="str">
        <f>IFERROR(VLOOKUP(H145,$B$3:$F$69,5,FALSE),"")</f>
        <v/>
      </c>
      <c r="J145" s="200"/>
    </row>
    <row r="146" spans="8:10" x14ac:dyDescent="0.3">
      <c r="H146" s="196" t="s">
        <v>50</v>
      </c>
      <c r="I146" s="213">
        <f>IFERROR(VLOOKUP(H146,$B$3:$F$69,5,FALSE),"")</f>
        <v>0.15</v>
      </c>
      <c r="J146" s="200"/>
    </row>
    <row r="147" spans="8:10" x14ac:dyDescent="0.3">
      <c r="H147" s="196" t="s">
        <v>161</v>
      </c>
      <c r="I147" s="213" t="str">
        <f>IFERROR(VLOOKUP(H147,$B$3:$F$69,5,FALSE),"")</f>
        <v/>
      </c>
      <c r="J147" s="200"/>
    </row>
    <row r="148" spans="8:10" x14ac:dyDescent="0.3">
      <c r="H148" s="196" t="s">
        <v>162</v>
      </c>
      <c r="I148" s="213" t="str">
        <f>IFERROR(VLOOKUP(H148,$B$3:$F$69,5,FALSE),"")</f>
        <v/>
      </c>
      <c r="J148" s="200"/>
    </row>
    <row r="149" spans="8:10" x14ac:dyDescent="0.3">
      <c r="H149" s="196" t="s">
        <v>7</v>
      </c>
      <c r="I149" s="213" t="str">
        <f>IFERROR(VLOOKUP(H149,$B$3:$F$69,5,FALSE),"")</f>
        <v/>
      </c>
      <c r="J149" s="200"/>
    </row>
    <row r="150" spans="8:10" x14ac:dyDescent="0.3">
      <c r="H150" s="196" t="s">
        <v>27</v>
      </c>
      <c r="I150" s="213">
        <f>IFERROR(VLOOKUP(H150,$B$3:$F$69,5,FALSE),"")</f>
        <v>0.4899</v>
      </c>
      <c r="J150" s="200"/>
    </row>
    <row r="151" spans="8:10" x14ac:dyDescent="0.3">
      <c r="H151" s="196" t="s">
        <v>163</v>
      </c>
      <c r="I151" s="213" t="str">
        <f>IFERROR(VLOOKUP(H151,$B$3:$F$69,5,FALSE),"")</f>
        <v/>
      </c>
      <c r="J151" s="200"/>
    </row>
    <row r="152" spans="8:10" x14ac:dyDescent="0.3">
      <c r="H152" s="196" t="s">
        <v>164</v>
      </c>
      <c r="I152" s="213" t="str">
        <f>IFERROR(VLOOKUP(H152,$B$3:$F$69,5,FALSE),"")</f>
        <v/>
      </c>
      <c r="J152" s="200"/>
    </row>
    <row r="153" spans="8:10" x14ac:dyDescent="0.3">
      <c r="H153" s="196" t="s">
        <v>165</v>
      </c>
      <c r="I153" s="213" t="str">
        <f>IFERROR(VLOOKUP(H153,$B$3:$F$69,5,FALSE),"")</f>
        <v/>
      </c>
      <c r="J153" s="200"/>
    </row>
    <row r="154" spans="8:10" x14ac:dyDescent="0.3">
      <c r="H154" s="196" t="s">
        <v>166</v>
      </c>
      <c r="I154" s="213" t="str">
        <f>IFERROR(VLOOKUP(H154,$B$3:$F$69,5,FALSE),"")</f>
        <v/>
      </c>
      <c r="J154" s="200"/>
    </row>
    <row r="155" spans="8:10" x14ac:dyDescent="0.3">
      <c r="H155" s="196" t="s">
        <v>135</v>
      </c>
      <c r="I155" s="213">
        <f>IFERROR(VLOOKUP(H155,$B$3:$F$69,5,FALSE),"")</f>
        <v>0.92349999999999999</v>
      </c>
      <c r="J155" s="200"/>
    </row>
    <row r="156" spans="8:10" x14ac:dyDescent="0.3">
      <c r="H156" s="196" t="s">
        <v>123</v>
      </c>
      <c r="I156" s="213">
        <f>IFERROR(VLOOKUP(H156,$B$3:$F$69,5,FALSE),"")</f>
        <v>0.78769999999999996</v>
      </c>
      <c r="J156" s="200"/>
    </row>
    <row r="157" spans="8:10" x14ac:dyDescent="0.3">
      <c r="H157" s="196" t="s">
        <v>125</v>
      </c>
      <c r="I157" s="213">
        <f>IFERROR(VLOOKUP(H157,$B$3:$F$69,5,FALSE),"")</f>
        <v>0.15160000000000001</v>
      </c>
      <c r="J157" s="200"/>
    </row>
    <row r="158" spans="8:10" x14ac:dyDescent="0.3">
      <c r="H158" s="196" t="s">
        <v>167</v>
      </c>
      <c r="I158" s="213" t="str">
        <f>IFERROR(VLOOKUP(H158,$B$3:$F$69,5,FALSE),"")</f>
        <v/>
      </c>
      <c r="J158" s="200"/>
    </row>
    <row r="159" spans="8:10" x14ac:dyDescent="0.3">
      <c r="H159" s="196" t="s">
        <v>65</v>
      </c>
      <c r="I159" s="213">
        <f>IFERROR(VLOOKUP(H159,$B$3:$F$69,5,FALSE),"")</f>
        <v>0.29759999999999998</v>
      </c>
      <c r="J159" s="200"/>
    </row>
    <row r="160" spans="8:10" x14ac:dyDescent="0.3">
      <c r="H160" s="196" t="s">
        <v>41</v>
      </c>
      <c r="I160" s="213">
        <f>IFERROR(VLOOKUP(H160,$B$3:$F$69,5,FALSE),"")</f>
        <v>0.9909</v>
      </c>
      <c r="J160" s="200"/>
    </row>
    <row r="161" spans="8:10" x14ac:dyDescent="0.3">
      <c r="H161" s="196" t="s">
        <v>42</v>
      </c>
      <c r="I161" s="213">
        <f>IFERROR(VLOOKUP(H161,$B$3:$F$69,5,FALSE),"")</f>
        <v>7.8100000000000003E-2</v>
      </c>
      <c r="J161" s="200"/>
    </row>
    <row r="162" spans="8:10" x14ac:dyDescent="0.3">
      <c r="H162" s="196" t="s">
        <v>29</v>
      </c>
      <c r="I162" s="213">
        <f>IFERROR(VLOOKUP(H162,$B$3:$F$69,5,FALSE),"")</f>
        <v>6.0299999999999999E-2</v>
      </c>
      <c r="J162" s="200"/>
    </row>
    <row r="163" spans="8:10" x14ac:dyDescent="0.3">
      <c r="H163" s="196" t="s">
        <v>16</v>
      </c>
      <c r="I163" s="213">
        <f>IFERROR(VLOOKUP(H163,$B$3:$F$69,5,FALSE),"")</f>
        <v>0.71099999999999997</v>
      </c>
      <c r="J163" s="200"/>
    </row>
    <row r="164" spans="8:10" x14ac:dyDescent="0.3">
      <c r="H164" s="196" t="s">
        <v>168</v>
      </c>
      <c r="I164" s="213" t="str">
        <f>IFERROR(VLOOKUP(H164,$B$3:$F$69,5,FALSE),"")</f>
        <v/>
      </c>
      <c r="J164" s="200"/>
    </row>
    <row r="165" spans="8:10" x14ac:dyDescent="0.3">
      <c r="H165" s="196" t="s">
        <v>18</v>
      </c>
      <c r="I165" s="213">
        <f>IFERROR(VLOOKUP(H165,$B$3:$F$69,5,FALSE),"")</f>
        <v>0.96409999999999996</v>
      </c>
      <c r="J165" s="200"/>
    </row>
    <row r="166" spans="8:10" x14ac:dyDescent="0.3">
      <c r="H166" s="196" t="s">
        <v>45</v>
      </c>
      <c r="I166" s="213">
        <f>IFERROR(VLOOKUP(H166,$B$3:$F$69,5,FALSE),"")</f>
        <v>1.8800000000000001E-2</v>
      </c>
      <c r="J166" s="200"/>
    </row>
    <row r="167" spans="8:10" x14ac:dyDescent="0.3">
      <c r="H167" s="196" t="s">
        <v>53</v>
      </c>
      <c r="I167" s="213">
        <f>IFERROR(VLOOKUP(H167,$B$3:$F$69,5,FALSE),"")</f>
        <v>0.45419999999999999</v>
      </c>
      <c r="J167" s="200"/>
    </row>
    <row r="168" spans="8:10" x14ac:dyDescent="0.3">
      <c r="H168" s="196" t="s">
        <v>187</v>
      </c>
      <c r="I168" s="213" t="str">
        <f>IFERROR(VLOOKUP(H168,$B$3:$F$69,5,FALSE),"")</f>
        <v/>
      </c>
      <c r="J168" s="200"/>
    </row>
    <row r="169" spans="8:10" x14ac:dyDescent="0.3">
      <c r="H169" s="196" t="s">
        <v>52</v>
      </c>
      <c r="I169" s="213">
        <f>IFERROR(VLOOKUP(H169,$B$3:$F$69,5,FALSE),"")</f>
        <v>0.81640000000000001</v>
      </c>
      <c r="J169" s="200"/>
    </row>
    <row r="170" spans="8:10" x14ac:dyDescent="0.3">
      <c r="H170" s="196" t="s">
        <v>55</v>
      </c>
      <c r="I170" s="213">
        <f>IFERROR(VLOOKUP(H170,$B$3:$F$69,5,FALSE),"")</f>
        <v>0.84370000000000001</v>
      </c>
      <c r="J170" s="200"/>
    </row>
    <row r="171" spans="8:10" x14ac:dyDescent="0.3">
      <c r="H171" s="196" t="s">
        <v>169</v>
      </c>
      <c r="I171" s="213" t="str">
        <f>IFERROR(VLOOKUP(H171,$B$3:$F$69,5,FALSE),"")</f>
        <v/>
      </c>
      <c r="J171" s="200"/>
    </row>
    <row r="172" spans="8:10" x14ac:dyDescent="0.3">
      <c r="H172" s="196" t="s">
        <v>213</v>
      </c>
      <c r="I172" s="213" t="str">
        <f>IFERROR(VLOOKUP(H172,$B$3:$F$69,5,FALSE),"")</f>
        <v/>
      </c>
      <c r="J172" s="200"/>
    </row>
    <row r="173" spans="8:10" x14ac:dyDescent="0.3">
      <c r="H173" s="196" t="s">
        <v>214</v>
      </c>
      <c r="I173" s="213" t="str">
        <f>IFERROR(VLOOKUP(H173,$B$3:$F$69,5,FALSE),"")</f>
        <v/>
      </c>
      <c r="J173" s="200"/>
    </row>
    <row r="174" spans="8:10" x14ac:dyDescent="0.3">
      <c r="H174" s="196"/>
      <c r="I174" s="213" t="str">
        <f>IFERROR(VLOOKUP(H174,$B$3:$F$69,5,FALSE),"")</f>
        <v/>
      </c>
      <c r="J174" s="200"/>
    </row>
    <row r="175" spans="8:10" x14ac:dyDescent="0.3">
      <c r="H175" s="196"/>
      <c r="I175" s="213" t="str">
        <f>IFERROR(VLOOKUP(H175,$B$3:$F$69,5,FALSE),"")</f>
        <v/>
      </c>
      <c r="J175" s="200"/>
    </row>
    <row r="176" spans="8:10" x14ac:dyDescent="0.3">
      <c r="H176" s="200" t="s">
        <v>79</v>
      </c>
      <c r="I176" s="213" t="str">
        <f>IFERROR(VLOOKUP(H176,$B$3:$F$69,5,FALSE),"")</f>
        <v/>
      </c>
      <c r="J176" s="209">
        <f>SUM(I176:I205)</f>
        <v>1.7999999999999998</v>
      </c>
    </row>
    <row r="177" spans="8:10" x14ac:dyDescent="0.3">
      <c r="H177" s="196" t="s">
        <v>170</v>
      </c>
      <c r="I177" s="213" t="str">
        <f>IFERROR(VLOOKUP(H177,$B$3:$F$69,5,FALSE),"")</f>
        <v/>
      </c>
      <c r="J177" s="200"/>
    </row>
    <row r="178" spans="8:10" x14ac:dyDescent="0.3">
      <c r="H178" s="196" t="s">
        <v>143</v>
      </c>
      <c r="I178" s="213" t="str">
        <f>IFERROR(VLOOKUP(H178,$B$3:$F$69,5,FALSE),"")</f>
        <v/>
      </c>
      <c r="J178" s="200"/>
    </row>
    <row r="179" spans="8:10" x14ac:dyDescent="0.3">
      <c r="H179" s="196" t="s">
        <v>171</v>
      </c>
      <c r="I179" s="213" t="str">
        <f>IFERROR(VLOOKUP(H179,$B$3:$F$69,5,FALSE),"")</f>
        <v/>
      </c>
      <c r="J179" s="200"/>
    </row>
    <row r="180" spans="8:10" x14ac:dyDescent="0.3">
      <c r="H180" s="196" t="s">
        <v>141</v>
      </c>
      <c r="I180" s="213">
        <f>IFERROR(VLOOKUP(H180,$B$3:$F$69,5,FALSE),"")</f>
        <v>8.4599999999999995E-2</v>
      </c>
      <c r="J180" s="200"/>
    </row>
    <row r="181" spans="8:10" x14ac:dyDescent="0.3">
      <c r="H181" s="196" t="s">
        <v>172</v>
      </c>
      <c r="I181" s="213" t="str">
        <f>IFERROR(VLOOKUP(H181,$B$3:$F$69,5,FALSE),"")</f>
        <v/>
      </c>
      <c r="J181" s="200"/>
    </row>
    <row r="182" spans="8:10" x14ac:dyDescent="0.3">
      <c r="H182" s="196" t="s">
        <v>173</v>
      </c>
      <c r="I182" s="213" t="str">
        <f>IFERROR(VLOOKUP(H182,$B$3:$F$69,5,FALSE),"")</f>
        <v/>
      </c>
      <c r="J182" s="200"/>
    </row>
    <row r="183" spans="8:10" x14ac:dyDescent="0.3">
      <c r="H183" s="196" t="s">
        <v>174</v>
      </c>
      <c r="I183" s="213" t="str">
        <f>IFERROR(VLOOKUP(H183,$B$3:$F$69,5,FALSE),"")</f>
        <v/>
      </c>
      <c r="J183" s="200"/>
    </row>
    <row r="184" spans="8:10" x14ac:dyDescent="0.3">
      <c r="H184" s="196" t="s">
        <v>175</v>
      </c>
      <c r="I184" s="213" t="str">
        <f>IFERROR(VLOOKUP(H184,$B$3:$F$69,5,FALSE),"")</f>
        <v/>
      </c>
      <c r="J184" s="200"/>
    </row>
    <row r="185" spans="8:10" x14ac:dyDescent="0.3">
      <c r="H185" s="196" t="s">
        <v>176</v>
      </c>
      <c r="I185" s="213" t="str">
        <f>IFERROR(VLOOKUP(H185,$B$3:$F$69,5,FALSE),"")</f>
        <v/>
      </c>
      <c r="J185" s="200"/>
    </row>
    <row r="186" spans="8:10" x14ac:dyDescent="0.3">
      <c r="H186" s="196" t="s">
        <v>186</v>
      </c>
      <c r="I186" s="213" t="str">
        <f>IFERROR(VLOOKUP(H186,$B$3:$F$69,5,FALSE),"")</f>
        <v/>
      </c>
      <c r="J186" s="200"/>
    </row>
    <row r="187" spans="8:10" x14ac:dyDescent="0.3">
      <c r="H187" s="196" t="s">
        <v>185</v>
      </c>
      <c r="I187" s="213" t="str">
        <f>IFERROR(VLOOKUP(H187,$B$3:$F$69,5,FALSE),"")</f>
        <v/>
      </c>
      <c r="J187" s="200"/>
    </row>
    <row r="188" spans="8:10" x14ac:dyDescent="0.3">
      <c r="H188" s="196" t="s">
        <v>137</v>
      </c>
      <c r="I188" s="213">
        <f>IFERROR(VLOOKUP(H188,$B$3:$F$69,5,FALSE),"")</f>
        <v>0.98529999999999995</v>
      </c>
      <c r="J188" s="200"/>
    </row>
    <row r="189" spans="8:10" x14ac:dyDescent="0.3">
      <c r="H189" s="196" t="s">
        <v>177</v>
      </c>
      <c r="I189" s="213" t="str">
        <f>IFERROR(VLOOKUP(H189,$B$3:$F$69,5,FALSE),"")</f>
        <v/>
      </c>
      <c r="J189" s="200"/>
    </row>
    <row r="190" spans="8:10" x14ac:dyDescent="0.3">
      <c r="H190" s="196" t="s">
        <v>178</v>
      </c>
      <c r="I190" s="213" t="str">
        <f>IFERROR(VLOOKUP(H190,$B$3:$F$69,5,FALSE),"")</f>
        <v/>
      </c>
      <c r="J190" s="200"/>
    </row>
    <row r="191" spans="8:10" x14ac:dyDescent="0.3">
      <c r="H191" s="196" t="s">
        <v>179</v>
      </c>
      <c r="I191" s="213" t="str">
        <f>IFERROR(VLOOKUP(H191,$B$3:$F$69,5,FALSE),"")</f>
        <v/>
      </c>
      <c r="J191" s="200"/>
    </row>
    <row r="192" spans="8:10" x14ac:dyDescent="0.3">
      <c r="H192" s="196" t="s">
        <v>180</v>
      </c>
      <c r="I192" s="213" t="str">
        <f>IFERROR(VLOOKUP(H192,$B$3:$F$69,5,FALSE),"")</f>
        <v/>
      </c>
      <c r="J192" s="200"/>
    </row>
    <row r="193" spans="8:10" x14ac:dyDescent="0.3">
      <c r="H193" s="196" t="s">
        <v>139</v>
      </c>
      <c r="I193" s="213">
        <f>IFERROR(VLOOKUP(H193,$B$3:$F$69,5,FALSE),"")</f>
        <v>0.73009999999999997</v>
      </c>
      <c r="J193" s="200"/>
    </row>
    <row r="194" spans="8:10" x14ac:dyDescent="0.3">
      <c r="H194" s="196" t="s">
        <v>181</v>
      </c>
      <c r="I194" s="213" t="str">
        <f>IFERROR(VLOOKUP(H194,$B$3:$F$69,5,FALSE),"")</f>
        <v/>
      </c>
      <c r="J194" s="200"/>
    </row>
    <row r="195" spans="8:10" x14ac:dyDescent="0.3">
      <c r="H195" s="196" t="s">
        <v>182</v>
      </c>
      <c r="I195" s="213" t="str">
        <f>IFERROR(VLOOKUP(H195,$B$3:$F$69,5,FALSE),"")</f>
        <v/>
      </c>
      <c r="J195" s="200"/>
    </row>
    <row r="196" spans="8:10" x14ac:dyDescent="0.3">
      <c r="H196" s="196"/>
      <c r="I196" s="213" t="str">
        <f>IFERROR(VLOOKUP(H196,$B$3:$F$69,5,FALSE),"")</f>
        <v/>
      </c>
      <c r="J196" s="200"/>
    </row>
    <row r="197" spans="8:10" x14ac:dyDescent="0.3">
      <c r="H197" s="196"/>
      <c r="I197" s="213" t="str">
        <f>IFERROR(VLOOKUP(H197,$B$3:$F$69,5,FALSE),"")</f>
        <v/>
      </c>
      <c r="J197" s="200"/>
    </row>
    <row r="198" spans="8:10" x14ac:dyDescent="0.3">
      <c r="H198" s="196"/>
      <c r="I198" s="213" t="str">
        <f>IFERROR(VLOOKUP(H198,$B$3:$F$69,5,FALSE),"")</f>
        <v/>
      </c>
      <c r="J198" s="200"/>
    </row>
    <row r="199" spans="8:10" x14ac:dyDescent="0.3">
      <c r="H199" s="196"/>
      <c r="I199" s="213" t="str">
        <f>IFERROR(VLOOKUP(H199,$B$3:$F$69,5,FALSE),"")</f>
        <v/>
      </c>
      <c r="J199" s="200"/>
    </row>
    <row r="200" spans="8:10" x14ac:dyDescent="0.3">
      <c r="H200" s="196"/>
      <c r="I200" s="213" t="str">
        <f>IFERROR(VLOOKUP(H200,$B$3:$F$69,5,FALSE),"")</f>
        <v/>
      </c>
      <c r="J200" s="200"/>
    </row>
    <row r="201" spans="8:10" x14ac:dyDescent="0.3">
      <c r="H201" s="196"/>
      <c r="I201" s="213" t="str">
        <f>IFERROR(VLOOKUP(H201,$B$3:$F$69,5,FALSE),"")</f>
        <v/>
      </c>
      <c r="J201" s="200"/>
    </row>
    <row r="202" spans="8:10" x14ac:dyDescent="0.3">
      <c r="H202" s="196"/>
      <c r="I202" s="213" t="str">
        <f>IFERROR(VLOOKUP(H202,$B$3:$F$69,5,FALSE),"")</f>
        <v/>
      </c>
      <c r="J202" s="200"/>
    </row>
    <row r="203" spans="8:10" x14ac:dyDescent="0.3">
      <c r="H203" s="196"/>
      <c r="I203" s="213" t="str">
        <f>IFERROR(VLOOKUP(H203,$B$3:$F$69,5,FALSE),"")</f>
        <v/>
      </c>
      <c r="J203" s="200"/>
    </row>
    <row r="204" spans="8:10" x14ac:dyDescent="0.3">
      <c r="H204" s="196"/>
      <c r="I204" s="213" t="str">
        <f>IFERROR(VLOOKUP(H204,$B$3:$F$69,5,FALSE),"")</f>
        <v/>
      </c>
      <c r="J204" s="200"/>
    </row>
    <row r="205" spans="8:10" x14ac:dyDescent="0.3">
      <c r="H205" s="196"/>
      <c r="I205" s="213" t="str">
        <f>IFERROR(VLOOKUP(H205,$B$3:$F$69,5,FALSE),"")</f>
        <v/>
      </c>
      <c r="J205" s="200"/>
    </row>
    <row r="206" spans="8:10" x14ac:dyDescent="0.3">
      <c r="H206" s="200" t="s">
        <v>80</v>
      </c>
      <c r="I206" s="213" t="str">
        <f>IFERROR(VLOOKUP(H206,$B$3:$F$69,5,FALSE),"")</f>
        <v/>
      </c>
      <c r="J206" s="209">
        <f>SUM(I206:I216)</f>
        <v>0</v>
      </c>
    </row>
    <row r="207" spans="8:10" x14ac:dyDescent="0.3">
      <c r="H207" s="196"/>
      <c r="I207" s="213" t="str">
        <f>IFERROR(VLOOKUP(H207,$B$3:$F$69,5,FALSE),"")</f>
        <v/>
      </c>
      <c r="J207" s="196"/>
    </row>
    <row r="208" spans="8:10" x14ac:dyDescent="0.3">
      <c r="H208" s="196"/>
      <c r="I208" s="213" t="str">
        <f>IFERROR(VLOOKUP(H208,$B$3:$F$69,5,FALSE),"")</f>
        <v/>
      </c>
      <c r="J208" s="196"/>
    </row>
    <row r="209" spans="8:10" x14ac:dyDescent="0.3">
      <c r="H209" s="196"/>
      <c r="I209" s="213" t="str">
        <f>IFERROR(VLOOKUP(H209,$B$3:$F$69,5,FALSE),"")</f>
        <v/>
      </c>
      <c r="J209" s="196"/>
    </row>
    <row r="210" spans="8:10" x14ac:dyDescent="0.3">
      <c r="H210" s="196"/>
      <c r="I210" s="213" t="str">
        <f>IFERROR(VLOOKUP(H210,$B$3:$F$69,5,FALSE),"")</f>
        <v/>
      </c>
      <c r="J210" s="196"/>
    </row>
    <row r="211" spans="8:10" x14ac:dyDescent="0.3">
      <c r="H211" s="196"/>
      <c r="I211" s="213" t="str">
        <f>IFERROR(VLOOKUP(H211,$B$3:$F$69,5,FALSE),"")</f>
        <v/>
      </c>
      <c r="J211" s="196"/>
    </row>
    <row r="212" spans="8:10" x14ac:dyDescent="0.3">
      <c r="H212" s="196"/>
      <c r="I212" s="213" t="str">
        <f>IFERROR(VLOOKUP(H212,$B$3:$F$69,5,FALSE),"")</f>
        <v/>
      </c>
      <c r="J212" s="196"/>
    </row>
    <row r="213" spans="8:10" x14ac:dyDescent="0.3">
      <c r="H213" s="196"/>
      <c r="I213" s="213" t="str">
        <f>IFERROR(VLOOKUP(H213,$B$3:$F$69,5,FALSE),"")</f>
        <v/>
      </c>
      <c r="J213" s="196"/>
    </row>
    <row r="214" spans="8:10" x14ac:dyDescent="0.3">
      <c r="H214" s="196"/>
      <c r="I214" s="213" t="str">
        <f>IFERROR(VLOOKUP(H214,$B$3:$F$69,5,FALSE),"")</f>
        <v/>
      </c>
      <c r="J214" s="196"/>
    </row>
    <row r="215" spans="8:10" x14ac:dyDescent="0.3">
      <c r="H215" s="196"/>
      <c r="I215" s="213" t="str">
        <f>IFERROR(VLOOKUP(H215,$B$3:$F$69,5,FALSE),"")</f>
        <v/>
      </c>
      <c r="J215" s="196"/>
    </row>
    <row r="216" spans="8:10" x14ac:dyDescent="0.3">
      <c r="H216" s="196"/>
      <c r="I216" s="213" t="str">
        <f>IFERROR(VLOOKUP(H216,$B$3:$F$69,5,FALSE),"")</f>
        <v/>
      </c>
      <c r="J216" s="196"/>
    </row>
    <row r="217" spans="8:10" x14ac:dyDescent="0.3">
      <c r="I217" s="213" t="str">
        <f>IFERROR(VLOOKUP(H217,$B$3:$F$69,5,FALSE),"")</f>
        <v/>
      </c>
    </row>
    <row r="218" spans="8:10" x14ac:dyDescent="0.3">
      <c r="I218" s="213" t="str">
        <f>IFERROR(VLOOKUP(H218,$B$3:$F$69,5,FALSE),"")</f>
        <v/>
      </c>
    </row>
    <row r="219" spans="8:10" x14ac:dyDescent="0.3">
      <c r="I219" s="213" t="str">
        <f>IFERROR(VLOOKUP(H219,$B$3:$F$69,5,FALSE),"")</f>
        <v/>
      </c>
    </row>
    <row r="220" spans="8:10" x14ac:dyDescent="0.3">
      <c r="I220" s="213" t="str">
        <f>IFERROR(VLOOKUP(H220,$B$3:$F$69,5,FALSE),"")</f>
        <v/>
      </c>
    </row>
    <row r="221" spans="8:10" x14ac:dyDescent="0.3">
      <c r="I221" s="213" t="str">
        <f>IFERROR(VLOOKUP(H221,$B$3:$F$69,5,FALSE),"")</f>
        <v/>
      </c>
    </row>
    <row r="222" spans="8:10" x14ac:dyDescent="0.3">
      <c r="I222" s="213" t="str">
        <f>IFERROR(VLOOKUP(H222,$B$3:$F$69,5,FALSE),"")</f>
        <v/>
      </c>
    </row>
    <row r="223" spans="8:10" x14ac:dyDescent="0.3">
      <c r="I223" s="213" t="str">
        <f>IFERROR(VLOOKUP(H223,$B$3:$F$69,5,FALSE),"")</f>
        <v/>
      </c>
    </row>
    <row r="224" spans="8:10" x14ac:dyDescent="0.3">
      <c r="I224" s="213" t="str">
        <f>IFERROR(VLOOKUP(H224,$B$3:$F$69,5,FALSE),"")</f>
        <v/>
      </c>
    </row>
    <row r="225" spans="9:9" x14ac:dyDescent="0.3">
      <c r="I225" s="213" t="str">
        <f>IFERROR(VLOOKUP(H225,$B$3:$F$69,5,FALSE),"")</f>
        <v/>
      </c>
    </row>
    <row r="226" spans="9:9" x14ac:dyDescent="0.3">
      <c r="I226" s="213" t="str">
        <f>IFERROR(VLOOKUP(H226,$B$3:$F$69,5,FALSE),"")</f>
        <v/>
      </c>
    </row>
    <row r="227" spans="9:9" x14ac:dyDescent="0.3">
      <c r="I227" s="213" t="str">
        <f>IFERROR(VLOOKUP(H227,$B$3:$F$69,5,FALSE),"")</f>
        <v/>
      </c>
    </row>
    <row r="228" spans="9:9" x14ac:dyDescent="0.3">
      <c r="I228" s="213" t="str">
        <f>IFERROR(VLOOKUP(H228,$B$3:$F$69,5,FALSE),"")</f>
        <v/>
      </c>
    </row>
    <row r="229" spans="9:9" x14ac:dyDescent="0.3">
      <c r="I229" s="213" t="str">
        <f>IFERROR(VLOOKUP(H229,$B$3:$F$69,5,FALSE),"")</f>
        <v/>
      </c>
    </row>
    <row r="230" spans="9:9" x14ac:dyDescent="0.3">
      <c r="I230" s="213" t="str">
        <f>IFERROR(VLOOKUP(H230,$B$3:$F$69,5,FALSE),"")</f>
        <v/>
      </c>
    </row>
    <row r="231" spans="9:9" x14ac:dyDescent="0.3">
      <c r="I231" s="213" t="str">
        <f>IFERROR(VLOOKUP(H231,$B$3:$F$69,5,FALSE),"")</f>
        <v/>
      </c>
    </row>
    <row r="232" spans="9:9" x14ac:dyDescent="0.3">
      <c r="I232" s="213" t="str">
        <f>IFERROR(VLOOKUP(H232,$B$3:$F$69,5,FALSE),"")</f>
        <v/>
      </c>
    </row>
    <row r="233" spans="9:9" x14ac:dyDescent="0.3">
      <c r="I233" s="213" t="str">
        <f>IFERROR(VLOOKUP(H233,$B$3:$F$69,5,FALSE),"")</f>
        <v/>
      </c>
    </row>
    <row r="234" spans="9:9" x14ac:dyDescent="0.3">
      <c r="I234" s="213" t="str">
        <f>IFERROR(VLOOKUP(H234,$B$3:$F$69,5,FALSE),"")</f>
        <v/>
      </c>
    </row>
    <row r="235" spans="9:9" x14ac:dyDescent="0.3">
      <c r="I235" s="213" t="str">
        <f>IFERROR(VLOOKUP(H235,$B$3:$F$69,5,FALSE),"")</f>
        <v/>
      </c>
    </row>
    <row r="236" spans="9:9" x14ac:dyDescent="0.3">
      <c r="I236" s="213" t="str">
        <f>IFERROR(VLOOKUP(H236,$B$3:$F$69,5,FALSE),"")</f>
        <v/>
      </c>
    </row>
    <row r="237" spans="9:9" x14ac:dyDescent="0.3">
      <c r="I237" s="213" t="str">
        <f>IFERROR(VLOOKUP(H237,$B$3:$F$69,5,FALSE),"")</f>
        <v/>
      </c>
    </row>
    <row r="238" spans="9:9" x14ac:dyDescent="0.3">
      <c r="I238" s="213" t="str">
        <f>IFERROR(VLOOKUP(H238,$B$3:$F$69,5,FALSE),"")</f>
        <v/>
      </c>
    </row>
    <row r="239" spans="9:9" x14ac:dyDescent="0.3">
      <c r="I239" s="213" t="str">
        <f>IFERROR(VLOOKUP(H239,$B$3:$F$69,5,FALSE),"")</f>
        <v/>
      </c>
    </row>
    <row r="240" spans="9:9" x14ac:dyDescent="0.3">
      <c r="I240" s="213" t="str">
        <f>IFERROR(VLOOKUP(H240,$B$3:$F$69,5,FALSE),"")</f>
        <v/>
      </c>
    </row>
    <row r="241" spans="9:9" x14ac:dyDescent="0.3">
      <c r="I241" s="213" t="str">
        <f>IFERROR(VLOOKUP(H241,$B$3:$F$69,5,FALSE),"")</f>
        <v/>
      </c>
    </row>
    <row r="242" spans="9:9" x14ac:dyDescent="0.3">
      <c r="I242" s="213" t="str">
        <f>IFERROR(VLOOKUP(H242,$B$3:$F$69,5,FALSE),"")</f>
        <v/>
      </c>
    </row>
    <row r="243" spans="9:9" x14ac:dyDescent="0.3">
      <c r="I243" s="213" t="str">
        <f>IFERROR(VLOOKUP(H243,$B$3:$F$69,5,FALSE),"")</f>
        <v/>
      </c>
    </row>
    <row r="244" spans="9:9" x14ac:dyDescent="0.3">
      <c r="I244" s="213" t="str">
        <f>IFERROR(VLOOKUP(H244,$B$3:$F$69,5,FALSE),"")</f>
        <v/>
      </c>
    </row>
    <row r="245" spans="9:9" x14ac:dyDescent="0.3">
      <c r="I245" s="213" t="str">
        <f>IFERROR(VLOOKUP(H245,$B$3:$F$69,5,FALSE),"")</f>
        <v/>
      </c>
    </row>
    <row r="246" spans="9:9" x14ac:dyDescent="0.3">
      <c r="I246" s="213" t="str">
        <f>IFERROR(VLOOKUP(H246,$B$3:$F$69,5,FALSE),"")</f>
        <v/>
      </c>
    </row>
    <row r="247" spans="9:9" x14ac:dyDescent="0.3">
      <c r="I247" s="213" t="str">
        <f>IFERROR(VLOOKUP(H247,$B$3:$F$69,5,FALSE),"")</f>
        <v/>
      </c>
    </row>
    <row r="248" spans="9:9" x14ac:dyDescent="0.3">
      <c r="I248" s="213" t="str">
        <f>IFERROR(VLOOKUP(H248,$B$3:$F$69,5,FALSE),"")</f>
        <v/>
      </c>
    </row>
    <row r="249" spans="9:9" x14ac:dyDescent="0.3">
      <c r="I249" s="213" t="str">
        <f>IFERROR(VLOOKUP(H249,$B$3:$F$69,5,FALSE),"")</f>
        <v/>
      </c>
    </row>
    <row r="250" spans="9:9" x14ac:dyDescent="0.3">
      <c r="I250" s="213" t="str">
        <f>IFERROR(VLOOKUP(H250,$B$3:$F$69,5,FALSE),"")</f>
        <v/>
      </c>
    </row>
    <row r="251" spans="9:9" x14ac:dyDescent="0.3">
      <c r="I251" s="213" t="str">
        <f>IFERROR(VLOOKUP(H251,$B$3:$F$69,5,FALSE),"")</f>
        <v/>
      </c>
    </row>
    <row r="252" spans="9:9" x14ac:dyDescent="0.3">
      <c r="I252" s="213" t="str">
        <f>IFERROR(VLOOKUP(H252,$B$3:$F$69,5,FALSE),"")</f>
        <v/>
      </c>
    </row>
    <row r="253" spans="9:9" x14ac:dyDescent="0.3">
      <c r="I253" s="213" t="str">
        <f>IFERROR(VLOOKUP(H253,$B$3:$F$69,5,FALSE),"")</f>
        <v/>
      </c>
    </row>
    <row r="254" spans="9:9" x14ac:dyDescent="0.3">
      <c r="I254" s="213" t="str">
        <f>IFERROR(VLOOKUP(H254,$B$3:$F$69,5,FALSE),"")</f>
        <v/>
      </c>
    </row>
    <row r="255" spans="9:9" x14ac:dyDescent="0.3">
      <c r="I255" s="213" t="str">
        <f>IFERROR(VLOOKUP(H255,$B$3:$F$69,5,FALSE),"")</f>
        <v/>
      </c>
    </row>
    <row r="256" spans="9:9" x14ac:dyDescent="0.3">
      <c r="I256" s="213" t="str">
        <f>IFERROR(VLOOKUP(H256,$B$3:$F$69,5,FALSE),"")</f>
        <v/>
      </c>
    </row>
    <row r="257" spans="9:9" x14ac:dyDescent="0.3">
      <c r="I257" s="213" t="str">
        <f>IFERROR(VLOOKUP(H257,$B$3:$F$69,5,FALSE),"")</f>
        <v/>
      </c>
    </row>
    <row r="258" spans="9:9" x14ac:dyDescent="0.3">
      <c r="I258" s="213" t="str">
        <f>IFERROR(VLOOKUP(H258,$B$3:$F$69,5,FALSE),"")</f>
        <v/>
      </c>
    </row>
    <row r="259" spans="9:9" x14ac:dyDescent="0.3">
      <c r="I259" s="213" t="str">
        <f>IFERROR(VLOOKUP(H259,$B$3:$F$69,5,FALSE),"")</f>
        <v/>
      </c>
    </row>
    <row r="260" spans="9:9" x14ac:dyDescent="0.3">
      <c r="I260" s="213" t="str">
        <f>IFERROR(VLOOKUP(H260,$B$3:$F$69,5,FALSE),"")</f>
        <v/>
      </c>
    </row>
    <row r="261" spans="9:9" x14ac:dyDescent="0.3">
      <c r="I261" s="213" t="str">
        <f>IFERROR(VLOOKUP(H261,$B$3:$F$69,5,FALSE),"")</f>
        <v/>
      </c>
    </row>
    <row r="262" spans="9:9" x14ac:dyDescent="0.3">
      <c r="I262" s="213" t="str">
        <f>IFERROR(VLOOKUP(H262,$B$3:$F$69,5,FALSE),"")</f>
        <v/>
      </c>
    </row>
    <row r="263" spans="9:9" x14ac:dyDescent="0.3">
      <c r="I263" s="213" t="str">
        <f>IFERROR(VLOOKUP(H263,$B$3:$F$69,5,FALSE),"")</f>
        <v/>
      </c>
    </row>
    <row r="264" spans="9:9" x14ac:dyDescent="0.3">
      <c r="I264" s="213" t="str">
        <f>IFERROR(VLOOKUP(H264,$B$3:$F$69,5,FALSE),"")</f>
        <v/>
      </c>
    </row>
    <row r="265" spans="9:9" x14ac:dyDescent="0.3">
      <c r="I265" s="213" t="str">
        <f>IFERROR(VLOOKUP(H265,$B$3:$F$69,5,FALSE),"")</f>
        <v/>
      </c>
    </row>
    <row r="266" spans="9:9" x14ac:dyDescent="0.3">
      <c r="I266" s="213" t="str">
        <f>IFERROR(VLOOKUP(H266,$B$3:$F$69,5,FALSE),"")</f>
        <v/>
      </c>
    </row>
    <row r="267" spans="9:9" x14ac:dyDescent="0.3">
      <c r="I267" s="213" t="str">
        <f>IFERROR(VLOOKUP(H267,$B$3:$F$69,5,FALSE),"")</f>
        <v/>
      </c>
    </row>
    <row r="268" spans="9:9" x14ac:dyDescent="0.3">
      <c r="I268" s="213" t="str">
        <f>IFERROR(VLOOKUP(H268,$B$3:$F$69,5,FALSE),"")</f>
        <v/>
      </c>
    </row>
    <row r="269" spans="9:9" x14ac:dyDescent="0.3">
      <c r="I269" s="213" t="str">
        <f>IFERROR(VLOOKUP(H269,$B$3:$F$69,5,FALSE),"")</f>
        <v/>
      </c>
    </row>
    <row r="270" spans="9:9" x14ac:dyDescent="0.3">
      <c r="I270" s="213" t="str">
        <f>IFERROR(VLOOKUP(H270,$B$3:$F$69,5,FALSE),"")</f>
        <v/>
      </c>
    </row>
    <row r="271" spans="9:9" x14ac:dyDescent="0.3">
      <c r="I271" s="213" t="str">
        <f>IFERROR(VLOOKUP(H271,$B$3:$F$69,5,FALSE),"")</f>
        <v/>
      </c>
    </row>
    <row r="272" spans="9:9" x14ac:dyDescent="0.3">
      <c r="I272" s="213" t="str">
        <f>IFERROR(VLOOKUP(H272,$B$3:$F$69,5,FALSE),"")</f>
        <v/>
      </c>
    </row>
    <row r="273" spans="9:9" x14ac:dyDescent="0.3">
      <c r="I273" s="213" t="str">
        <f>IFERROR(VLOOKUP(H273,$B$3:$F$69,5,FALSE),"")</f>
        <v/>
      </c>
    </row>
    <row r="274" spans="9:9" x14ac:dyDescent="0.3">
      <c r="I274" s="213" t="str">
        <f>IFERROR(VLOOKUP(H274,$B$3:$F$69,5,FALSE),"")</f>
        <v/>
      </c>
    </row>
    <row r="275" spans="9:9" x14ac:dyDescent="0.3">
      <c r="I275" s="213" t="str">
        <f>IFERROR(VLOOKUP(H275,$B$3:$F$69,5,FALSE),"")</f>
        <v/>
      </c>
    </row>
    <row r="276" spans="9:9" x14ac:dyDescent="0.3">
      <c r="I276" s="213" t="str">
        <f>IFERROR(VLOOKUP(H276,$B$3:$F$69,5,FALSE),"")</f>
        <v/>
      </c>
    </row>
  </sheetData>
  <customSheetViews>
    <customSheetView guid="{5C7B38D6-29D9-4C20-A92E-817BB499D35F}" scale="92">
      <selection activeCell="E3" sqref="E3:E65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B215E-EF56-4CCC-9805-B792065F53EF}">
  <sheetPr codeName="Sheet3"/>
  <dimension ref="B1:R275"/>
  <sheetViews>
    <sheetView topLeftCell="A70" zoomScale="55" zoomScaleNormal="55" workbookViewId="0">
      <selection activeCell="L89" sqref="L89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4" x14ac:dyDescent="0.3">
      <c r="B1" t="s">
        <v>58</v>
      </c>
      <c r="C1" t="s">
        <v>59</v>
      </c>
    </row>
    <row r="2" spans="2:14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2"/>
      <c r="L2" s="111" t="s">
        <v>69</v>
      </c>
      <c r="M2" s="112" t="s">
        <v>204</v>
      </c>
      <c r="N2" s="112" t="s">
        <v>204</v>
      </c>
    </row>
    <row r="3" spans="2:14" s="1" customFormat="1" x14ac:dyDescent="0.3">
      <c r="B3" s="40" t="s">
        <v>84</v>
      </c>
      <c r="C3" s="41" t="s">
        <v>108</v>
      </c>
      <c r="D3" s="42">
        <v>0.87849999999999995</v>
      </c>
      <c r="E3" s="24">
        <f>IF(B3="MDZ140R","",IFERROR((SUMIF($B$3:$B$70,"MDZ140R",$F$3:$F$70)*INDEX($Q$20:$Q$80,MATCH(B3,$N$20:$N$80,0))),""))</f>
        <v>0.24057373199999998</v>
      </c>
      <c r="F3" s="42">
        <f>IF(D3="","",D3+ IF(E3="",0,E3))</f>
        <v>1.1190737319999999</v>
      </c>
      <c r="H3" s="202" t="s">
        <v>71</v>
      </c>
      <c r="I3" s="213" t="str">
        <f>IFERROR(VLOOKUP(H3,$B$3:$F$68,5,FALSE),"")</f>
        <v/>
      </c>
      <c r="J3" s="203">
        <f>SUM(I3:I21)</f>
        <v>1.926191244</v>
      </c>
      <c r="L3" s="80" t="s">
        <v>70</v>
      </c>
      <c r="M3" s="114">
        <f>VLOOKUP(L3,$H$3:$J$215,3,FALSE)</f>
        <v>0</v>
      </c>
      <c r="N3" s="138">
        <f>(M3/$M$14)</f>
        <v>0</v>
      </c>
    </row>
    <row r="4" spans="2:14" s="1" customFormat="1" x14ac:dyDescent="0.3">
      <c r="B4" s="40" t="s">
        <v>85</v>
      </c>
      <c r="C4" s="41" t="s">
        <v>194</v>
      </c>
      <c r="D4" s="42">
        <v>0.8155</v>
      </c>
      <c r="E4" s="24" t="str">
        <f>IF(B4="MDZ140R","",IFERROR((SUMIF($B$3:$B$70,"MDZ140R",$F$3:$F$70)*INDEX($Q$20:$Q$80,MATCH(B4,$N$20:$N$80,0))),""))</f>
        <v/>
      </c>
      <c r="F4" s="42">
        <f t="shared" ref="F4:F80" si="0">IF(D4="","",D4+ IF(E4="",0,E4))</f>
        <v>0.8155</v>
      </c>
      <c r="H4" s="192" t="s">
        <v>46</v>
      </c>
      <c r="I4" s="213">
        <f>IFERROR(VLOOKUP(H4,$B$3:$F$68,5,FALSE),"")</f>
        <v>0.95349124399999996</v>
      </c>
      <c r="J4" s="204"/>
      <c r="L4" s="56" t="s">
        <v>71</v>
      </c>
      <c r="M4" s="114">
        <f>VLOOKUP(L4,$H$3:$J$215,3,FALSE)</f>
        <v>1.926191244</v>
      </c>
      <c r="N4" s="138">
        <f t="shared" ref="N4:N13" si="1">(M4/$M$14)</f>
        <v>0.12787013849816137</v>
      </c>
    </row>
    <row r="5" spans="2:14" s="1" customFormat="1" x14ac:dyDescent="0.3">
      <c r="B5" s="40" t="s">
        <v>46</v>
      </c>
      <c r="C5" s="41" t="s">
        <v>47</v>
      </c>
      <c r="D5" s="42">
        <v>0.87329999999999997</v>
      </c>
      <c r="E5" s="24">
        <f>IF(B5="MDZ140R","",IFERROR((SUMIF($B$3:$B$70,"MDZ140R",$F$3:$F$70)*INDEX($Q$20:$Q$80,MATCH(B5,$N$20:$N$80,0))),""))</f>
        <v>8.0191244000000009E-2</v>
      </c>
      <c r="F5" s="42">
        <f t="shared" si="0"/>
        <v>0.95349124399999996</v>
      </c>
      <c r="H5" s="192" t="s">
        <v>86</v>
      </c>
      <c r="I5" s="213" t="str">
        <f>IFERROR(VLOOKUP(H5,$B$3:$F$68,5,FALSE),"")</f>
        <v/>
      </c>
      <c r="J5" s="204"/>
      <c r="L5" s="80" t="s">
        <v>72</v>
      </c>
      <c r="M5" s="114">
        <f>VLOOKUP(L5,$H$3:$J$215,3,FALSE)</f>
        <v>0.35749999999999998</v>
      </c>
      <c r="N5" s="138">
        <f t="shared" si="1"/>
        <v>2.3732625021263304E-2</v>
      </c>
    </row>
    <row r="6" spans="2:14" s="1" customFormat="1" x14ac:dyDescent="0.3">
      <c r="B6" s="40" t="s">
        <v>36</v>
      </c>
      <c r="C6" s="41" t="s">
        <v>37</v>
      </c>
      <c r="D6" s="42">
        <v>0.11749999999999999</v>
      </c>
      <c r="E6" s="24" t="str">
        <f>IF(B6="MDZ140R","",IFERROR((SUMIF($B$3:$B$70,"MDZ140R",$F$3:$F$70)*INDEX($Q$20:$Q$80,MATCH(B6,$N$20:$N$80,0))),""))</f>
        <v/>
      </c>
      <c r="F6" s="42">
        <f t="shared" si="0"/>
        <v>0.11749999999999999</v>
      </c>
      <c r="H6" s="192" t="s">
        <v>36</v>
      </c>
      <c r="I6" s="213">
        <f>IFERROR(VLOOKUP(H6,$B$3:$F$68,5,FALSE),"")</f>
        <v>0.11749999999999999</v>
      </c>
      <c r="J6" s="204"/>
      <c r="L6" s="56" t="s">
        <v>73</v>
      </c>
      <c r="M6" s="114">
        <f>VLOOKUP(L6,$H$3:$J$215,3,FALSE)</f>
        <v>1.4108841030000001</v>
      </c>
      <c r="N6" s="138">
        <f t="shared" si="1"/>
        <v>9.3661491929959262E-2</v>
      </c>
    </row>
    <row r="7" spans="2:14" s="1" customFormat="1" x14ac:dyDescent="0.3">
      <c r="B7" s="40" t="s">
        <v>13</v>
      </c>
      <c r="C7" s="41" t="s">
        <v>68</v>
      </c>
      <c r="D7" s="42">
        <v>0.1976</v>
      </c>
      <c r="E7" s="24" t="str">
        <f>IF(B7="MDZ140R","",IFERROR((SUMIF($B$3:$B$70,"MDZ140R",$F$3:$F$70)*INDEX($Q$20:$Q$80,MATCH(B7,$N$20:$N$80,0))),""))</f>
        <v/>
      </c>
      <c r="F7" s="42">
        <f t="shared" si="0"/>
        <v>0.1976</v>
      </c>
      <c r="H7" s="192" t="s">
        <v>87</v>
      </c>
      <c r="I7" s="213" t="str">
        <f>IFERROR(VLOOKUP(H7,$B$3:$F$68,5,FALSE),"")</f>
        <v/>
      </c>
      <c r="J7" s="204"/>
      <c r="L7" s="80" t="s">
        <v>74</v>
      </c>
      <c r="M7" s="114">
        <f>VLOOKUP(L7,$H$3:$J$215,3,FALSE)</f>
        <v>0.50032500000000002</v>
      </c>
      <c r="N7" s="138">
        <f t="shared" si="1"/>
        <v>3.3214057660877101E-2</v>
      </c>
    </row>
    <row r="8" spans="2:14" s="1" customFormat="1" x14ac:dyDescent="0.3">
      <c r="B8" s="40" t="s">
        <v>31</v>
      </c>
      <c r="C8" s="41" t="s">
        <v>67</v>
      </c>
      <c r="D8" s="42">
        <v>0.71499999999999997</v>
      </c>
      <c r="E8" s="24" t="str">
        <f>IF(B8="MDZ140R","",IFERROR((SUMIF($B$3:$B$70,"MDZ140R",$F$3:$F$70)*INDEX($Q$20:$Q$80,MATCH(B8,$N$20:$N$80,0))),""))</f>
        <v/>
      </c>
      <c r="F8" s="42">
        <f t="shared" si="0"/>
        <v>0.71499999999999997</v>
      </c>
      <c r="H8" s="192" t="s">
        <v>88</v>
      </c>
      <c r="I8" s="213" t="str">
        <f>IFERROR(VLOOKUP(H8,$B$3:$F$68,5,FALSE),"")</f>
        <v/>
      </c>
      <c r="J8" s="204"/>
      <c r="L8" s="56" t="s">
        <v>75</v>
      </c>
      <c r="M8" s="114">
        <f>VLOOKUP(L8,$H$3:$J$215,3,FALSE)</f>
        <v>0.11113801399999999</v>
      </c>
      <c r="N8" s="138">
        <f t="shared" si="1"/>
        <v>7.3778931800556951E-3</v>
      </c>
    </row>
    <row r="9" spans="2:14" s="1" customFormat="1" x14ac:dyDescent="0.3">
      <c r="B9" s="40" t="s">
        <v>90</v>
      </c>
      <c r="C9" s="41" t="s">
        <v>195</v>
      </c>
      <c r="D9" s="42">
        <v>0.30009999999999998</v>
      </c>
      <c r="E9" s="24" t="str">
        <f>IF(B9="MDZ140R","",IFERROR((SUMIF($B$3:$B$70,"MDZ140R",$F$3:$F$70)*INDEX($Q$20:$Q$80,MATCH(B9,$N$20:$N$80,0))),""))</f>
        <v/>
      </c>
      <c r="F9" s="42">
        <f t="shared" si="0"/>
        <v>0.30009999999999998</v>
      </c>
      <c r="H9" s="192" t="s">
        <v>89</v>
      </c>
      <c r="I9" s="213" t="str">
        <f>IFERROR(VLOOKUP(H9,$B$3:$F$68,5,FALSE),"")</f>
        <v/>
      </c>
      <c r="J9" s="204"/>
      <c r="L9" s="80" t="s">
        <v>76</v>
      </c>
      <c r="M9" s="114">
        <f>VLOOKUP(L9,$H$3:$J$215,3,FALSE)</f>
        <v>0</v>
      </c>
      <c r="N9" s="138">
        <f t="shared" si="1"/>
        <v>0</v>
      </c>
    </row>
    <row r="10" spans="2:14" s="1" customFormat="1" x14ac:dyDescent="0.3">
      <c r="B10" s="40" t="s">
        <v>44</v>
      </c>
      <c r="C10" s="41" t="s">
        <v>146</v>
      </c>
      <c r="D10" s="42">
        <v>0.6673</v>
      </c>
      <c r="E10" s="24" t="str">
        <f>IF(B10="MDZ140R","",IFERROR((SUMIF($B$3:$B$70,"MDZ140R",$F$3:$F$70)*INDEX($Q$20:$Q$80,MATCH(B10,$N$20:$N$80,0))),""))</f>
        <v/>
      </c>
      <c r="F10" s="42">
        <f t="shared" si="0"/>
        <v>0.6673</v>
      </c>
      <c r="H10" s="192" t="s">
        <v>13</v>
      </c>
      <c r="I10" s="213">
        <f>IFERROR(VLOOKUP(H10,$B$3:$F$68,5,FALSE),"")</f>
        <v>0.1976</v>
      </c>
      <c r="J10" s="204"/>
      <c r="L10" s="56" t="s">
        <v>77</v>
      </c>
      <c r="M10" s="114">
        <f>VLOOKUP(L10,$H$3:$J$215,3,FALSE)</f>
        <v>9.7546134549999994</v>
      </c>
      <c r="N10" s="138">
        <f t="shared" si="1"/>
        <v>0.64755967371995715</v>
      </c>
    </row>
    <row r="11" spans="2:14" s="1" customFormat="1" x14ac:dyDescent="0.3">
      <c r="B11" s="40" t="s">
        <v>38</v>
      </c>
      <c r="C11" s="41" t="s">
        <v>39</v>
      </c>
      <c r="D11" s="42">
        <v>0.66700000000000004</v>
      </c>
      <c r="E11" s="24" t="str">
        <f>IF(B11="MDZ140R","",IFERROR((SUMIF($B$3:$B$70,"MDZ140R",$F$3:$F$70)*INDEX($Q$20:$Q$80,MATCH(B11,$N$20:$N$80,0))),""))</f>
        <v/>
      </c>
      <c r="F11" s="42">
        <f t="shared" si="0"/>
        <v>0.66700000000000004</v>
      </c>
      <c r="H11" s="192" t="s">
        <v>31</v>
      </c>
      <c r="I11" s="211">
        <v>0.35749999999999998</v>
      </c>
      <c r="J11" s="204"/>
      <c r="L11" s="80" t="s">
        <v>78</v>
      </c>
      <c r="M11" s="114">
        <f>VLOOKUP(L11,$H$3:$J$215,3,FALSE)</f>
        <v>0</v>
      </c>
      <c r="N11" s="138">
        <f t="shared" si="1"/>
        <v>0</v>
      </c>
    </row>
    <row r="12" spans="2:14" s="1" customFormat="1" x14ac:dyDescent="0.3">
      <c r="B12" s="40" t="s">
        <v>9</v>
      </c>
      <c r="C12" s="41" t="s">
        <v>10</v>
      </c>
      <c r="D12" s="42">
        <v>2.9100000000000001E-2</v>
      </c>
      <c r="E12" s="24">
        <f>IF(B12="MDZ140R","",IFERROR((SUMIF($B$3:$B$70,"MDZ140R",$F$3:$F$70)*INDEX($Q$20:$Q$80,MATCH(B12,$N$20:$N$80,0))),""))</f>
        <v>0.19245910299999999</v>
      </c>
      <c r="F12" s="42">
        <f t="shared" si="0"/>
        <v>0.22155910299999998</v>
      </c>
      <c r="H12" s="192" t="s">
        <v>90</v>
      </c>
      <c r="I12" s="213">
        <f>IFERROR(VLOOKUP(H12,$B$3:$F$68,5,FALSE),"")</f>
        <v>0.30009999999999998</v>
      </c>
      <c r="J12" s="204"/>
      <c r="L12" s="56" t="s">
        <v>79</v>
      </c>
      <c r="M12" s="114">
        <f>VLOOKUP(L12,$H$3:$J$215,3,FALSE)</f>
        <v>1.0030000000000001</v>
      </c>
      <c r="N12" s="138">
        <f t="shared" si="1"/>
        <v>6.6584119989726145E-2</v>
      </c>
    </row>
    <row r="13" spans="2:14" s="1" customFormat="1" x14ac:dyDescent="0.3">
      <c r="B13" s="40" t="s">
        <v>119</v>
      </c>
      <c r="C13" s="41" t="s">
        <v>120</v>
      </c>
      <c r="D13" s="42">
        <v>0.51849999999999996</v>
      </c>
      <c r="E13" s="24" t="str">
        <f>IF(B13="MDZ140R","",IFERROR((SUMIF($B$3:$B$70,"MDZ140R",$F$3:$F$70)*INDEX($Q$20:$Q$80,MATCH(B13,$N$20:$N$80,0))),""))</f>
        <v/>
      </c>
      <c r="F13" s="42">
        <f t="shared" si="0"/>
        <v>0.51849999999999996</v>
      </c>
      <c r="H13" s="192" t="s">
        <v>91</v>
      </c>
      <c r="I13" s="213" t="str">
        <f>IFERROR(VLOOKUP(H13,$B$3:$F$68,5,FALSE),"")</f>
        <v/>
      </c>
      <c r="J13" s="204"/>
      <c r="L13" s="80" t="s">
        <v>80</v>
      </c>
      <c r="M13" s="114">
        <f>VLOOKUP(L13,$H$3:$J$215,3,FALSE)</f>
        <v>0</v>
      </c>
      <c r="N13" s="138">
        <f t="shared" si="1"/>
        <v>0</v>
      </c>
    </row>
    <row r="14" spans="2:14" s="1" customFormat="1" x14ac:dyDescent="0.3">
      <c r="B14" s="40" t="s">
        <v>11</v>
      </c>
      <c r="C14" s="41" t="s">
        <v>190</v>
      </c>
      <c r="D14" s="42">
        <v>0.17050000000000001</v>
      </c>
      <c r="E14" s="24" t="str">
        <f>IF(B14="MDZ140R","",IFERROR((SUMIF($B$3:$B$70,"MDZ140R",$F$3:$F$70)*INDEX($Q$20:$Q$80,MATCH(B14,$N$20:$N$80,0))),""))</f>
        <v/>
      </c>
      <c r="F14" s="42">
        <f t="shared" si="0"/>
        <v>0.17050000000000001</v>
      </c>
      <c r="H14" s="192" t="s">
        <v>92</v>
      </c>
      <c r="I14" s="213" t="str">
        <f>IFERROR(VLOOKUP(H14,$B$3:$F$68,5,FALSE),"")</f>
        <v/>
      </c>
      <c r="J14" s="204"/>
      <c r="L14" s="119" t="s">
        <v>81</v>
      </c>
      <c r="M14" s="120">
        <f>SUM(M3:M13)</f>
        <v>15.063651816</v>
      </c>
      <c r="N14" s="121">
        <f>SUM(N3:N13)</f>
        <v>1</v>
      </c>
    </row>
    <row r="15" spans="2:14" s="1" customFormat="1" x14ac:dyDescent="0.3">
      <c r="B15" s="40" t="s">
        <v>14</v>
      </c>
      <c r="C15" s="41" t="s">
        <v>15</v>
      </c>
      <c r="D15" s="42">
        <v>9.5100000000000004E-2</v>
      </c>
      <c r="E15" s="24">
        <f>IF(B15="MDZ140R","",IFERROR((SUMIF($B$3:$B$70,"MDZ140R",$F$3:$F$70)*INDEX($Q$20:$Q$80,MATCH(B15,$N$20:$N$80,0))),""))</f>
        <v>1.6038014E-2</v>
      </c>
      <c r="F15" s="42">
        <f t="shared" si="0"/>
        <v>0.11113801400000001</v>
      </c>
      <c r="H15" s="192" t="s">
        <v>93</v>
      </c>
      <c r="I15" s="213" t="str">
        <f>IFERROR(VLOOKUP(H15,$B$3:$F$68,5,FALSE),"")</f>
        <v/>
      </c>
      <c r="J15" s="204"/>
      <c r="L15" s="122" t="s">
        <v>82</v>
      </c>
      <c r="M15" s="120">
        <f>SUM(M3,M5,M7,M9,M11,M13)</f>
        <v>0.85782500000000006</v>
      </c>
      <c r="N15" s="123">
        <f>SUM(N13,N11,N9,N7,N5,N3)</f>
        <v>5.6946682682140405E-2</v>
      </c>
    </row>
    <row r="16" spans="2:14" s="1" customFormat="1" x14ac:dyDescent="0.3">
      <c r="B16" s="40" t="s">
        <v>60</v>
      </c>
      <c r="C16" s="41" t="s">
        <v>4</v>
      </c>
      <c r="D16" s="42">
        <v>0.77339999999999998</v>
      </c>
      <c r="E16" s="24">
        <f>IF(B16="MDZ140R","",IFERROR((SUMIF($B$3:$B$70,"MDZ140R",$F$3:$F$70)*INDEX($Q$20:$Q$80,MATCH(B16,$N$20:$N$80,0))),""))</f>
        <v>6.4153229999999997E-3</v>
      </c>
      <c r="F16" s="42">
        <f t="shared" si="0"/>
        <v>0.779815323</v>
      </c>
      <c r="H16" s="192" t="s">
        <v>94</v>
      </c>
      <c r="I16" s="213" t="str">
        <f>IFERROR(VLOOKUP(H16,$B$3:$F$68,5,FALSE),"")</f>
        <v/>
      </c>
      <c r="J16" s="204"/>
    </row>
    <row r="17" spans="2:18" s="1" customFormat="1" x14ac:dyDescent="0.3">
      <c r="B17" s="40" t="s">
        <v>61</v>
      </c>
      <c r="C17" s="41" t="s">
        <v>5</v>
      </c>
      <c r="D17" s="42">
        <v>0.27850000000000003</v>
      </c>
      <c r="E17" s="24">
        <f>IF(B17="MDZ140R","",IFERROR((SUMIF($B$3:$B$70,"MDZ140R",$F$3:$F$70)*INDEX($Q$20:$Q$80,MATCH(B17,$N$20:$N$80,0))),""))</f>
        <v>6.4153229999999997E-3</v>
      </c>
      <c r="F17" s="42">
        <f t="shared" si="0"/>
        <v>0.284915323</v>
      </c>
      <c r="H17" s="192" t="s">
        <v>95</v>
      </c>
      <c r="I17" s="213" t="str">
        <f>IFERROR(VLOOKUP(H17,$B$3:$F$68,5,FALSE),"")</f>
        <v/>
      </c>
      <c r="J17" s="204"/>
    </row>
    <row r="18" spans="2:18" s="1" customFormat="1" x14ac:dyDescent="0.3">
      <c r="B18" s="40" t="s">
        <v>114</v>
      </c>
      <c r="C18" s="41" t="s">
        <v>115</v>
      </c>
      <c r="D18" s="42">
        <v>0.52759999999999996</v>
      </c>
      <c r="E18" s="24" t="str">
        <f>IF(B18="MDZ140R","",IFERROR((SUMIF($B$3:$B$70,"MDZ140R",$F$3:$F$70)*INDEX($Q$20:$Q$80,MATCH(B18,$N$20:$N$80,0))),""))</f>
        <v/>
      </c>
      <c r="F18" s="42">
        <f t="shared" si="0"/>
        <v>0.52759999999999996</v>
      </c>
      <c r="H18" s="192" t="s">
        <v>96</v>
      </c>
      <c r="I18" s="213" t="str">
        <f>IFERROR(VLOOKUP(H18,$B$3:$F$68,5,FALSE),"")</f>
        <v/>
      </c>
      <c r="J18" s="198"/>
    </row>
    <row r="19" spans="2:18" s="1" customFormat="1" x14ac:dyDescent="0.3">
      <c r="B19" s="40" t="s">
        <v>116</v>
      </c>
      <c r="C19" s="41" t="s">
        <v>117</v>
      </c>
      <c r="D19" s="42">
        <v>0.87019999999999997</v>
      </c>
      <c r="E19" s="24" t="str">
        <f>IF(B19="MDZ140R","",IFERROR((SUMIF($B$3:$B$70,"MDZ140R",$F$3:$F$70)*INDEX($Q$20:$Q$80,MATCH(B19,$N$20:$N$80,0))),""))</f>
        <v/>
      </c>
      <c r="F19" s="42">
        <f t="shared" si="0"/>
        <v>0.87019999999999997</v>
      </c>
      <c r="H19" s="192" t="s">
        <v>97</v>
      </c>
      <c r="I19" s="213" t="str">
        <f>IFERROR(VLOOKUP(H19,$B$3:$F$68,5,FALSE),"")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0" t="s">
        <v>62</v>
      </c>
      <c r="C20" s="41" t="s">
        <v>6</v>
      </c>
      <c r="D20" s="42">
        <v>0.44130000000000003</v>
      </c>
      <c r="E20" s="24" t="str">
        <f>IF(B20="MDZ140R","",IFERROR((SUMIF($B$3:$B$70,"MDZ140R",$F$3:$F$70)*INDEX($Q$20:$Q$80,MATCH(B20,$N$20:$N$80,0))),""))</f>
        <v/>
      </c>
      <c r="F20" s="42">
        <f t="shared" si="0"/>
        <v>0.44130000000000003</v>
      </c>
      <c r="H20" s="192" t="s">
        <v>98</v>
      </c>
      <c r="I20" s="213" t="str">
        <f>IFERROR(VLOOKUP(H20,$B$3:$F$68,5,FALSE),"")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0" t="s">
        <v>48</v>
      </c>
      <c r="C21" s="41" t="s">
        <v>49</v>
      </c>
      <c r="D21" s="42">
        <v>0.81100000000000005</v>
      </c>
      <c r="E21" s="24" t="str">
        <f>IF(B21="MDZ140R","",IFERROR((SUMIF($B$3:$B$70,"MDZ140R",$F$3:$F$70)*INDEX($Q$20:$Q$80,MATCH(B21,$N$20:$N$80,0))),""))</f>
        <v/>
      </c>
      <c r="F21" s="42">
        <f t="shared" si="0"/>
        <v>0.81100000000000005</v>
      </c>
      <c r="H21" s="192" t="s">
        <v>99</v>
      </c>
      <c r="I21" s="213" t="str">
        <f>IFERROR(VLOOKUP(H21,$B$3:$F$68,5,FALSE),"")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0" t="s">
        <v>63</v>
      </c>
      <c r="C22" s="41" t="s">
        <v>23</v>
      </c>
      <c r="D22" s="42">
        <v>4.6699999999999998E-2</v>
      </c>
      <c r="E22" s="24">
        <f>IF(B22="MDZ140R","",IFERROR((SUMIF($B$3:$B$70,"MDZ140R",$F$3:$F$70)*INDEX($Q$20:$Q$80,MATCH(B22,$N$20:$N$80,0))),""))</f>
        <v>3.2073679999999999E-3</v>
      </c>
      <c r="F22" s="42">
        <f t="shared" si="0"/>
        <v>4.9907368000000001E-2</v>
      </c>
      <c r="H22" s="197" t="s">
        <v>70</v>
      </c>
      <c r="I22" s="213" t="str">
        <f>IFERROR(VLOOKUP(H22,$B$3:$F$68,5,FALSE),"")</f>
        <v/>
      </c>
      <c r="J22" s="198">
        <f>SUM(I22:I35)</f>
        <v>0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9"/>
      <c r="C23" s="180"/>
      <c r="D23" s="181"/>
      <c r="E23" s="182"/>
      <c r="F23" s="181"/>
      <c r="H23" s="199"/>
      <c r="I23" s="213" t="str">
        <f>IFERROR(VLOOKUP(H23,$B$3:$F$68,5,FALSE),"")</f>
        <v/>
      </c>
      <c r="J23" s="186"/>
      <c r="L23" s="183"/>
      <c r="M23" s="183"/>
      <c r="N23" s="183"/>
      <c r="O23" s="183"/>
      <c r="P23" s="185"/>
      <c r="Q23" s="186"/>
      <c r="R23" s="183"/>
    </row>
    <row r="24" spans="2:18" s="144" customFormat="1" x14ac:dyDescent="0.3">
      <c r="B24" s="179"/>
      <c r="C24" s="180"/>
      <c r="D24" s="181"/>
      <c r="E24" s="182"/>
      <c r="F24" s="181"/>
      <c r="H24" s="199"/>
      <c r="I24" s="213" t="str">
        <f>IFERROR(VLOOKUP(H24,$B$3:$F$68,5,FALSE),"")</f>
        <v/>
      </c>
      <c r="J24" s="186"/>
      <c r="L24" s="183"/>
      <c r="M24" s="183"/>
      <c r="N24" s="183"/>
      <c r="O24" s="183"/>
      <c r="P24" s="185"/>
      <c r="Q24" s="186"/>
      <c r="R24" s="183"/>
    </row>
    <row r="25" spans="2:18" s="144" customFormat="1" x14ac:dyDescent="0.3">
      <c r="B25" s="179"/>
      <c r="C25" s="180"/>
      <c r="D25" s="181"/>
      <c r="E25" s="182"/>
      <c r="F25" s="181"/>
      <c r="H25" s="199"/>
      <c r="I25" s="213" t="str">
        <f>IFERROR(VLOOKUP(H25,$B$3:$F$68,5,FALSE),"")</f>
        <v/>
      </c>
      <c r="J25" s="186"/>
      <c r="L25" s="183"/>
      <c r="M25" s="183"/>
      <c r="N25" s="183"/>
      <c r="O25" s="183"/>
      <c r="P25" s="185"/>
      <c r="Q25" s="186"/>
      <c r="R25" s="183"/>
    </row>
    <row r="26" spans="2:18" s="144" customFormat="1" x14ac:dyDescent="0.3">
      <c r="B26" s="179"/>
      <c r="C26" s="180"/>
      <c r="D26" s="181"/>
      <c r="E26" s="182"/>
      <c r="F26" s="181"/>
      <c r="H26" s="192"/>
      <c r="I26" s="213" t="str">
        <f>IFERROR(VLOOKUP(H26,$B$3:$F$68,5,FALSE),"")</f>
        <v/>
      </c>
      <c r="J26" s="204"/>
      <c r="L26" s="183"/>
      <c r="M26" s="183"/>
      <c r="N26" s="183"/>
      <c r="O26" s="183"/>
      <c r="P26" s="185"/>
      <c r="Q26" s="186"/>
      <c r="R26" s="183"/>
    </row>
    <row r="27" spans="2:18" s="1" customFormat="1" x14ac:dyDescent="0.3">
      <c r="B27" s="40" t="s">
        <v>64</v>
      </c>
      <c r="C27" s="41" t="s">
        <v>25</v>
      </c>
      <c r="D27" s="42">
        <v>0.24640000000000001</v>
      </c>
      <c r="E27" s="24">
        <f>IF(B27="MDZ140R","",IFERROR((SUMIF($B$3:$B$70,"MDZ140R",$F$3:$F$70)*INDEX($Q$20:$Q$80,MATCH(B27,$N$20:$N$80,0))),""))</f>
        <v>9.6226910000000009E-3</v>
      </c>
      <c r="F27" s="42">
        <f t="shared" si="0"/>
        <v>0.25602269100000002</v>
      </c>
      <c r="H27" s="192"/>
      <c r="I27" s="213" t="str">
        <f>IFERROR(VLOOKUP(H27,$B$3:$F$68,5,FALSE),"")</f>
        <v/>
      </c>
      <c r="J27" s="204"/>
      <c r="L27" s="56"/>
      <c r="M27" s="56"/>
      <c r="N27" s="56" t="s">
        <v>14</v>
      </c>
      <c r="O27" s="56" t="s">
        <v>15</v>
      </c>
      <c r="P27" s="125">
        <v>5</v>
      </c>
      <c r="Q27" s="126">
        <v>2.7321999999999999E-2</v>
      </c>
      <c r="R27" s="56"/>
    </row>
    <row r="28" spans="2:18" s="1" customFormat="1" x14ac:dyDescent="0.3">
      <c r="B28" s="40" t="s">
        <v>24</v>
      </c>
      <c r="C28" s="41" t="s">
        <v>26</v>
      </c>
      <c r="D28" s="42">
        <v>0.1106</v>
      </c>
      <c r="E28" s="24">
        <f>IF(B28="MDZ140R","",IFERROR((SUMIF($B$3:$B$70,"MDZ140R",$F$3:$F$70)*INDEX($Q$20:$Q$80,MATCH(B28,$N$20:$N$80,0))),""))</f>
        <v>3.2073679999999999E-3</v>
      </c>
      <c r="F28" s="42">
        <f t="shared" si="0"/>
        <v>0.11380736800000001</v>
      </c>
      <c r="H28" s="192"/>
      <c r="I28" s="213" t="str">
        <f>IFERROR(VLOOKUP(H28,$B$3:$F$68,5,FALSE),"")</f>
        <v/>
      </c>
      <c r="J28" s="204"/>
      <c r="L28" s="56"/>
      <c r="M28" s="56"/>
      <c r="N28" s="56" t="s">
        <v>60</v>
      </c>
      <c r="O28" s="56" t="s">
        <v>4</v>
      </c>
      <c r="P28" s="125">
        <v>2</v>
      </c>
      <c r="Q28" s="126">
        <v>1.0928999999999999E-2</v>
      </c>
      <c r="R28" s="56"/>
    </row>
    <row r="29" spans="2:18" s="1" customFormat="1" x14ac:dyDescent="0.3">
      <c r="B29" s="40" t="s">
        <v>34</v>
      </c>
      <c r="C29" s="41" t="s">
        <v>35</v>
      </c>
      <c r="D29" s="42">
        <v>0.37340000000000001</v>
      </c>
      <c r="E29" s="24">
        <f>IF(B29="MDZ140R","",IFERROR((SUMIF($B$3:$B$70,"MDZ140R",$F$3:$F$70)*INDEX($Q$20:$Q$80,MATCH(B29,$N$20:$N$80,0))),""))</f>
        <v>6.4153229999999997E-3</v>
      </c>
      <c r="F29" s="42">
        <f t="shared" si="0"/>
        <v>0.37981532299999998</v>
      </c>
      <c r="H29" s="192"/>
      <c r="I29" s="213" t="str">
        <f>IFERROR(VLOOKUP(H29,$B$3:$F$68,5,FALSE),"")</f>
        <v/>
      </c>
      <c r="J29" s="204"/>
      <c r="L29" s="56"/>
      <c r="M29" s="56"/>
      <c r="N29" s="56" t="s">
        <v>61</v>
      </c>
      <c r="O29" s="56" t="s">
        <v>5</v>
      </c>
      <c r="P29" s="125">
        <v>2</v>
      </c>
      <c r="Q29" s="126">
        <v>1.0928999999999999E-2</v>
      </c>
      <c r="R29" s="56"/>
    </row>
    <row r="30" spans="2:18" s="1" customFormat="1" x14ac:dyDescent="0.3">
      <c r="B30" s="40" t="s">
        <v>7</v>
      </c>
      <c r="C30" s="41" t="s">
        <v>8</v>
      </c>
      <c r="D30" s="42">
        <v>0.1221</v>
      </c>
      <c r="E30" s="24">
        <f>IF(B30="MDZ140R","",IFERROR((SUMIF($B$3:$B$70,"MDZ140R",$F$3:$F$70)*INDEX($Q$20:$Q$80,MATCH(B30,$N$20:$N$80,0))),""))</f>
        <v>3.2073679999999999E-3</v>
      </c>
      <c r="F30" s="42">
        <f t="shared" si="0"/>
        <v>0.125307368</v>
      </c>
      <c r="H30" s="192"/>
      <c r="I30" s="213" t="str">
        <f>IFERROR(VLOOKUP(H30,$B$3:$F$68,5,FALSE),"")</f>
        <v/>
      </c>
      <c r="J30" s="204"/>
      <c r="L30" s="56"/>
      <c r="M30" s="56"/>
      <c r="N30" s="56" t="s">
        <v>18</v>
      </c>
      <c r="O30" s="56" t="s">
        <v>110</v>
      </c>
      <c r="P30" s="125">
        <v>4</v>
      </c>
      <c r="Q30" s="126">
        <v>2.1857999999999999E-2</v>
      </c>
      <c r="R30" s="56"/>
    </row>
    <row r="31" spans="2:18" s="1" customFormat="1" x14ac:dyDescent="0.3">
      <c r="B31" s="40" t="s">
        <v>27</v>
      </c>
      <c r="C31" s="41" t="s">
        <v>28</v>
      </c>
      <c r="D31" s="42">
        <v>0.58740000000000003</v>
      </c>
      <c r="E31" s="24">
        <f>IF(B31="MDZ140R","",IFERROR((SUMIF($B$3:$B$70,"MDZ140R",$F$3:$F$70)*INDEX($Q$20:$Q$80,MATCH(B31,$N$20:$N$80,0))),""))</f>
        <v>3.2073679999999999E-3</v>
      </c>
      <c r="F31" s="42">
        <f t="shared" si="0"/>
        <v>0.59060736800000002</v>
      </c>
      <c r="H31" s="192"/>
      <c r="I31" s="213" t="str">
        <f>IFERROR(VLOOKUP(H31,$B$3:$F$68,5,FALSE),"")</f>
        <v/>
      </c>
      <c r="J31" s="204"/>
      <c r="L31" s="56"/>
      <c r="M31" s="56"/>
      <c r="N31" s="56" t="s">
        <v>24</v>
      </c>
      <c r="O31" s="56" t="s">
        <v>111</v>
      </c>
      <c r="P31" s="125">
        <v>1</v>
      </c>
      <c r="Q31" s="126">
        <v>5.4640000000000001E-3</v>
      </c>
      <c r="R31" s="56"/>
    </row>
    <row r="32" spans="2:18" s="1" customFormat="1" x14ac:dyDescent="0.3">
      <c r="B32" s="40" t="s">
        <v>165</v>
      </c>
      <c r="C32" s="41" t="s">
        <v>198</v>
      </c>
      <c r="D32" s="42">
        <v>0.20269999999999999</v>
      </c>
      <c r="E32" s="24" t="str">
        <f>IF(B32="MDZ140R","",IFERROR((SUMIF($B$3:$B$70,"MDZ140R",$F$3:$F$70)*INDEX($Q$20:$Q$80,MATCH(B32,$N$20:$N$80,0))),""))</f>
        <v/>
      </c>
      <c r="F32" s="42">
        <f t="shared" si="0"/>
        <v>0.20269999999999999</v>
      </c>
      <c r="H32" s="205"/>
      <c r="I32" s="213" t="str">
        <f>IFERROR(VLOOKUP(H32,$B$3:$F$68,5,FALSE),"")</f>
        <v/>
      </c>
      <c r="J32" s="204"/>
      <c r="L32" s="56"/>
      <c r="M32" s="56"/>
      <c r="N32" s="56" t="s">
        <v>64</v>
      </c>
      <c r="O32" s="127">
        <v>4020</v>
      </c>
      <c r="P32" s="125">
        <v>3</v>
      </c>
      <c r="Q32" s="126">
        <v>1.6393000000000001E-2</v>
      </c>
      <c r="R32" s="56"/>
    </row>
    <row r="33" spans="2:18" s="1" customFormat="1" x14ac:dyDescent="0.3">
      <c r="B33" s="40" t="s">
        <v>166</v>
      </c>
      <c r="C33" s="41" t="s">
        <v>199</v>
      </c>
      <c r="D33" s="42">
        <v>0.76939999999999997</v>
      </c>
      <c r="E33" s="24" t="str">
        <f>IF(B33="MDZ140R","",IFERROR((SUMIF($B$3:$B$70,"MDZ140R",$F$3:$F$70)*INDEX($Q$20:$Q$80,MATCH(B33,$N$20:$N$80,0))),""))</f>
        <v/>
      </c>
      <c r="F33" s="42">
        <f t="shared" si="0"/>
        <v>0.76939999999999997</v>
      </c>
      <c r="H33" s="192"/>
      <c r="I33" s="213" t="str">
        <f>IFERROR(VLOOKUP(H33,$B$3:$F$68,5,FALSE),"")</f>
        <v/>
      </c>
      <c r="J33" s="198"/>
      <c r="L33" s="56"/>
      <c r="M33" s="56"/>
      <c r="N33" s="56" t="s">
        <v>34</v>
      </c>
      <c r="O33" s="56" t="s">
        <v>112</v>
      </c>
      <c r="P33" s="125">
        <v>2</v>
      </c>
      <c r="Q33" s="126">
        <v>1.0928999999999999E-2</v>
      </c>
      <c r="R33" s="56"/>
    </row>
    <row r="34" spans="2:18" s="1" customFormat="1" x14ac:dyDescent="0.3">
      <c r="B34" s="40" t="s">
        <v>65</v>
      </c>
      <c r="C34" s="41" t="s">
        <v>40</v>
      </c>
      <c r="D34" s="42">
        <v>0.65739999999999998</v>
      </c>
      <c r="E34" s="24" t="str">
        <f>IF(B34="MDZ140R","",IFERROR((SUMIF($B$3:$B$70,"MDZ140R",$F$3:$F$70)*INDEX($Q$20:$Q$80,MATCH(B34,$N$20:$N$80,0))),""))</f>
        <v/>
      </c>
      <c r="F34" s="42">
        <f t="shared" si="0"/>
        <v>0.65739999999999998</v>
      </c>
      <c r="H34" s="192"/>
      <c r="I34" s="213" t="str">
        <f>IFERROR(VLOOKUP(H34,$B$3:$F$68,5,FALSE),"")</f>
        <v/>
      </c>
      <c r="J34" s="198"/>
      <c r="L34" s="56"/>
      <c r="M34" s="56"/>
      <c r="N34" s="56" t="s">
        <v>63</v>
      </c>
      <c r="O34" s="56" t="s">
        <v>23</v>
      </c>
      <c r="P34" s="125">
        <v>1</v>
      </c>
      <c r="Q34" s="126">
        <v>5.4640000000000001E-3</v>
      </c>
      <c r="R34" s="56"/>
    </row>
    <row r="35" spans="2:18" s="1" customFormat="1" x14ac:dyDescent="0.3">
      <c r="B35" s="40" t="s">
        <v>41</v>
      </c>
      <c r="C35" s="41" t="s">
        <v>66</v>
      </c>
      <c r="D35" s="42">
        <v>0.93220000000000003</v>
      </c>
      <c r="E35" s="24" t="str">
        <f>IF(B35="MDZ140R","",IFERROR((SUMIF($B$3:$B$70,"MDZ140R",$F$3:$F$70)*INDEX($Q$20:$Q$80,MATCH(B35,$N$20:$N$80,0))),""))</f>
        <v/>
      </c>
      <c r="F35" s="42">
        <f t="shared" si="0"/>
        <v>0.93220000000000003</v>
      </c>
      <c r="H35" s="189"/>
      <c r="I35" s="213" t="str">
        <f>IFERROR(VLOOKUP(H35,$B$3:$F$68,5,FALSE),"")</f>
        <v/>
      </c>
      <c r="J35" s="198"/>
      <c r="L35" s="56"/>
      <c r="M35" s="56"/>
      <c r="N35" s="56" t="s">
        <v>7</v>
      </c>
      <c r="O35" s="56" t="s">
        <v>8</v>
      </c>
      <c r="P35" s="125">
        <v>1</v>
      </c>
      <c r="Q35" s="126">
        <v>5.4640000000000001E-3</v>
      </c>
      <c r="R35" s="56"/>
    </row>
    <row r="36" spans="2:18" s="1" customFormat="1" x14ac:dyDescent="0.3">
      <c r="B36" s="40" t="s">
        <v>42</v>
      </c>
      <c r="C36" s="41" t="s">
        <v>43</v>
      </c>
      <c r="D36" s="42">
        <v>0.41749999999999998</v>
      </c>
      <c r="E36" s="24" t="str">
        <f>IF(B36="MDZ140R","",IFERROR((SUMIF($B$3:$B$70,"MDZ140R",$F$3:$F$70)*INDEX($Q$20:$Q$80,MATCH(B36,$N$20:$N$80,0))),""))</f>
        <v/>
      </c>
      <c r="F36" s="42">
        <f t="shared" si="0"/>
        <v>0.41749999999999998</v>
      </c>
      <c r="H36" s="189" t="s">
        <v>72</v>
      </c>
      <c r="I36" s="213" t="str">
        <f>IFERROR(VLOOKUP(H36,$B$3:$F$68,5,FALSE),"")</f>
        <v/>
      </c>
      <c r="J36" s="191">
        <f>SUM(I36:I81)</f>
        <v>0.35749999999999998</v>
      </c>
      <c r="L36" s="56"/>
      <c r="M36" s="56"/>
      <c r="N36" s="56" t="s">
        <v>27</v>
      </c>
      <c r="O36" s="56" t="s">
        <v>113</v>
      </c>
      <c r="P36" s="125">
        <v>1</v>
      </c>
      <c r="Q36" s="126">
        <v>5.4640000000000001E-3</v>
      </c>
      <c r="R36" s="56"/>
    </row>
    <row r="37" spans="2:18" s="144" customFormat="1" x14ac:dyDescent="0.3">
      <c r="B37" s="179"/>
      <c r="C37" s="180"/>
      <c r="D37" s="181"/>
      <c r="E37" s="182"/>
      <c r="F37" s="181"/>
      <c r="H37" s="183" t="s">
        <v>386</v>
      </c>
      <c r="I37" s="214">
        <v>0.35749999999999998</v>
      </c>
      <c r="J37" s="184"/>
      <c r="L37" s="183"/>
      <c r="M37" s="183"/>
      <c r="N37" s="183"/>
      <c r="O37" s="183"/>
      <c r="P37" s="185"/>
      <c r="Q37" s="186"/>
      <c r="R37" s="183"/>
    </row>
    <row r="38" spans="2:18" s="144" customFormat="1" x14ac:dyDescent="0.3">
      <c r="B38" s="179"/>
      <c r="C38" s="180"/>
      <c r="D38" s="181"/>
      <c r="E38" s="182"/>
      <c r="F38" s="181"/>
      <c r="H38" s="183"/>
      <c r="I38" s="215"/>
      <c r="J38" s="184"/>
      <c r="L38" s="183"/>
      <c r="M38" s="183"/>
      <c r="N38" s="183"/>
      <c r="O38" s="183"/>
      <c r="P38" s="185"/>
      <c r="Q38" s="186"/>
      <c r="R38" s="183"/>
    </row>
    <row r="39" spans="2:18" s="144" customFormat="1" x14ac:dyDescent="0.3">
      <c r="B39" s="179"/>
      <c r="C39" s="180"/>
      <c r="D39" s="181"/>
      <c r="E39" s="182"/>
      <c r="F39" s="181"/>
      <c r="H39" s="183"/>
      <c r="I39" s="213"/>
      <c r="J39" s="184"/>
      <c r="L39" s="183"/>
      <c r="M39" s="183"/>
      <c r="N39" s="183"/>
      <c r="O39" s="183"/>
      <c r="P39" s="185"/>
      <c r="Q39" s="186"/>
      <c r="R39" s="183"/>
    </row>
    <row r="40" spans="2:18" s="144" customFormat="1" x14ac:dyDescent="0.3">
      <c r="B40" s="179"/>
      <c r="C40" s="180"/>
      <c r="D40" s="181"/>
      <c r="E40" s="182"/>
      <c r="F40" s="181"/>
      <c r="H40" s="183"/>
      <c r="I40" s="213"/>
      <c r="J40" s="184"/>
      <c r="L40" s="183"/>
      <c r="M40" s="183"/>
      <c r="N40" s="183"/>
      <c r="O40" s="183"/>
      <c r="P40" s="185"/>
      <c r="Q40" s="186"/>
      <c r="R40" s="183"/>
    </row>
    <row r="41" spans="2:18" s="144" customFormat="1" x14ac:dyDescent="0.3">
      <c r="B41" s="179"/>
      <c r="C41" s="180"/>
      <c r="D41" s="181"/>
      <c r="E41" s="182"/>
      <c r="F41" s="181"/>
      <c r="H41" s="189"/>
      <c r="I41" s="213"/>
      <c r="J41" s="191"/>
      <c r="L41" s="183"/>
      <c r="M41" s="183"/>
      <c r="N41" s="183"/>
      <c r="O41" s="183"/>
      <c r="P41" s="185"/>
      <c r="Q41" s="186"/>
      <c r="R41" s="183"/>
    </row>
    <row r="42" spans="2:18" s="144" customFormat="1" x14ac:dyDescent="0.3">
      <c r="B42" s="179"/>
      <c r="C42" s="180"/>
      <c r="D42" s="181"/>
      <c r="E42" s="182"/>
      <c r="F42" s="181"/>
      <c r="H42" s="192"/>
      <c r="I42" s="213"/>
      <c r="J42" s="206"/>
      <c r="L42" s="183"/>
      <c r="M42" s="183"/>
      <c r="N42" s="183"/>
      <c r="O42" s="183"/>
      <c r="P42" s="185"/>
      <c r="Q42" s="186"/>
      <c r="R42" s="183"/>
    </row>
    <row r="43" spans="2:18" s="144" customFormat="1" x14ac:dyDescent="0.3">
      <c r="B43" s="179"/>
      <c r="C43" s="180"/>
      <c r="D43" s="181"/>
      <c r="E43" s="182"/>
      <c r="F43" s="181"/>
      <c r="H43" s="192"/>
      <c r="I43" s="213" t="str">
        <f>IFERROR(VLOOKUP(H43,$B$3:$F$68,5,FALSE),"")</f>
        <v/>
      </c>
      <c r="J43" s="206"/>
      <c r="L43" s="183"/>
      <c r="M43" s="183"/>
      <c r="N43" s="183"/>
      <c r="O43" s="183"/>
      <c r="P43" s="185"/>
      <c r="Q43" s="186"/>
      <c r="R43" s="183"/>
    </row>
    <row r="44" spans="2:18" s="1" customFormat="1" x14ac:dyDescent="0.3">
      <c r="B44" s="179"/>
      <c r="C44" s="180"/>
      <c r="D44" s="181"/>
      <c r="E44" s="188"/>
      <c r="F44" s="181"/>
      <c r="H44" s="192"/>
      <c r="I44" s="213" t="str">
        <f>IFERROR(VLOOKUP(H44,$B$3:$F$68,5,FALSE),"")</f>
        <v/>
      </c>
      <c r="J44" s="206"/>
      <c r="L44" s="192"/>
      <c r="M44" s="192"/>
      <c r="N44" s="192"/>
      <c r="O44" s="192"/>
      <c r="P44" s="193"/>
      <c r="Q44" s="194"/>
      <c r="R44" s="192"/>
    </row>
    <row r="45" spans="2:18" s="144" customFormat="1" x14ac:dyDescent="0.3">
      <c r="B45" s="40" t="s">
        <v>391</v>
      </c>
      <c r="C45" s="41" t="s">
        <v>17</v>
      </c>
      <c r="D45" s="42">
        <v>0.22289999999999999</v>
      </c>
      <c r="E45" s="24" t="str">
        <f>IF(B45="MDZ140R","",IFERROR((SUMIF($B$3:$B$70,"MDZ140R",$F$3:$F$70)*INDEX($Q$20:$Q$80,MATCH(B45,$N$20:$N$80,0))),""))</f>
        <v/>
      </c>
      <c r="F45" s="42">
        <f t="shared" ref="F45:F69" si="2">IF(D45="","",D45+ IF(E45="",0,E45))</f>
        <v>0.22289999999999999</v>
      </c>
      <c r="H45" s="192"/>
      <c r="I45" s="213" t="str">
        <f>IFERROR(VLOOKUP(H45,$B$3:$F$68,5,FALSE),"")</f>
        <v/>
      </c>
      <c r="J45" s="206"/>
      <c r="L45" s="145"/>
      <c r="M45" s="145"/>
      <c r="N45" s="145"/>
      <c r="O45" s="145"/>
      <c r="P45" s="147"/>
      <c r="Q45" s="148"/>
      <c r="R45" s="145"/>
    </row>
    <row r="46" spans="2:18" s="1" customFormat="1" x14ac:dyDescent="0.3">
      <c r="B46" s="89" t="s">
        <v>18</v>
      </c>
      <c r="C46" s="89" t="s">
        <v>19</v>
      </c>
      <c r="D46" s="42">
        <v>0.91420000000000001</v>
      </c>
      <c r="E46" s="24">
        <f>IF(B46="MDZ140R","",IFERROR((SUMIF($B$3:$B$70,"MDZ140R",$F$3:$F$70)*INDEX($Q$20:$Q$80,MATCH(B46,$N$20:$N$80,0))),""))</f>
        <v>1.2830645999999999E-2</v>
      </c>
      <c r="F46" s="42">
        <f t="shared" si="2"/>
        <v>0.92703064599999996</v>
      </c>
      <c r="H46" s="192"/>
      <c r="I46" s="213" t="str">
        <f>IFERROR(VLOOKUP(H46,$B$3:$F$68,5,FALSE),"")</f>
        <v/>
      </c>
      <c r="J46" s="206"/>
      <c r="L46" s="56"/>
      <c r="M46" s="56"/>
      <c r="N46" s="56"/>
      <c r="O46" s="56"/>
      <c r="P46" s="125"/>
      <c r="Q46" s="126"/>
      <c r="R46" s="56"/>
    </row>
    <row r="47" spans="2:18" s="1" customFormat="1" x14ac:dyDescent="0.3">
      <c r="B47" s="89" t="s">
        <v>45</v>
      </c>
      <c r="C47" s="89" t="s">
        <v>183</v>
      </c>
      <c r="D47" s="42">
        <v>0.30549999999999999</v>
      </c>
      <c r="E47" s="24" t="str">
        <f>IF(B47="MDZ140R","",IFERROR((SUMIF($B$3:$B$70,"MDZ140R",$F$3:$F$70)*INDEX($Q$20:$Q$80,MATCH(B47,$N$20:$N$80,0))),""))</f>
        <v/>
      </c>
      <c r="F47" s="42">
        <f t="shared" si="2"/>
        <v>0.30549999999999999</v>
      </c>
      <c r="H47" s="192"/>
      <c r="I47" s="213" t="str">
        <f>IFERROR(VLOOKUP(H47,$B$3:$F$68,5,FALSE),"")</f>
        <v/>
      </c>
      <c r="J47" s="206"/>
      <c r="L47" s="56"/>
      <c r="M47" s="56"/>
      <c r="N47" s="56"/>
      <c r="O47" s="56"/>
      <c r="P47" s="125"/>
      <c r="Q47" s="126"/>
      <c r="R47" s="56"/>
    </row>
    <row r="48" spans="2:18" s="1" customFormat="1" x14ac:dyDescent="0.3">
      <c r="B48" s="89" t="s">
        <v>53</v>
      </c>
      <c r="C48" s="89" t="s">
        <v>54</v>
      </c>
      <c r="D48" s="42">
        <v>0.59750000000000003</v>
      </c>
      <c r="E48" s="24" t="str">
        <f>IF(B48="MDZ140R","",IFERROR((SUMIF($B$3:$B$70,"MDZ140R",$F$3:$F$70)*INDEX($Q$20:$Q$80,MATCH(B48,$N$20:$N$80,0))),""))</f>
        <v/>
      </c>
      <c r="F48" s="42">
        <f t="shared" si="2"/>
        <v>0.59750000000000003</v>
      </c>
      <c r="H48" s="192"/>
      <c r="I48" s="213" t="str">
        <f>IFERROR(VLOOKUP(H48,$B$3:$F$68,5,FALSE),"")</f>
        <v/>
      </c>
      <c r="J48" s="206"/>
      <c r="L48" s="56"/>
      <c r="M48" s="56"/>
      <c r="N48" s="56"/>
      <c r="O48" s="56"/>
      <c r="P48" s="125"/>
      <c r="Q48" s="126"/>
      <c r="R48" s="56"/>
    </row>
    <row r="49" spans="2:18" s="1" customFormat="1" x14ac:dyDescent="0.3">
      <c r="B49" s="89" t="s">
        <v>107</v>
      </c>
      <c r="C49" s="89" t="s">
        <v>200</v>
      </c>
      <c r="D49" s="42">
        <v>0.58699999999999997</v>
      </c>
      <c r="E49" s="24" t="str">
        <f>IF(B49="MDZ140R","",IFERROR((SUMIF($B$3:$B$70,"MDZ140R",$F$3:$F$70)*INDEX($Q$20:$Q$80,MATCH(B49,$N$20:$N$80,0))),""))</f>
        <v/>
      </c>
      <c r="F49" s="42">
        <f t="shared" si="2"/>
        <v>0.58699999999999997</v>
      </c>
      <c r="H49" s="192"/>
      <c r="I49" s="213" t="str">
        <f>IFERROR(VLOOKUP(H49,$B$3:$F$68,5,FALSE),"")</f>
        <v/>
      </c>
      <c r="J49" s="206"/>
      <c r="L49" s="56"/>
      <c r="M49" s="56"/>
      <c r="N49" s="56"/>
      <c r="O49" s="56"/>
      <c r="P49" s="125"/>
      <c r="Q49" s="126"/>
      <c r="R49" s="56"/>
    </row>
    <row r="50" spans="2:18" s="1" customFormat="1" x14ac:dyDescent="0.3">
      <c r="B50" s="89" t="s">
        <v>186</v>
      </c>
      <c r="C50" s="89" t="s">
        <v>138</v>
      </c>
      <c r="D50" s="42">
        <v>0.45250000000000001</v>
      </c>
      <c r="E50" s="24" t="str">
        <f>IF(B50="MDZ140R","",IFERROR((SUMIF($B$3:$B$70,"MDZ140R",$F$3:$F$70)*INDEX($Q$20:$Q$80,MATCH(B50,$N$20:$N$80,0))),""))</f>
        <v/>
      </c>
      <c r="F50" s="42">
        <f t="shared" si="2"/>
        <v>0.45250000000000001</v>
      </c>
      <c r="H50" s="192"/>
      <c r="I50" s="213" t="str">
        <f>IFERROR(VLOOKUP(H50,$B$3:$F$68,5,FALSE),"")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89" t="s">
        <v>139</v>
      </c>
      <c r="C51" s="89" t="s">
        <v>201</v>
      </c>
      <c r="D51" s="42">
        <v>0.1532</v>
      </c>
      <c r="E51" s="24" t="str">
        <f>IF(B51="MDZ140R","",IFERROR((SUMIF($B$3:$B$70,"MDZ140R",$F$3:$F$70)*INDEX($Q$20:$Q$80,MATCH(B51,$N$20:$N$80,0))),""))</f>
        <v/>
      </c>
      <c r="F51" s="42">
        <f t="shared" si="2"/>
        <v>0.1532</v>
      </c>
      <c r="H51" s="192"/>
      <c r="I51" s="213" t="str">
        <f>IFERROR(VLOOKUP(H51,$B$3:$F$68,5,FALSE),"")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 t="s">
        <v>141</v>
      </c>
      <c r="C52" s="89" t="s">
        <v>142</v>
      </c>
      <c r="D52" s="42">
        <v>4.4200000000000003E-2</v>
      </c>
      <c r="E52" s="24" t="str">
        <f>IF(B52="MDZ140R","",IFERROR((SUMIF($B$3:$B$70,"MDZ140R",$F$3:$F$70)*INDEX($Q$20:$Q$80,MATCH(B52,$N$20:$N$80,0))),""))</f>
        <v/>
      </c>
      <c r="F52" s="42">
        <f t="shared" si="2"/>
        <v>4.4200000000000003E-2</v>
      </c>
      <c r="H52" s="192"/>
      <c r="I52" s="213" t="str">
        <f>IFERROR(VLOOKUP(H52,$B$3:$F$68,5,FALSE),"")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 t="s">
        <v>143</v>
      </c>
      <c r="C53" s="89" t="s">
        <v>202</v>
      </c>
      <c r="D53" s="42">
        <v>0.35310000000000002</v>
      </c>
      <c r="E53" s="24" t="str">
        <f>IF(B53="MDZ140R","",IFERROR((SUMIF($B$3:$B$70,"MDZ140R",$F$3:$F$70)*INDEX($Q$20:$Q$80,MATCH(B53,$N$20:$N$80,0))),""))</f>
        <v/>
      </c>
      <c r="F53" s="42">
        <f t="shared" si="2"/>
        <v>0.35310000000000002</v>
      </c>
      <c r="H53" s="192"/>
      <c r="I53" s="213" t="str">
        <f>IFERROR(VLOOKUP(H53,$B$3:$F$68,5,FALSE),"")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/>
      <c r="C54" s="89"/>
      <c r="D54"/>
      <c r="E54" s="24" t="str">
        <f>IF(B54="MDZ140R","",IFERROR((SUMIF($B$3:$B$70,"MDZ140R",$F$3:$F$70)*INDEX($Q$20:$Q$80,MATCH(B54,$N$20:$N$80,0))),""))</f>
        <v/>
      </c>
      <c r="F54" s="42" t="str">
        <f t="shared" si="2"/>
        <v/>
      </c>
      <c r="H54" s="192"/>
      <c r="I54" s="213" t="str">
        <f>IFERROR(VLOOKUP(H54,$B$3:$F$68,5,FALSE),"")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89"/>
      <c r="C55" s="89"/>
      <c r="D55" s="42"/>
      <c r="E55" s="24" t="str">
        <f>IF(B55="MDZ140R","",IFERROR((SUMIF($B$3:$B$70,"MDZ140R",$F$3:$F$70)*INDEX($Q$20:$Q$80,MATCH(B55,$N$20:$N$80,0))),""))</f>
        <v/>
      </c>
      <c r="F55" s="42" t="str">
        <f t="shared" si="2"/>
        <v/>
      </c>
      <c r="H55" s="192"/>
      <c r="I55" s="213" t="str">
        <f>IFERROR(VLOOKUP(H55,$B$3:$F$68,5,FALSE),"")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89"/>
      <c r="C56" s="89"/>
      <c r="D56" s="42"/>
      <c r="E56" s="24" t="str">
        <f>IF(B56="MDZ140R","",IFERROR((SUMIF($B$3:$B$70,"MDZ140R",$F$3:$F$70)*INDEX($Q$20:$Q$80,MATCH(B56,$N$20:$N$80,0))),""))</f>
        <v/>
      </c>
      <c r="F56" s="42" t="str">
        <f t="shared" si="2"/>
        <v/>
      </c>
      <c r="H56" s="192"/>
      <c r="I56" s="213" t="str">
        <f>IFERROR(VLOOKUP(H56,$B$3:$F$68,5,FALSE),"")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89"/>
      <c r="C57" s="89"/>
      <c r="D57" s="42"/>
      <c r="E57" s="24" t="str">
        <f>IF(B57="MDZ140R","",IFERROR((SUMIF($B$3:$B$70,"MDZ140R",$F$3:$F$70)*INDEX($Q$20:$Q$80,MATCH(B57,$N$20:$N$80,0))),""))</f>
        <v/>
      </c>
      <c r="F57" s="42" t="str">
        <f t="shared" si="2"/>
        <v/>
      </c>
      <c r="H57" s="192"/>
      <c r="I57" s="213" t="str">
        <f>IFERROR(VLOOKUP(H57,$B$3:$F$68,5,FALSE),"")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/>
      <c r="C58" s="89"/>
      <c r="D58" s="42"/>
      <c r="E58" s="24" t="str">
        <f>IF(B58="MDZ140R","",IFERROR((SUMIF($B$3:$B$70,"MDZ140R",$F$3:$F$70)*INDEX($Q$20:$Q$80,MATCH(B58,$N$20:$N$80,0))),""))</f>
        <v/>
      </c>
      <c r="F58" s="42" t="str">
        <f t="shared" si="2"/>
        <v/>
      </c>
      <c r="H58" s="192"/>
      <c r="I58" s="213" t="str">
        <f>IFERROR(VLOOKUP(H58,$B$3:$F$68,5,FALSE),"")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/>
      <c r="C59" s="89"/>
      <c r="D59" s="42"/>
      <c r="E59" s="24" t="str">
        <f>IF(B59="MDZ140R","",IFERROR((SUMIF($B$3:$B$70,"MDZ140R",$F$3:$F$70)*INDEX($Q$20:$Q$80,MATCH(B59,$N$20:$N$80,0))),""))</f>
        <v/>
      </c>
      <c r="F59" s="42" t="str">
        <f t="shared" si="2"/>
        <v/>
      </c>
      <c r="H59" s="192"/>
      <c r="I59" s="213" t="str">
        <f>IFERROR(VLOOKUP(H59,$B$3:$F$68,5,FALSE),"")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/>
      <c r="C60" s="89"/>
      <c r="D60" s="42"/>
      <c r="E60" s="24" t="str">
        <f>IF(B60="MDZ140R","",IFERROR((SUMIF($B$3:$B$70,"MDZ140R",$F$3:$F$70)*INDEX($Q$20:$Q$80,MATCH(B60,$N$20:$N$80,0))),""))</f>
        <v/>
      </c>
      <c r="F60" s="42" t="str">
        <f t="shared" si="2"/>
        <v/>
      </c>
      <c r="H60" s="192"/>
      <c r="I60" s="213" t="str">
        <f>IFERROR(VLOOKUP(H60,$B$3:$F$68,5,FALSE),"")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/>
      <c r="C61" s="89"/>
      <c r="D61" s="42"/>
      <c r="E61" s="24" t="str">
        <f>IF(B61="MDZ140R","",IFERROR((SUMIF($B$3:$B$70,"MDZ140R",$F$3:$F$70)*INDEX($Q$20:$Q$80,MATCH(B61,$N$20:$N$80,0))),""))</f>
        <v/>
      </c>
      <c r="F61" s="42" t="str">
        <f t="shared" si="2"/>
        <v/>
      </c>
      <c r="H61" s="192"/>
      <c r="I61" s="213" t="str">
        <f>IFERROR(VLOOKUP(H61,$B$3:$F$68,5,FALSE),"")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/>
      <c r="C62" s="89"/>
      <c r="D62" s="42"/>
      <c r="E62" s="24" t="str">
        <f>IF(B62="MDZ140R","",IFERROR((SUMIF($B$3:$B$70,"MDZ140R",$F$3:$F$70)*INDEX($Q$20:$Q$80,MATCH(B62,$N$20:$N$80,0))),""))</f>
        <v/>
      </c>
      <c r="F62" s="42" t="str">
        <f t="shared" si="2"/>
        <v/>
      </c>
      <c r="H62" s="192"/>
      <c r="I62" s="213" t="str">
        <f>IFERROR(VLOOKUP(H62,$B$3:$F$68,5,FALSE),"")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/>
      <c r="C63" s="89"/>
      <c r="D63" s="42"/>
      <c r="E63" s="24" t="str">
        <f>IF(B63="MDZ140R","",IFERROR((SUMIF($B$3:$B$70,"MDZ140R",$F$3:$F$70)*INDEX($Q$20:$Q$80,MATCH(B63,$N$20:$N$80,0))),""))</f>
        <v/>
      </c>
      <c r="F63" s="42" t="str">
        <f t="shared" si="2"/>
        <v/>
      </c>
      <c r="H63" s="192"/>
      <c r="I63" s="213" t="str">
        <f>IFERROR(VLOOKUP(H63,$B$3:$F$68,5,FALSE),"")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89"/>
      <c r="C64" s="89"/>
      <c r="D64" s="42"/>
      <c r="E64" s="24" t="str">
        <f>IF(B64="MDZ140R","",IFERROR((SUMIF($B$3:$B$70,"MDZ140R",$F$3:$F$70)*INDEX($Q$20:$Q$80,MATCH(B64,$N$20:$N$80,0))),""))</f>
        <v/>
      </c>
      <c r="F64" s="42" t="str">
        <f t="shared" si="2"/>
        <v/>
      </c>
      <c r="H64" s="192"/>
      <c r="I64" s="213" t="str">
        <f>IFERROR(VLOOKUP(H64,$B$3:$F$68,5,FALSE),"")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89"/>
      <c r="C65" s="89"/>
      <c r="D65" s="42"/>
      <c r="E65" s="24" t="str">
        <f>IF(B65="MDZ140R","",IFERROR((SUMIF($B$3:$B$70,"MDZ140R",$F$3:$F$70)*INDEX($Q$20:$Q$80,MATCH(B65,$N$20:$N$80,0))),""))</f>
        <v/>
      </c>
      <c r="F65" s="42" t="str">
        <f t="shared" si="2"/>
        <v/>
      </c>
      <c r="H65" s="192"/>
      <c r="I65" s="213" t="str">
        <f>IFERROR(VLOOKUP(H65,$B$3:$F$68,5,FALSE),"")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89"/>
      <c r="C66" s="89"/>
      <c r="D66" s="42"/>
      <c r="E66" s="24" t="str">
        <f>IF(B66="MDZ140R","",IFERROR((SUMIF($B$3:$B$70,"MDZ140R",$F$3:$F$70)*INDEX($Q$20:$Q$80,MATCH(B66,$N$20:$N$80,0))),""))</f>
        <v/>
      </c>
      <c r="F66" s="42" t="str">
        <f t="shared" si="2"/>
        <v/>
      </c>
      <c r="H66" s="192"/>
      <c r="I66" s="213" t="str">
        <f>IFERROR(VLOOKUP(H66,$B$3:$F$68,5,FALSE),"")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89"/>
      <c r="C67" s="89"/>
      <c r="D67" s="42"/>
      <c r="E67" s="24" t="str">
        <f>IF(B67="MDZ140R","",IFERROR((SUMIF($B$3:$B$70,"MDZ140R",$F$3:$F$70)*INDEX($Q$20:$Q$80,MATCH(B67,$N$20:$N$80,0))),""))</f>
        <v/>
      </c>
      <c r="F67" s="42" t="str">
        <f t="shared" si="2"/>
        <v/>
      </c>
      <c r="H67" s="192"/>
      <c r="I67" s="213" t="str">
        <f>IFERROR(VLOOKUP(H67,$B$3:$F$68,5,FALSE),"")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89"/>
      <c r="C68" s="89"/>
      <c r="D68" s="42"/>
      <c r="E68" s="24" t="str">
        <f>IF(B68="MDZ140R","",IFERROR((SUMIF($B$3:$B$70,"MDZ140R",$F$3:$F$70)*INDEX($Q$20:$Q$80,MATCH(B68,$N$20:$N$80,0))),""))</f>
        <v/>
      </c>
      <c r="F68" s="42" t="str">
        <f t="shared" si="2"/>
        <v/>
      </c>
      <c r="H68" s="192"/>
      <c r="I68" s="213" t="str">
        <f>IFERROR(VLOOKUP(H68,$B$3:$F$68,5,FALSE),"")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89"/>
      <c r="C69" s="89"/>
      <c r="D69" s="42"/>
      <c r="E69" s="24" t="str">
        <f>IF(B69="MDZ140R","",IFERROR((SUMIF($B$3:$B$70,"MDZ140R",$F$3:$F$70)*INDEX($Q$20:$Q$80,MATCH(B69,$N$20:$N$80,0))),""))</f>
        <v/>
      </c>
      <c r="F69" s="42" t="str">
        <f t="shared" si="2"/>
        <v/>
      </c>
      <c r="H69" s="192"/>
      <c r="I69" s="213" t="str">
        <f>IFERROR(VLOOKUP(H69,$B$3:$F$68,5,FALSE),"")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89"/>
      <c r="C70" s="89"/>
      <c r="D70" s="42"/>
      <c r="E70" s="24"/>
      <c r="F70" s="42"/>
      <c r="H70" s="192"/>
      <c r="I70" s="213" t="str">
        <f>IFERROR(VLOOKUP(H70,$B$3:$F$68,5,FALSE),"")</f>
        <v/>
      </c>
      <c r="J70" s="206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127"/>
      <c r="C71" s="60"/>
      <c r="D71" s="133"/>
      <c r="E71" s="134"/>
      <c r="F71" s="135"/>
      <c r="H71" s="192"/>
      <c r="I71" s="213" t="str">
        <f>IFERROR(VLOOKUP(H71,$B$3:$F$68,5,FALSE),"")</f>
        <v/>
      </c>
      <c r="J71" s="206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136"/>
      <c r="C72" s="60" t="s">
        <v>145</v>
      </c>
      <c r="D72" s="133">
        <f>SUM(D3:D71)</f>
        <v>17.842899999999993</v>
      </c>
      <c r="E72" s="134"/>
      <c r="F72" s="135">
        <f>D72+E72</f>
        <v>17.842899999999993</v>
      </c>
      <c r="H72" s="192"/>
      <c r="I72" s="213" t="str">
        <f>IFERROR(VLOOKUP(H72,$B$3:$F$68,5,FALSE),"")</f>
        <v/>
      </c>
      <c r="J72" s="206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136"/>
      <c r="C73" s="60"/>
      <c r="D73" s="133"/>
      <c r="E73" s="134"/>
      <c r="F73" s="135"/>
      <c r="H73" s="192"/>
      <c r="I73" s="213" t="str">
        <f>IFERROR(VLOOKUP(H73,$B$3:$F$68,5,FALSE),"")</f>
        <v/>
      </c>
      <c r="J73" s="206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40"/>
      <c r="C74" s="136"/>
      <c r="D74" s="133">
        <v>0</v>
      </c>
      <c r="E74" s="134"/>
      <c r="F74" s="135">
        <f>D74+E74</f>
        <v>0</v>
      </c>
      <c r="H74" s="192"/>
      <c r="I74" s="213" t="str">
        <f>IFERROR(VLOOKUP(H74,$B$3:$F$68,5,FALSE),"")</f>
        <v/>
      </c>
      <c r="J74" s="206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B75" s="40"/>
      <c r="C75" s="136"/>
      <c r="D75" s="133">
        <v>0</v>
      </c>
      <c r="E75" s="134"/>
      <c r="F75" s="135">
        <f>D75+E75</f>
        <v>0</v>
      </c>
      <c r="H75" s="192"/>
      <c r="I75" s="213" t="str">
        <f>IFERROR(VLOOKUP(H75,$B$3:$F$68,5,FALSE),"")</f>
        <v/>
      </c>
      <c r="J75" s="191"/>
      <c r="L75" s="56"/>
      <c r="M75" s="56"/>
      <c r="N75" s="56"/>
      <c r="O75" s="56"/>
      <c r="P75" s="125"/>
      <c r="Q75" s="126"/>
      <c r="R75" s="56"/>
    </row>
    <row r="76" spans="2:18" s="1" customFormat="1" x14ac:dyDescent="0.3">
      <c r="B76" s="40"/>
      <c r="C76" s="41"/>
      <c r="D76" s="42"/>
      <c r="E76" s="24" t="str">
        <f>IF(B76="MDZ140R","",IFERROR((SUMIF($B$3:$B$70,"MDZ140R",$F$3:$F$70)*INDEX($Q$20:$Q$80,MATCH(B76,$N$20:$N$80,0))),""))</f>
        <v/>
      </c>
      <c r="F76" s="42" t="str">
        <f t="shared" si="0"/>
        <v/>
      </c>
      <c r="H76" s="192"/>
      <c r="I76" s="213" t="str">
        <f>IFERROR(VLOOKUP(H76,$B$3:$F$68,5,FALSE),"")</f>
        <v/>
      </c>
      <c r="J76" s="191"/>
      <c r="L76" s="56"/>
      <c r="M76" s="56"/>
      <c r="N76" s="56"/>
      <c r="O76" s="56"/>
      <c r="P76" s="125"/>
      <c r="Q76" s="126"/>
      <c r="R76" s="56"/>
    </row>
    <row r="77" spans="2:18" s="1" customFormat="1" x14ac:dyDescent="0.3">
      <c r="B77" s="40"/>
      <c r="C77" s="41"/>
      <c r="D77" s="42"/>
      <c r="E77" s="24" t="str">
        <f>IF(B77="MDZ140R","",IFERROR((SUMIF($B$3:$B$70,"MDZ140R",$F$3:$F$70)*INDEX($Q$20:$Q$80,MATCH(B77,$N$20:$N$80,0))),""))</f>
        <v/>
      </c>
      <c r="F77" s="42" t="str">
        <f t="shared" si="0"/>
        <v/>
      </c>
      <c r="H77" s="192"/>
      <c r="I77" s="213" t="str">
        <f>IFERROR(VLOOKUP(H77,$B$3:$F$68,5,FALSE),"")</f>
        <v/>
      </c>
      <c r="J77" s="191"/>
      <c r="L77" s="56"/>
      <c r="M77" s="56"/>
      <c r="N77" s="56"/>
      <c r="O77" s="56"/>
      <c r="P77" s="125"/>
      <c r="Q77" s="126"/>
      <c r="R77" s="56"/>
    </row>
    <row r="78" spans="2:18" s="1" customFormat="1" x14ac:dyDescent="0.3">
      <c r="B78" s="40"/>
      <c r="C78" s="41"/>
      <c r="D78" s="42"/>
      <c r="E78" s="24" t="str">
        <f>IF(B78="MDZ140R","",IFERROR((SUMIF($B$3:$B$70,"MDZ140R",$F$3:$F$70)*INDEX($Q$20:$Q$80,MATCH(B78,$N$20:$N$80,0))),""))</f>
        <v/>
      </c>
      <c r="F78" s="42" t="str">
        <f t="shared" si="0"/>
        <v/>
      </c>
      <c r="H78" s="192"/>
      <c r="I78" s="213" t="str">
        <f>IFERROR(VLOOKUP(H78,$B$3:$F$68,5,FALSE),"")</f>
        <v/>
      </c>
      <c r="J78" s="191"/>
      <c r="L78" s="56"/>
      <c r="M78" s="56"/>
      <c r="N78" s="56"/>
      <c r="O78" s="56"/>
      <c r="P78" s="125"/>
      <c r="Q78" s="126"/>
      <c r="R78" s="56"/>
    </row>
    <row r="79" spans="2:18" s="1" customFormat="1" x14ac:dyDescent="0.3">
      <c r="B79" s="40"/>
      <c r="C79" s="41"/>
      <c r="D79" s="42"/>
      <c r="E79" s="24" t="str">
        <f>IF(B79="MDZ140R","",IFERROR((SUMIF($B$3:$B$70,"MDZ140R",$F$3:$F$70)*INDEX($Q$20:$Q$80,MATCH(B79,$N$20:$N$80,0))),""))</f>
        <v/>
      </c>
      <c r="F79" s="42" t="str">
        <f t="shared" si="0"/>
        <v/>
      </c>
      <c r="H79" s="192"/>
      <c r="I79" s="213" t="str">
        <f>IFERROR(VLOOKUP(H79,$B$3:$F$68,5,FALSE),"")</f>
        <v/>
      </c>
      <c r="J79" s="191"/>
      <c r="L79" s="56"/>
      <c r="M79" s="56"/>
      <c r="N79" s="56"/>
      <c r="O79" s="56"/>
      <c r="P79" s="125"/>
      <c r="Q79" s="126"/>
      <c r="R79" s="56"/>
    </row>
    <row r="80" spans="2:18" s="1" customFormat="1" x14ac:dyDescent="0.3">
      <c r="B80" s="40"/>
      <c r="C80" s="41"/>
      <c r="D80" s="42"/>
      <c r="E80" s="24" t="str">
        <f>IF(B80="MDZ140R","",IFERROR((SUMIF($B$3:$B$70,"MDZ140R",$F$3:$F$70)*INDEX($Q$20:$Q$80,MATCH(B80,$N$20:$N$80,0))),""))</f>
        <v/>
      </c>
      <c r="F80" s="42" t="str">
        <f t="shared" si="0"/>
        <v/>
      </c>
      <c r="H80" s="192"/>
      <c r="I80" s="213" t="str">
        <f>IFERROR(VLOOKUP(H80,$B$3:$F$68,5,FALSE),"")</f>
        <v/>
      </c>
      <c r="J80" s="191"/>
      <c r="L80" s="56"/>
      <c r="M80" s="56"/>
      <c r="N80" s="56"/>
      <c r="O80" s="56"/>
      <c r="P80" s="125"/>
      <c r="Q80" s="126"/>
      <c r="R80" s="56"/>
    </row>
    <row r="81" spans="8:18" s="1" customFormat="1" x14ac:dyDescent="0.3">
      <c r="H81" s="192"/>
      <c r="I81" s="213" t="str">
        <f>IFERROR(VLOOKUP(H81,$B$3:$F$68,5,FALSE),"")</f>
        <v/>
      </c>
      <c r="J81" s="207"/>
      <c r="L81" s="56"/>
      <c r="M81" s="56"/>
      <c r="N81" s="56"/>
      <c r="O81" s="59" t="s">
        <v>3</v>
      </c>
      <c r="P81" s="131">
        <f>SUM(P20:P36)</f>
        <v>182</v>
      </c>
      <c r="Q81" s="131">
        <f>SUM(Q20:Q36)</f>
        <v>0.994533</v>
      </c>
      <c r="R81" s="59">
        <v>0</v>
      </c>
    </row>
    <row r="82" spans="8:18" x14ac:dyDescent="0.3">
      <c r="H82" s="189" t="s">
        <v>73</v>
      </c>
      <c r="I82" s="213" t="str">
        <f>IFERROR(VLOOKUP(H82,$B$3:$F$68,5,FALSE),"")</f>
        <v/>
      </c>
      <c r="J82" s="191">
        <f>SUM(I82:I96)</f>
        <v>1.4108841030000001</v>
      </c>
    </row>
    <row r="83" spans="8:18" x14ac:dyDescent="0.3">
      <c r="H83" s="196" t="s">
        <v>44</v>
      </c>
      <c r="I83" s="211">
        <v>0.166825</v>
      </c>
      <c r="J83" s="201"/>
      <c r="K83">
        <v>0.33365</v>
      </c>
    </row>
    <row r="84" spans="8:18" x14ac:dyDescent="0.3">
      <c r="H84" s="196" t="s">
        <v>38</v>
      </c>
      <c r="I84" s="211">
        <v>0.33350000000000002</v>
      </c>
      <c r="J84" s="201"/>
      <c r="K84">
        <v>0.66700000000000004</v>
      </c>
    </row>
    <row r="85" spans="8:18" x14ac:dyDescent="0.3">
      <c r="H85" s="196" t="s">
        <v>9</v>
      </c>
      <c r="I85" s="213">
        <f>IFERROR(VLOOKUP(H85,$B$3:$F$68,5,FALSE),"")</f>
        <v>0.22155910299999998</v>
      </c>
      <c r="J85" s="201"/>
    </row>
    <row r="86" spans="8:18" x14ac:dyDescent="0.3">
      <c r="H86" s="196" t="s">
        <v>119</v>
      </c>
      <c r="I86" s="213">
        <f>IFERROR(VLOOKUP(H86,$B$3:$F$68,5,FALSE),"")</f>
        <v>0.51849999999999996</v>
      </c>
      <c r="J86" s="201"/>
    </row>
    <row r="87" spans="8:18" x14ac:dyDescent="0.3">
      <c r="H87" s="196" t="s">
        <v>133</v>
      </c>
      <c r="I87" s="213" t="str">
        <f>IFERROR(VLOOKUP(H87,$B$3:$F$68,5,FALSE),"")</f>
        <v/>
      </c>
      <c r="J87" s="201"/>
    </row>
    <row r="88" spans="8:18" x14ac:dyDescent="0.3">
      <c r="H88" s="196" t="s">
        <v>147</v>
      </c>
      <c r="I88" s="213" t="str">
        <f>IFERROR(VLOOKUP(H88,$B$3:$F$68,5,FALSE),"")</f>
        <v/>
      </c>
      <c r="J88" s="201"/>
    </row>
    <row r="89" spans="8:18" x14ac:dyDescent="0.3">
      <c r="H89" s="196" t="s">
        <v>148</v>
      </c>
      <c r="I89" s="213" t="str">
        <f>IFERROR(VLOOKUP(H89,$B$3:$F$68,5,FALSE),"")</f>
        <v/>
      </c>
      <c r="J89" s="201"/>
    </row>
    <row r="90" spans="8:18" x14ac:dyDescent="0.3">
      <c r="H90" s="196" t="s">
        <v>11</v>
      </c>
      <c r="I90" s="213">
        <f>IFERROR(VLOOKUP(H90,$B$3:$F$68,5,FALSE),"")</f>
        <v>0.17050000000000001</v>
      </c>
      <c r="J90" s="201"/>
    </row>
    <row r="91" spans="8:18" x14ac:dyDescent="0.3">
      <c r="H91" s="196" t="s">
        <v>149</v>
      </c>
      <c r="I91" s="213" t="str">
        <f>IFERROR(VLOOKUP(H91,$B$3:$F$68,5,FALSE),"")</f>
        <v/>
      </c>
      <c r="J91" s="201"/>
    </row>
    <row r="92" spans="8:18" x14ac:dyDescent="0.3">
      <c r="H92" s="196" t="s">
        <v>121</v>
      </c>
      <c r="I92" s="213" t="str">
        <f>IFERROR(VLOOKUP(H92,$B$3:$F$68,5,FALSE),"")</f>
        <v/>
      </c>
      <c r="J92" s="201"/>
    </row>
    <row r="93" spans="8:18" x14ac:dyDescent="0.3">
      <c r="H93" s="196" t="s">
        <v>150</v>
      </c>
      <c r="I93" s="213" t="str">
        <f>IFERROR(VLOOKUP(H93,$B$3:$F$68,5,FALSE),"")</f>
        <v/>
      </c>
      <c r="J93" s="191"/>
    </row>
    <row r="94" spans="8:18" x14ac:dyDescent="0.3">
      <c r="H94" s="196"/>
      <c r="I94" s="213" t="str">
        <f>IFERROR(VLOOKUP(H94,$B$3:$F$68,5,FALSE),"")</f>
        <v/>
      </c>
      <c r="J94" s="201"/>
    </row>
    <row r="95" spans="8:18" x14ac:dyDescent="0.3">
      <c r="H95" s="196"/>
      <c r="I95" s="213" t="str">
        <f>IFERROR(VLOOKUP(H95,$B$3:$F$68,5,FALSE),"")</f>
        <v/>
      </c>
      <c r="J95" s="201"/>
    </row>
    <row r="96" spans="8:18" x14ac:dyDescent="0.3">
      <c r="H96" s="196"/>
      <c r="I96" s="213" t="str">
        <f>IFERROR(VLOOKUP(H96,$B$3:$F$68,5,FALSE),"")</f>
        <v/>
      </c>
      <c r="J96" s="201"/>
    </row>
    <row r="97" spans="8:10" x14ac:dyDescent="0.3">
      <c r="H97" s="200" t="s">
        <v>74</v>
      </c>
      <c r="I97" s="213" t="str">
        <f>IFERROR(VLOOKUP(H97,$B$3:$F$68,5,FALSE),"")</f>
        <v/>
      </c>
      <c r="J97" s="201">
        <f>SUM(I97:I106)</f>
        <v>0.50032500000000002</v>
      </c>
    </row>
    <row r="98" spans="8:10" s="175" customFormat="1" x14ac:dyDescent="0.3">
      <c r="H98" s="176" t="s">
        <v>429</v>
      </c>
      <c r="I98" s="214">
        <v>0.33350000000000002</v>
      </c>
      <c r="J98" s="177"/>
    </row>
    <row r="99" spans="8:10" s="175" customFormat="1" x14ac:dyDescent="0.3">
      <c r="H99" s="176" t="s">
        <v>461</v>
      </c>
      <c r="I99" s="214">
        <v>0.166825</v>
      </c>
      <c r="J99" s="177"/>
    </row>
    <row r="100" spans="8:10" s="175" customFormat="1" x14ac:dyDescent="0.3">
      <c r="H100" s="176"/>
      <c r="I100" s="213" t="str">
        <f>IFERROR(VLOOKUP(H100,$B$3:$F$68,5,FALSE),"")</f>
        <v/>
      </c>
      <c r="J100" s="177"/>
    </row>
    <row r="101" spans="8:10" s="175" customFormat="1" x14ac:dyDescent="0.3">
      <c r="H101" s="176"/>
      <c r="I101" s="213" t="str">
        <f>IFERROR(VLOOKUP(H101,$B$3:$F$68,5,FALSE),"")</f>
        <v/>
      </c>
      <c r="J101" s="177"/>
    </row>
    <row r="102" spans="8:10" s="175" customFormat="1" x14ac:dyDescent="0.3">
      <c r="H102" s="176"/>
      <c r="I102" s="213" t="str">
        <f>IFERROR(VLOOKUP(H102,$B$3:$F$68,5,FALSE),"")</f>
        <v/>
      </c>
      <c r="J102" s="177"/>
    </row>
    <row r="103" spans="8:10" x14ac:dyDescent="0.3">
      <c r="H103" s="176"/>
      <c r="I103" s="213" t="str">
        <f>IFERROR(VLOOKUP(H103,$B$3:$F$68,5,FALSE),"")</f>
        <v/>
      </c>
      <c r="J103" s="177"/>
    </row>
    <row r="104" spans="8:10" s="175" customFormat="1" x14ac:dyDescent="0.3">
      <c r="H104" s="196"/>
      <c r="I104" s="213" t="str">
        <f>IFERROR(VLOOKUP(H104,$B$3:$F$68,5,FALSE),"")</f>
        <v/>
      </c>
      <c r="J104" s="208"/>
    </row>
    <row r="105" spans="8:10" x14ac:dyDescent="0.3">
      <c r="H105" s="196"/>
      <c r="I105" s="213" t="str">
        <f>IFERROR(VLOOKUP(H105,$B$3:$F$68,5,FALSE),"")</f>
        <v/>
      </c>
      <c r="J105" s="201"/>
    </row>
    <row r="106" spans="8:10" x14ac:dyDescent="0.3">
      <c r="H106" s="196"/>
      <c r="I106" s="213" t="str">
        <f>IFERROR(VLOOKUP(H106,$B$3:$F$68,5,FALSE),"")</f>
        <v/>
      </c>
      <c r="J106" s="201"/>
    </row>
    <row r="107" spans="8:10" s="175" customFormat="1" x14ac:dyDescent="0.3">
      <c r="H107" s="200" t="s">
        <v>75</v>
      </c>
      <c r="I107" s="213" t="str">
        <f>IFERROR(VLOOKUP(H107,$B$3:$F$68,5,FALSE),"")</f>
        <v/>
      </c>
      <c r="J107" s="201">
        <f>SUM(I107:I113)</f>
        <v>0.11113801399999999</v>
      </c>
    </row>
    <row r="108" spans="8:10" x14ac:dyDescent="0.3">
      <c r="H108" s="196" t="s">
        <v>215</v>
      </c>
      <c r="I108" s="213" t="str">
        <f>IFERROR(VLOOKUP(H108,$B$3:$F$68,5,FALSE),"")</f>
        <v/>
      </c>
      <c r="J108" s="201"/>
    </row>
    <row r="109" spans="8:10" x14ac:dyDescent="0.3">
      <c r="H109" s="196" t="s">
        <v>151</v>
      </c>
      <c r="I109" s="213" t="str">
        <f>IFERROR(VLOOKUP(H109,$B$3:$F$68,5,FALSE),"")</f>
        <v/>
      </c>
      <c r="J109" s="201"/>
    </row>
    <row r="110" spans="8:10" x14ac:dyDescent="0.3">
      <c r="H110" s="196" t="s">
        <v>14</v>
      </c>
      <c r="I110" s="211">
        <v>0.11113801399999999</v>
      </c>
      <c r="J110" s="201"/>
    </row>
    <row r="111" spans="8:10" x14ac:dyDescent="0.3">
      <c r="H111" s="196" t="s">
        <v>152</v>
      </c>
      <c r="I111" s="213" t="str">
        <f>IFERROR(VLOOKUP(H111,$B$3:$F$68,5,FALSE),"")</f>
        <v/>
      </c>
      <c r="J111" s="201"/>
    </row>
    <row r="112" spans="8:10" x14ac:dyDescent="0.3">
      <c r="H112" s="196" t="s">
        <v>211</v>
      </c>
      <c r="I112" s="213" t="str">
        <f>IFERROR(VLOOKUP(H112,$B$3:$F$68,5,FALSE),"")</f>
        <v/>
      </c>
      <c r="J112" s="201"/>
    </row>
    <row r="113" spans="8:10" x14ac:dyDescent="0.3">
      <c r="H113" s="196" t="s">
        <v>212</v>
      </c>
      <c r="I113" s="213" t="str">
        <f>IFERROR(VLOOKUP(H113,$B$3:$F$68,5,FALSE),"")</f>
        <v/>
      </c>
      <c r="J113" s="201"/>
    </row>
    <row r="114" spans="8:10" x14ac:dyDescent="0.3">
      <c r="H114" s="200" t="s">
        <v>76</v>
      </c>
      <c r="I114" s="213" t="str">
        <f>IFERROR(VLOOKUP(H114,$B$3:$F$68,5,FALSE),"")</f>
        <v/>
      </c>
      <c r="J114" s="201">
        <f>SUM(I114:I118)</f>
        <v>0</v>
      </c>
    </row>
    <row r="115" spans="8:10" x14ac:dyDescent="0.3">
      <c r="H115" s="196"/>
      <c r="I115" s="213" t="str">
        <f>IFERROR(VLOOKUP(H115,$B$3:$F$68,5,FALSE),"")</f>
        <v/>
      </c>
      <c r="J115" s="208"/>
    </row>
    <row r="116" spans="8:10" x14ac:dyDescent="0.3">
      <c r="H116" s="196"/>
      <c r="I116" s="213" t="str">
        <f>IFERROR(VLOOKUP(H116,$B$3:$F$68,5,FALSE),"")</f>
        <v/>
      </c>
      <c r="J116" s="201"/>
    </row>
    <row r="117" spans="8:10" x14ac:dyDescent="0.3">
      <c r="H117" s="196"/>
      <c r="I117" s="213" t="str">
        <f>IFERROR(VLOOKUP(H117,$B$3:$F$68,5,FALSE),"")</f>
        <v/>
      </c>
      <c r="J117" s="201"/>
    </row>
    <row r="118" spans="8:10" s="175" customFormat="1" x14ac:dyDescent="0.3">
      <c r="H118" s="196"/>
      <c r="I118" s="213" t="str">
        <f>IFERROR(VLOOKUP(H118,$B$3:$F$68,5,FALSE),"")</f>
        <v/>
      </c>
      <c r="J118" s="201"/>
    </row>
    <row r="119" spans="8:10" x14ac:dyDescent="0.3">
      <c r="H119" s="200" t="s">
        <v>78</v>
      </c>
      <c r="I119" s="213" t="str">
        <f>IFERROR(VLOOKUP(H119,$B$3:$F$68,5,FALSE),"")</f>
        <v/>
      </c>
      <c r="J119" s="201">
        <f>SUM(I119:I125)</f>
        <v>0</v>
      </c>
    </row>
    <row r="120" spans="8:10" x14ac:dyDescent="0.3">
      <c r="H120" s="176"/>
      <c r="I120" s="213" t="str">
        <f>IFERROR(VLOOKUP(H120,$B$3:$F$68,5,FALSE),"")</f>
        <v/>
      </c>
      <c r="J120" s="177"/>
    </row>
    <row r="121" spans="8:10" s="175" customFormat="1" x14ac:dyDescent="0.3">
      <c r="H121" s="196"/>
      <c r="I121" s="213" t="str">
        <f>IFERROR(VLOOKUP(H121,$B$3:$F$68,5,FALSE),"")</f>
        <v/>
      </c>
      <c r="J121" s="208"/>
    </row>
    <row r="122" spans="8:10" x14ac:dyDescent="0.3">
      <c r="H122" s="196"/>
      <c r="I122" s="213" t="str">
        <f>IFERROR(VLOOKUP(H122,$B$3:$F$68,5,FALSE),"")</f>
        <v/>
      </c>
      <c r="J122" s="208"/>
    </row>
    <row r="123" spans="8:10" x14ac:dyDescent="0.3">
      <c r="H123" s="196"/>
      <c r="I123" s="213" t="str">
        <f>IFERROR(VLOOKUP(H123,$B$3:$F$68,5,FALSE),"")</f>
        <v/>
      </c>
      <c r="J123" s="208"/>
    </row>
    <row r="124" spans="8:10" x14ac:dyDescent="0.3">
      <c r="H124" s="196"/>
      <c r="I124" s="213" t="str">
        <f>IFERROR(VLOOKUP(H124,$B$3:$F$68,5,FALSE),"")</f>
        <v/>
      </c>
      <c r="J124" s="201"/>
    </row>
    <row r="125" spans="8:10" x14ac:dyDescent="0.3">
      <c r="H125" s="196"/>
      <c r="I125" s="213" t="str">
        <f>IFERROR(VLOOKUP(H125,$B$3:$F$68,5,FALSE),"")</f>
        <v/>
      </c>
      <c r="J125" s="201"/>
    </row>
    <row r="126" spans="8:10" x14ac:dyDescent="0.3">
      <c r="H126" s="200" t="s">
        <v>77</v>
      </c>
      <c r="I126" s="213" t="str">
        <f>IFERROR(VLOOKUP(H126,$B$3:$F$68,5,FALSE),"")</f>
        <v/>
      </c>
      <c r="J126" s="201">
        <f>SUM(I126:I174)</f>
        <v>9.7546134549999994</v>
      </c>
    </row>
    <row r="127" spans="8:10" x14ac:dyDescent="0.3">
      <c r="H127" s="196" t="s">
        <v>60</v>
      </c>
      <c r="I127" s="213">
        <f>IFERROR(VLOOKUP(H127,$B$3:$F$68,5,FALSE),"")</f>
        <v>0.779815323</v>
      </c>
      <c r="J127" s="201"/>
    </row>
    <row r="128" spans="8:10" x14ac:dyDescent="0.3">
      <c r="H128" s="196" t="s">
        <v>153</v>
      </c>
      <c r="I128" s="213" t="str">
        <f>IFERROR(VLOOKUP(H128,$B$3:$F$68,5,FALSE),"")</f>
        <v/>
      </c>
      <c r="J128" s="201"/>
    </row>
    <row r="129" spans="8:10" x14ac:dyDescent="0.3">
      <c r="H129" s="196" t="s">
        <v>154</v>
      </c>
      <c r="I129" s="213" t="str">
        <f>IFERROR(VLOOKUP(H129,$B$3:$F$68,5,FALSE),"")</f>
        <v/>
      </c>
      <c r="J129" s="201"/>
    </row>
    <row r="130" spans="8:10" x14ac:dyDescent="0.3">
      <c r="H130" s="196" t="s">
        <v>114</v>
      </c>
      <c r="I130" s="213">
        <f>IFERROR(VLOOKUP(H130,$B$3:$F$68,5,FALSE),"")</f>
        <v>0.52759999999999996</v>
      </c>
      <c r="J130" s="201"/>
    </row>
    <row r="131" spans="8:10" x14ac:dyDescent="0.3">
      <c r="H131" s="196" t="s">
        <v>116</v>
      </c>
      <c r="I131" s="213">
        <f>IFERROR(VLOOKUP(H131,$B$3:$F$68,5,FALSE),"")</f>
        <v>0.87019999999999997</v>
      </c>
      <c r="J131" s="200"/>
    </row>
    <row r="132" spans="8:10" x14ac:dyDescent="0.3">
      <c r="H132" s="196" t="s">
        <v>62</v>
      </c>
      <c r="I132" s="213">
        <f>IFERROR(VLOOKUP(H132,$B$3:$F$68,5,FALSE),"")</f>
        <v>0.44130000000000003</v>
      </c>
      <c r="J132" s="200"/>
    </row>
    <row r="133" spans="8:10" x14ac:dyDescent="0.3">
      <c r="H133" s="196" t="s">
        <v>48</v>
      </c>
      <c r="I133" s="213">
        <f>IFERROR(VLOOKUP(H133,$B$3:$F$68,5,FALSE),"")</f>
        <v>0.81100000000000005</v>
      </c>
      <c r="J133" s="200"/>
    </row>
    <row r="134" spans="8:10" x14ac:dyDescent="0.3">
      <c r="H134" s="196" t="s">
        <v>63</v>
      </c>
      <c r="I134" s="213">
        <f>IFERROR(VLOOKUP(H134,$B$3:$F$68,5,FALSE),"")</f>
        <v>4.9907368000000001E-2</v>
      </c>
      <c r="J134" s="200"/>
    </row>
    <row r="135" spans="8:10" x14ac:dyDescent="0.3">
      <c r="H135" s="196" t="s">
        <v>131</v>
      </c>
      <c r="I135" s="213" t="str">
        <f>IFERROR(VLOOKUP(H135,$B$3:$F$68,5,FALSE),"")</f>
        <v/>
      </c>
      <c r="J135" s="200"/>
    </row>
    <row r="136" spans="8:10" x14ac:dyDescent="0.3">
      <c r="H136" s="196" t="s">
        <v>155</v>
      </c>
      <c r="I136" s="213" t="str">
        <f>IFERROR(VLOOKUP(H136,$B$3:$F$68,5,FALSE),"")</f>
        <v/>
      </c>
      <c r="J136" s="200"/>
    </row>
    <row r="137" spans="8:10" x14ac:dyDescent="0.3">
      <c r="H137" s="196" t="s">
        <v>156</v>
      </c>
      <c r="I137" s="213" t="str">
        <f>IFERROR(VLOOKUP(H137,$B$3:$F$68,5,FALSE),"")</f>
        <v/>
      </c>
      <c r="J137" s="200"/>
    </row>
    <row r="138" spans="8:10" x14ac:dyDescent="0.3">
      <c r="H138" s="196" t="s">
        <v>64</v>
      </c>
      <c r="I138" s="213">
        <f>IFERROR(VLOOKUP(H138,$B$3:$F$68,5,FALSE),"")</f>
        <v>0.25602269100000002</v>
      </c>
      <c r="J138" s="200"/>
    </row>
    <row r="139" spans="8:10" x14ac:dyDescent="0.3">
      <c r="H139" s="196" t="s">
        <v>24</v>
      </c>
      <c r="I139" s="213">
        <f>IFERROR(VLOOKUP(H139,$B$3:$F$68,5,FALSE),"")</f>
        <v>0.11380736800000001</v>
      </c>
      <c r="J139" s="200"/>
    </row>
    <row r="140" spans="8:10" x14ac:dyDescent="0.3">
      <c r="H140" s="196" t="s">
        <v>34</v>
      </c>
      <c r="I140" s="213">
        <f>IFERROR(VLOOKUP(H140,$B$3:$F$68,5,FALSE),"")</f>
        <v>0.37981532299999998</v>
      </c>
      <c r="J140" s="200"/>
    </row>
    <row r="141" spans="8:10" x14ac:dyDescent="0.3">
      <c r="H141" s="196" t="s">
        <v>157</v>
      </c>
      <c r="I141" s="213" t="str">
        <f>IFERROR(VLOOKUP(H141,$B$3:$F$68,5,FALSE),"")</f>
        <v/>
      </c>
      <c r="J141" s="200"/>
    </row>
    <row r="142" spans="8:10" x14ac:dyDescent="0.3">
      <c r="H142" s="196" t="s">
        <v>158</v>
      </c>
      <c r="I142" s="213" t="str">
        <f>IFERROR(VLOOKUP(H142,$B$3:$F$68,5,FALSE),"")</f>
        <v/>
      </c>
      <c r="J142" s="200"/>
    </row>
    <row r="143" spans="8:10" x14ac:dyDescent="0.3">
      <c r="H143" s="196" t="s">
        <v>159</v>
      </c>
      <c r="I143" s="213" t="str">
        <f>IFERROR(VLOOKUP(H143,$B$3:$F$68,5,FALSE),"")</f>
        <v/>
      </c>
      <c r="J143" s="200"/>
    </row>
    <row r="144" spans="8:10" x14ac:dyDescent="0.3">
      <c r="H144" s="196" t="s">
        <v>160</v>
      </c>
      <c r="I144" s="213" t="str">
        <f>IFERROR(VLOOKUP(H144,$B$3:$F$68,5,FALSE),"")</f>
        <v/>
      </c>
      <c r="J144" s="200"/>
    </row>
    <row r="145" spans="8:10" x14ac:dyDescent="0.3">
      <c r="H145" s="196" t="s">
        <v>50</v>
      </c>
      <c r="I145" s="213" t="str">
        <f>IFERROR(VLOOKUP(H145,$B$3:$F$68,5,FALSE),"")</f>
        <v/>
      </c>
      <c r="J145" s="200"/>
    </row>
    <row r="146" spans="8:10" x14ac:dyDescent="0.3">
      <c r="H146" s="196" t="s">
        <v>161</v>
      </c>
      <c r="I146" s="213" t="str">
        <f>IFERROR(VLOOKUP(H146,$B$3:$F$68,5,FALSE),"")</f>
        <v/>
      </c>
      <c r="J146" s="200"/>
    </row>
    <row r="147" spans="8:10" x14ac:dyDescent="0.3">
      <c r="H147" s="196" t="s">
        <v>162</v>
      </c>
      <c r="I147" s="213" t="str">
        <f>IFERROR(VLOOKUP(H147,$B$3:$F$68,5,FALSE),"")</f>
        <v/>
      </c>
      <c r="J147" s="200"/>
    </row>
    <row r="148" spans="8:10" x14ac:dyDescent="0.3">
      <c r="H148" s="196" t="s">
        <v>7</v>
      </c>
      <c r="I148" s="213">
        <f>IFERROR(VLOOKUP(H148,$B$3:$F$68,5,FALSE),"")</f>
        <v>0.125307368</v>
      </c>
      <c r="J148" s="200"/>
    </row>
    <row r="149" spans="8:10" x14ac:dyDescent="0.3">
      <c r="H149" s="196" t="s">
        <v>27</v>
      </c>
      <c r="I149" s="213">
        <f>IFERROR(VLOOKUP(H149,$B$3:$F$68,5,FALSE),"")</f>
        <v>0.59060736800000002</v>
      </c>
      <c r="J149" s="200"/>
    </row>
    <row r="150" spans="8:10" x14ac:dyDescent="0.3">
      <c r="H150" s="196" t="s">
        <v>163</v>
      </c>
      <c r="I150" s="213" t="str">
        <f>IFERROR(VLOOKUP(H150,$B$3:$F$68,5,FALSE),"")</f>
        <v/>
      </c>
      <c r="J150" s="200"/>
    </row>
    <row r="151" spans="8:10" x14ac:dyDescent="0.3">
      <c r="H151" s="196" t="s">
        <v>164</v>
      </c>
      <c r="I151" s="213" t="str">
        <f>IFERROR(VLOOKUP(H151,$B$3:$F$68,5,FALSE),"")</f>
        <v/>
      </c>
      <c r="J151" s="200"/>
    </row>
    <row r="152" spans="8:10" x14ac:dyDescent="0.3">
      <c r="H152" s="196" t="s">
        <v>165</v>
      </c>
      <c r="I152" s="213">
        <f>IFERROR(VLOOKUP(H152,$B$3:$F$68,5,FALSE),"")</f>
        <v>0.20269999999999999</v>
      </c>
      <c r="J152" s="200"/>
    </row>
    <row r="153" spans="8:10" x14ac:dyDescent="0.3">
      <c r="H153" s="196" t="s">
        <v>166</v>
      </c>
      <c r="I153" s="213">
        <f>IFERROR(VLOOKUP(H153,$B$3:$F$68,5,FALSE),"")</f>
        <v>0.76939999999999997</v>
      </c>
      <c r="J153" s="200"/>
    </row>
    <row r="154" spans="8:10" x14ac:dyDescent="0.3">
      <c r="H154" s="196" t="s">
        <v>135</v>
      </c>
      <c r="I154" s="213" t="str">
        <f>IFERROR(VLOOKUP(H154,$B$3:$F$68,5,FALSE),"")</f>
        <v/>
      </c>
      <c r="J154" s="200"/>
    </row>
    <row r="155" spans="8:10" x14ac:dyDescent="0.3">
      <c r="H155" s="196" t="s">
        <v>123</v>
      </c>
      <c r="I155" s="213" t="str">
        <f>IFERROR(VLOOKUP(H155,$B$3:$F$68,5,FALSE),"")</f>
        <v/>
      </c>
      <c r="J155" s="200"/>
    </row>
    <row r="156" spans="8:10" x14ac:dyDescent="0.3">
      <c r="H156" s="196" t="s">
        <v>125</v>
      </c>
      <c r="I156" s="213" t="str">
        <f>IFERROR(VLOOKUP(H156,$B$3:$F$68,5,FALSE),"")</f>
        <v/>
      </c>
      <c r="J156" s="200"/>
    </row>
    <row r="157" spans="8:10" x14ac:dyDescent="0.3">
      <c r="H157" s="196" t="s">
        <v>167</v>
      </c>
      <c r="I157" s="213" t="str">
        <f>IFERROR(VLOOKUP(H157,$B$3:$F$68,5,FALSE),"")</f>
        <v/>
      </c>
      <c r="J157" s="200"/>
    </row>
    <row r="158" spans="8:10" x14ac:dyDescent="0.3">
      <c r="H158" s="196" t="s">
        <v>65</v>
      </c>
      <c r="I158" s="213">
        <f>IFERROR(VLOOKUP(H158,$B$3:$F$68,5,FALSE),"")</f>
        <v>0.65739999999999998</v>
      </c>
      <c r="J158" s="200"/>
    </row>
    <row r="159" spans="8:10" x14ac:dyDescent="0.3">
      <c r="H159" s="196" t="s">
        <v>41</v>
      </c>
      <c r="I159" s="213">
        <f>IFERROR(VLOOKUP(H159,$B$3:$F$68,5,FALSE),"")</f>
        <v>0.93220000000000003</v>
      </c>
      <c r="J159" s="200"/>
    </row>
    <row r="160" spans="8:10" x14ac:dyDescent="0.3">
      <c r="H160" s="196" t="s">
        <v>42</v>
      </c>
      <c r="I160" s="213">
        <f>IFERROR(VLOOKUP(H160,$B$3:$F$68,5,FALSE),"")</f>
        <v>0.41749999999999998</v>
      </c>
      <c r="J160" s="200"/>
    </row>
    <row r="161" spans="8:10" x14ac:dyDescent="0.3">
      <c r="H161" s="196" t="s">
        <v>29</v>
      </c>
      <c r="I161" s="213" t="str">
        <f>IFERROR(VLOOKUP(H161,$B$3:$F$68,5,FALSE),"")</f>
        <v/>
      </c>
      <c r="J161" s="200"/>
    </row>
    <row r="162" spans="8:10" x14ac:dyDescent="0.3">
      <c r="H162" s="196" t="s">
        <v>16</v>
      </c>
      <c r="I162" s="213" t="str">
        <f>IFERROR(VLOOKUP(H162,$B$3:$F$68,5,FALSE),"")</f>
        <v/>
      </c>
      <c r="J162" s="200"/>
    </row>
    <row r="163" spans="8:10" x14ac:dyDescent="0.3">
      <c r="H163" s="196" t="s">
        <v>168</v>
      </c>
      <c r="I163" s="213" t="str">
        <f>IFERROR(VLOOKUP(H163,$B$3:$F$68,5,FALSE),"")</f>
        <v/>
      </c>
      <c r="J163" s="200"/>
    </row>
    <row r="164" spans="8:10" x14ac:dyDescent="0.3">
      <c r="H164" s="196" t="s">
        <v>18</v>
      </c>
      <c r="I164" s="213">
        <f>IFERROR(VLOOKUP(H164,$B$3:$F$68,5,FALSE),"")</f>
        <v>0.92703064599999996</v>
      </c>
      <c r="J164" s="200"/>
    </row>
    <row r="165" spans="8:10" x14ac:dyDescent="0.3">
      <c r="H165" s="196" t="s">
        <v>45</v>
      </c>
      <c r="I165" s="213">
        <f>IFERROR(VLOOKUP(H165,$B$3:$F$68,5,FALSE),"")</f>
        <v>0.30549999999999999</v>
      </c>
      <c r="J165" s="200"/>
    </row>
    <row r="166" spans="8:10" x14ac:dyDescent="0.3">
      <c r="H166" s="196" t="s">
        <v>53</v>
      </c>
      <c r="I166" s="213">
        <f>IFERROR(VLOOKUP(H166,$B$3:$F$68,5,FALSE),"")</f>
        <v>0.59750000000000003</v>
      </c>
      <c r="J166" s="200"/>
    </row>
    <row r="167" spans="8:10" x14ac:dyDescent="0.3">
      <c r="H167" s="196" t="s">
        <v>187</v>
      </c>
      <c r="I167" s="213" t="str">
        <f>IFERROR(VLOOKUP(H167,$B$3:$F$68,5,FALSE),"")</f>
        <v/>
      </c>
      <c r="J167" s="200"/>
    </row>
    <row r="168" spans="8:10" x14ac:dyDescent="0.3">
      <c r="H168" s="196" t="s">
        <v>52</v>
      </c>
      <c r="I168" s="213" t="str">
        <f>IFERROR(VLOOKUP(H168,$B$3:$F$68,5,FALSE),"")</f>
        <v/>
      </c>
      <c r="J168" s="200"/>
    </row>
    <row r="169" spans="8:10" x14ac:dyDescent="0.3">
      <c r="H169" s="196" t="s">
        <v>55</v>
      </c>
      <c r="I169" s="213" t="str">
        <f>IFERROR(VLOOKUP(H169,$B$3:$F$68,5,FALSE),"")</f>
        <v/>
      </c>
      <c r="J169" s="200"/>
    </row>
    <row r="170" spans="8:10" x14ac:dyDescent="0.3">
      <c r="H170" s="196" t="s">
        <v>169</v>
      </c>
      <c r="I170" s="213" t="str">
        <f>IFERROR(VLOOKUP(H170,$B$3:$F$68,5,FALSE),"")</f>
        <v/>
      </c>
      <c r="J170" s="200"/>
    </row>
    <row r="171" spans="8:10" x14ac:dyDescent="0.3">
      <c r="H171" s="196" t="s">
        <v>213</v>
      </c>
      <c r="I171" s="213" t="str">
        <f>IFERROR(VLOOKUP(H171,$B$3:$F$68,5,FALSE),"")</f>
        <v/>
      </c>
      <c r="J171" s="200"/>
    </row>
    <row r="172" spans="8:10" x14ac:dyDescent="0.3">
      <c r="H172" s="196" t="s">
        <v>214</v>
      </c>
      <c r="I172" s="213" t="str">
        <f>IFERROR(VLOOKUP(H172,$B$3:$F$68,5,FALSE),"")</f>
        <v/>
      </c>
      <c r="J172" s="200"/>
    </row>
    <row r="173" spans="8:10" x14ac:dyDescent="0.3">
      <c r="H173" s="196"/>
      <c r="I173" s="213" t="str">
        <f>IFERROR(VLOOKUP(H173,$B$3:$F$68,5,FALSE),"")</f>
        <v/>
      </c>
      <c r="J173" s="200"/>
    </row>
    <row r="174" spans="8:10" x14ac:dyDescent="0.3">
      <c r="H174" s="196"/>
      <c r="I174" s="213" t="str">
        <f>IFERROR(VLOOKUP(H174,$B$3:$F$68,5,FALSE),"")</f>
        <v/>
      </c>
      <c r="J174" s="200"/>
    </row>
    <row r="175" spans="8:10" x14ac:dyDescent="0.3">
      <c r="H175" s="200" t="s">
        <v>79</v>
      </c>
      <c r="I175" s="213" t="str">
        <f>IFERROR(VLOOKUP(H175,$B$3:$F$68,5,FALSE),"")</f>
        <v/>
      </c>
      <c r="J175" s="209">
        <f>SUM(I175:I204)</f>
        <v>1.0030000000000001</v>
      </c>
    </row>
    <row r="176" spans="8:10" x14ac:dyDescent="0.3">
      <c r="H176" s="196" t="s">
        <v>170</v>
      </c>
      <c r="I176" s="213" t="str">
        <f>IFERROR(VLOOKUP(H176,$B$3:$F$68,5,FALSE),"")</f>
        <v/>
      </c>
      <c r="J176" s="200"/>
    </row>
    <row r="177" spans="8:10" x14ac:dyDescent="0.3">
      <c r="H177" s="196" t="s">
        <v>143</v>
      </c>
      <c r="I177" s="213">
        <f>IFERROR(VLOOKUP(H177,$B$3:$F$68,5,FALSE),"")</f>
        <v>0.35310000000000002</v>
      </c>
      <c r="J177" s="200"/>
    </row>
    <row r="178" spans="8:10" x14ac:dyDescent="0.3">
      <c r="H178" s="196" t="s">
        <v>171</v>
      </c>
      <c r="I178" s="213" t="str">
        <f>IFERROR(VLOOKUP(H178,$B$3:$F$68,5,FALSE),"")</f>
        <v/>
      </c>
      <c r="J178" s="200"/>
    </row>
    <row r="179" spans="8:10" x14ac:dyDescent="0.3">
      <c r="H179" s="196" t="s">
        <v>141</v>
      </c>
      <c r="I179" s="213">
        <f>IFERROR(VLOOKUP(H179,$B$3:$F$68,5,FALSE),"")</f>
        <v>4.4200000000000003E-2</v>
      </c>
      <c r="J179" s="200"/>
    </row>
    <row r="180" spans="8:10" x14ac:dyDescent="0.3">
      <c r="H180" s="196" t="s">
        <v>172</v>
      </c>
      <c r="I180" s="213" t="str">
        <f>IFERROR(VLOOKUP(H180,$B$3:$F$68,5,FALSE),"")</f>
        <v/>
      </c>
      <c r="J180" s="200"/>
    </row>
    <row r="181" spans="8:10" x14ac:dyDescent="0.3">
      <c r="H181" s="196" t="s">
        <v>173</v>
      </c>
      <c r="I181" s="213" t="str">
        <f>IFERROR(VLOOKUP(H181,$B$3:$F$68,5,FALSE),"")</f>
        <v/>
      </c>
      <c r="J181" s="200"/>
    </row>
    <row r="182" spans="8:10" x14ac:dyDescent="0.3">
      <c r="H182" s="196" t="s">
        <v>174</v>
      </c>
      <c r="I182" s="213" t="str">
        <f>IFERROR(VLOOKUP(H182,$B$3:$F$68,5,FALSE),"")</f>
        <v/>
      </c>
      <c r="J182" s="200"/>
    </row>
    <row r="183" spans="8:10" x14ac:dyDescent="0.3">
      <c r="H183" s="196" t="s">
        <v>175</v>
      </c>
      <c r="I183" s="213" t="str">
        <f>IFERROR(VLOOKUP(H183,$B$3:$F$68,5,FALSE),"")</f>
        <v/>
      </c>
      <c r="J183" s="200"/>
    </row>
    <row r="184" spans="8:10" x14ac:dyDescent="0.3">
      <c r="H184" s="196" t="s">
        <v>176</v>
      </c>
      <c r="I184" s="213" t="str">
        <f>IFERROR(VLOOKUP(H184,$B$3:$F$68,5,FALSE),"")</f>
        <v/>
      </c>
      <c r="J184" s="200"/>
    </row>
    <row r="185" spans="8:10" x14ac:dyDescent="0.3">
      <c r="H185" s="196" t="s">
        <v>186</v>
      </c>
      <c r="I185" s="213">
        <f>IFERROR(VLOOKUP(H185,$B$3:$F$68,5,FALSE),"")</f>
        <v>0.45250000000000001</v>
      </c>
      <c r="J185" s="200"/>
    </row>
    <row r="186" spans="8:10" x14ac:dyDescent="0.3">
      <c r="H186" s="196" t="s">
        <v>185</v>
      </c>
      <c r="I186" s="213" t="str">
        <f>IFERROR(VLOOKUP(H186,$B$3:$F$68,5,FALSE),"")</f>
        <v/>
      </c>
      <c r="J186" s="200"/>
    </row>
    <row r="187" spans="8:10" x14ac:dyDescent="0.3">
      <c r="H187" s="196" t="s">
        <v>137</v>
      </c>
      <c r="I187" s="213" t="str">
        <f>IFERROR(VLOOKUP(H187,$B$3:$F$68,5,FALSE),"")</f>
        <v/>
      </c>
      <c r="J187" s="200"/>
    </row>
    <row r="188" spans="8:10" x14ac:dyDescent="0.3">
      <c r="H188" s="196" t="s">
        <v>177</v>
      </c>
      <c r="I188" s="213" t="str">
        <f>IFERROR(VLOOKUP(H188,$B$3:$F$68,5,FALSE),"")</f>
        <v/>
      </c>
      <c r="J188" s="200"/>
    </row>
    <row r="189" spans="8:10" x14ac:dyDescent="0.3">
      <c r="H189" s="196" t="s">
        <v>178</v>
      </c>
      <c r="I189" s="213" t="str">
        <f>IFERROR(VLOOKUP(H189,$B$3:$F$68,5,FALSE),"")</f>
        <v/>
      </c>
      <c r="J189" s="200"/>
    </row>
    <row r="190" spans="8:10" x14ac:dyDescent="0.3">
      <c r="H190" s="196" t="s">
        <v>179</v>
      </c>
      <c r="I190" s="213" t="str">
        <f>IFERROR(VLOOKUP(H190,$B$3:$F$68,5,FALSE),"")</f>
        <v/>
      </c>
      <c r="J190" s="200"/>
    </row>
    <row r="191" spans="8:10" x14ac:dyDescent="0.3">
      <c r="H191" s="196" t="s">
        <v>180</v>
      </c>
      <c r="I191" s="213" t="str">
        <f>IFERROR(VLOOKUP(H191,$B$3:$F$68,5,FALSE),"")</f>
        <v/>
      </c>
      <c r="J191" s="200"/>
    </row>
    <row r="192" spans="8:10" x14ac:dyDescent="0.3">
      <c r="H192" s="196" t="s">
        <v>139</v>
      </c>
      <c r="I192" s="213">
        <f>IFERROR(VLOOKUP(H192,$B$3:$F$68,5,FALSE),"")</f>
        <v>0.1532</v>
      </c>
      <c r="J192" s="200"/>
    </row>
    <row r="193" spans="8:10" x14ac:dyDescent="0.3">
      <c r="H193" s="196" t="s">
        <v>181</v>
      </c>
      <c r="I193" s="213" t="str">
        <f>IFERROR(VLOOKUP(H193,$B$3:$F$68,5,FALSE),"")</f>
        <v/>
      </c>
      <c r="J193" s="200"/>
    </row>
    <row r="194" spans="8:10" x14ac:dyDescent="0.3">
      <c r="H194" s="196" t="s">
        <v>182</v>
      </c>
      <c r="I194" s="213" t="str">
        <f>IFERROR(VLOOKUP(H194,$B$3:$F$68,5,FALSE),"")</f>
        <v/>
      </c>
      <c r="J194" s="200"/>
    </row>
    <row r="195" spans="8:10" x14ac:dyDescent="0.3">
      <c r="H195" s="196"/>
      <c r="I195" s="213" t="str">
        <f>IFERROR(VLOOKUP(H195,$B$3:$F$68,5,FALSE),"")</f>
        <v/>
      </c>
      <c r="J195" s="200"/>
    </row>
    <row r="196" spans="8:10" x14ac:dyDescent="0.3">
      <c r="H196" s="196"/>
      <c r="I196" s="213" t="str">
        <f>IFERROR(VLOOKUP(H196,$B$3:$F$68,5,FALSE),"")</f>
        <v/>
      </c>
      <c r="J196" s="200"/>
    </row>
    <row r="197" spans="8:10" x14ac:dyDescent="0.3">
      <c r="H197" s="196"/>
      <c r="I197" s="213" t="str">
        <f>IFERROR(VLOOKUP(H197,$B$3:$F$68,5,FALSE),"")</f>
        <v/>
      </c>
      <c r="J197" s="200"/>
    </row>
    <row r="198" spans="8:10" x14ac:dyDescent="0.3">
      <c r="H198" s="196"/>
      <c r="I198" s="213" t="str">
        <f>IFERROR(VLOOKUP(H198,$B$3:$F$68,5,FALSE),"")</f>
        <v/>
      </c>
      <c r="J198" s="200"/>
    </row>
    <row r="199" spans="8:10" x14ac:dyDescent="0.3">
      <c r="H199" s="196"/>
      <c r="I199" s="213" t="str">
        <f>IFERROR(VLOOKUP(H199,$B$3:$F$68,5,FALSE),"")</f>
        <v/>
      </c>
      <c r="J199" s="200"/>
    </row>
    <row r="200" spans="8:10" x14ac:dyDescent="0.3">
      <c r="H200" s="196"/>
      <c r="I200" s="213" t="str">
        <f>IFERROR(VLOOKUP(H200,$B$3:$F$68,5,FALSE),"")</f>
        <v/>
      </c>
      <c r="J200" s="200"/>
    </row>
    <row r="201" spans="8:10" x14ac:dyDescent="0.3">
      <c r="H201" s="196"/>
      <c r="I201" s="213" t="str">
        <f>IFERROR(VLOOKUP(H201,$B$3:$F$68,5,FALSE),"")</f>
        <v/>
      </c>
      <c r="J201" s="200"/>
    </row>
    <row r="202" spans="8:10" x14ac:dyDescent="0.3">
      <c r="H202" s="196"/>
      <c r="I202" s="213" t="str">
        <f>IFERROR(VLOOKUP(H202,$B$3:$F$68,5,FALSE),"")</f>
        <v/>
      </c>
      <c r="J202" s="200"/>
    </row>
    <row r="203" spans="8:10" x14ac:dyDescent="0.3">
      <c r="H203" s="196"/>
      <c r="I203" s="213" t="str">
        <f>IFERROR(VLOOKUP(H203,$B$3:$F$68,5,FALSE),"")</f>
        <v/>
      </c>
      <c r="J203" s="200"/>
    </row>
    <row r="204" spans="8:10" x14ac:dyDescent="0.3">
      <c r="H204" s="196"/>
      <c r="I204" s="213" t="str">
        <f>IFERROR(VLOOKUP(H204,$B$3:$F$68,5,FALSE),"")</f>
        <v/>
      </c>
      <c r="J204" s="200"/>
    </row>
    <row r="205" spans="8:10" x14ac:dyDescent="0.3">
      <c r="H205" s="200" t="s">
        <v>80</v>
      </c>
      <c r="I205" s="213" t="str">
        <f>IFERROR(VLOOKUP(H205,$B$3:$F$68,5,FALSE),"")</f>
        <v/>
      </c>
      <c r="J205" s="209">
        <f>SUM(I205:I215)</f>
        <v>0</v>
      </c>
    </row>
    <row r="206" spans="8:10" x14ac:dyDescent="0.3">
      <c r="H206" s="196"/>
      <c r="I206" s="213" t="str">
        <f>IFERROR(VLOOKUP(H206,$B$3:$F$68,5,FALSE),"")</f>
        <v/>
      </c>
      <c r="J206" s="196"/>
    </row>
    <row r="207" spans="8:10" x14ac:dyDescent="0.3">
      <c r="H207" s="196"/>
      <c r="I207" s="213" t="str">
        <f>IFERROR(VLOOKUP(H207,$B$3:$F$68,5,FALSE),"")</f>
        <v/>
      </c>
      <c r="J207" s="196"/>
    </row>
    <row r="208" spans="8:10" x14ac:dyDescent="0.3">
      <c r="H208" s="196"/>
      <c r="I208" s="213" t="str">
        <f>IFERROR(VLOOKUP(H208,$B$3:$F$68,5,FALSE),"")</f>
        <v/>
      </c>
      <c r="J208" s="196"/>
    </row>
    <row r="209" spans="8:10" x14ac:dyDescent="0.3">
      <c r="H209" s="196"/>
      <c r="I209" s="213" t="str">
        <f>IFERROR(VLOOKUP(H209,$B$3:$F$68,5,FALSE),"")</f>
        <v/>
      </c>
      <c r="J209" s="196"/>
    </row>
    <row r="210" spans="8:10" x14ac:dyDescent="0.3">
      <c r="H210" s="196"/>
      <c r="I210" s="213" t="str">
        <f>IFERROR(VLOOKUP(H210,$B$3:$F$68,5,FALSE),"")</f>
        <v/>
      </c>
      <c r="J210" s="196"/>
    </row>
    <row r="211" spans="8:10" x14ac:dyDescent="0.3">
      <c r="H211" s="196"/>
      <c r="I211" s="213" t="str">
        <f>IFERROR(VLOOKUP(H211,$B$3:$F$68,5,FALSE),"")</f>
        <v/>
      </c>
      <c r="J211" s="196"/>
    </row>
    <row r="212" spans="8:10" x14ac:dyDescent="0.3">
      <c r="H212" s="196"/>
      <c r="I212" s="213" t="str">
        <f>IFERROR(VLOOKUP(H212,$B$3:$F$68,5,FALSE),"")</f>
        <v/>
      </c>
      <c r="J212" s="196"/>
    </row>
    <row r="213" spans="8:10" x14ac:dyDescent="0.3">
      <c r="H213" s="196"/>
      <c r="I213" s="213" t="str">
        <f>IFERROR(VLOOKUP(H213,$B$3:$F$68,5,FALSE),"")</f>
        <v/>
      </c>
      <c r="J213" s="196"/>
    </row>
    <row r="214" spans="8:10" x14ac:dyDescent="0.3">
      <c r="H214" s="196"/>
      <c r="I214" s="213" t="str">
        <f>IFERROR(VLOOKUP(H214,$B$3:$F$68,5,FALSE),"")</f>
        <v/>
      </c>
      <c r="J214" s="196"/>
    </row>
    <row r="215" spans="8:10" x14ac:dyDescent="0.3">
      <c r="H215" s="196"/>
      <c r="I215" s="213" t="str">
        <f>IFERROR(VLOOKUP(H215,$B$3:$F$68,5,FALSE),"")</f>
        <v/>
      </c>
      <c r="J215" s="196"/>
    </row>
    <row r="216" spans="8:10" x14ac:dyDescent="0.3">
      <c r="I216" s="213" t="str">
        <f>IFERROR(VLOOKUP(H216,$B$3:$F$68,5,FALSE),"")</f>
        <v/>
      </c>
    </row>
    <row r="217" spans="8:10" x14ac:dyDescent="0.3">
      <c r="I217" s="213" t="str">
        <f>IFERROR(VLOOKUP(H217,$B$3:$F$68,5,FALSE),"")</f>
        <v/>
      </c>
    </row>
    <row r="218" spans="8:10" x14ac:dyDescent="0.3">
      <c r="I218" s="213" t="str">
        <f>IFERROR(VLOOKUP(H218,$B$3:$F$68,5,FALSE),"")</f>
        <v/>
      </c>
    </row>
    <row r="219" spans="8:10" x14ac:dyDescent="0.3">
      <c r="I219" s="213" t="str">
        <f>IFERROR(VLOOKUP(H219,$B$3:$F$68,5,FALSE),"")</f>
        <v/>
      </c>
    </row>
    <row r="220" spans="8:10" x14ac:dyDescent="0.3">
      <c r="I220" s="213" t="str">
        <f>IFERROR(VLOOKUP(H220,$B$3:$F$68,5,FALSE),"")</f>
        <v/>
      </c>
    </row>
    <row r="221" spans="8:10" x14ac:dyDescent="0.3">
      <c r="I221" s="213" t="str">
        <f>IFERROR(VLOOKUP(H221,$B$3:$F$68,5,FALSE),"")</f>
        <v/>
      </c>
    </row>
    <row r="222" spans="8:10" x14ac:dyDescent="0.3">
      <c r="I222" s="213" t="str">
        <f>IFERROR(VLOOKUP(H222,$B$3:$F$68,5,FALSE),"")</f>
        <v/>
      </c>
    </row>
    <row r="223" spans="8:10" x14ac:dyDescent="0.3">
      <c r="I223" s="213" t="str">
        <f>IFERROR(VLOOKUP(H223,$B$3:$F$68,5,FALSE),"")</f>
        <v/>
      </c>
    </row>
    <row r="224" spans="8:10" x14ac:dyDescent="0.3">
      <c r="I224" s="213" t="str">
        <f>IFERROR(VLOOKUP(H224,$B$3:$F$68,5,FALSE),"")</f>
        <v/>
      </c>
    </row>
    <row r="225" spans="9:9" x14ac:dyDescent="0.3">
      <c r="I225" s="213" t="str">
        <f>IFERROR(VLOOKUP(H225,$B$3:$F$68,5,FALSE),"")</f>
        <v/>
      </c>
    </row>
    <row r="226" spans="9:9" x14ac:dyDescent="0.3">
      <c r="I226" s="213" t="str">
        <f>IFERROR(VLOOKUP(H226,$B$3:$F$68,5,FALSE),"")</f>
        <v/>
      </c>
    </row>
    <row r="227" spans="9:9" x14ac:dyDescent="0.3">
      <c r="I227" s="213" t="str">
        <f>IFERROR(VLOOKUP(H227,$B$3:$F$68,5,FALSE),"")</f>
        <v/>
      </c>
    </row>
    <row r="228" spans="9:9" x14ac:dyDescent="0.3">
      <c r="I228" s="213" t="str">
        <f>IFERROR(VLOOKUP(H228,$B$3:$F$68,5,FALSE),"")</f>
        <v/>
      </c>
    </row>
    <row r="229" spans="9:9" x14ac:dyDescent="0.3">
      <c r="I229" s="213" t="str">
        <f>IFERROR(VLOOKUP(H229,$B$3:$F$68,5,FALSE),"")</f>
        <v/>
      </c>
    </row>
    <row r="230" spans="9:9" x14ac:dyDescent="0.3">
      <c r="I230" s="213" t="str">
        <f>IFERROR(VLOOKUP(H230,$B$3:$F$68,5,FALSE),"")</f>
        <v/>
      </c>
    </row>
    <row r="231" spans="9:9" x14ac:dyDescent="0.3">
      <c r="I231" s="213" t="str">
        <f>IFERROR(VLOOKUP(H231,$B$3:$F$68,5,FALSE),"")</f>
        <v/>
      </c>
    </row>
    <row r="232" spans="9:9" x14ac:dyDescent="0.3">
      <c r="I232" s="213" t="str">
        <f>IFERROR(VLOOKUP(H232,$B$3:$F$68,5,FALSE),"")</f>
        <v/>
      </c>
    </row>
    <row r="233" spans="9:9" x14ac:dyDescent="0.3">
      <c r="I233" s="213" t="str">
        <f>IFERROR(VLOOKUP(H233,$B$3:$F$68,5,FALSE),"")</f>
        <v/>
      </c>
    </row>
    <row r="234" spans="9:9" x14ac:dyDescent="0.3">
      <c r="I234" s="213" t="str">
        <f>IFERROR(VLOOKUP(H234,$B$3:$F$68,5,FALSE),"")</f>
        <v/>
      </c>
    </row>
    <row r="235" spans="9:9" x14ac:dyDescent="0.3">
      <c r="I235" s="213" t="str">
        <f>IFERROR(VLOOKUP(H235,$B$3:$F$68,5,FALSE),"")</f>
        <v/>
      </c>
    </row>
    <row r="236" spans="9:9" x14ac:dyDescent="0.3">
      <c r="I236" s="213" t="str">
        <f>IFERROR(VLOOKUP(H236,$B$3:$F$68,5,FALSE),"")</f>
        <v/>
      </c>
    </row>
    <row r="237" spans="9:9" x14ac:dyDescent="0.3">
      <c r="I237" s="213" t="str">
        <f>IFERROR(VLOOKUP(H237,$B$3:$F$68,5,FALSE),"")</f>
        <v/>
      </c>
    </row>
    <row r="238" spans="9:9" x14ac:dyDescent="0.3">
      <c r="I238" s="213" t="str">
        <f>IFERROR(VLOOKUP(H238,$B$3:$F$68,5,FALSE),"")</f>
        <v/>
      </c>
    </row>
    <row r="239" spans="9:9" x14ac:dyDescent="0.3">
      <c r="I239" s="213" t="str">
        <f>IFERROR(VLOOKUP(H239,$B$3:$F$68,5,FALSE),"")</f>
        <v/>
      </c>
    </row>
    <row r="240" spans="9:9" x14ac:dyDescent="0.3">
      <c r="I240" s="213" t="str">
        <f>IFERROR(VLOOKUP(H240,$B$3:$F$68,5,FALSE),"")</f>
        <v/>
      </c>
    </row>
    <row r="241" spans="9:9" x14ac:dyDescent="0.3">
      <c r="I241" s="213" t="str">
        <f>IFERROR(VLOOKUP(H241,$B$3:$F$68,5,FALSE),"")</f>
        <v/>
      </c>
    </row>
    <row r="242" spans="9:9" x14ac:dyDescent="0.3">
      <c r="I242" s="213" t="str">
        <f>IFERROR(VLOOKUP(H242,$B$3:$F$68,5,FALSE),"")</f>
        <v/>
      </c>
    </row>
    <row r="243" spans="9:9" x14ac:dyDescent="0.3">
      <c r="I243" s="213" t="str">
        <f>IFERROR(VLOOKUP(H243,$B$3:$F$68,5,FALSE),"")</f>
        <v/>
      </c>
    </row>
    <row r="244" spans="9:9" x14ac:dyDescent="0.3">
      <c r="I244" s="213" t="str">
        <f>IFERROR(VLOOKUP(H244,$B$3:$F$68,5,FALSE),"")</f>
        <v/>
      </c>
    </row>
    <row r="245" spans="9:9" x14ac:dyDescent="0.3">
      <c r="I245" s="213" t="str">
        <f>IFERROR(VLOOKUP(H245,$B$3:$F$68,5,FALSE),"")</f>
        <v/>
      </c>
    </row>
    <row r="246" spans="9:9" x14ac:dyDescent="0.3">
      <c r="I246" s="213" t="str">
        <f>IFERROR(VLOOKUP(H246,$B$3:$F$68,5,FALSE),"")</f>
        <v/>
      </c>
    </row>
    <row r="247" spans="9:9" x14ac:dyDescent="0.3">
      <c r="I247" s="213" t="str">
        <f>IFERROR(VLOOKUP(H247,$B$3:$F$68,5,FALSE),"")</f>
        <v/>
      </c>
    </row>
    <row r="248" spans="9:9" x14ac:dyDescent="0.3">
      <c r="I248" s="213" t="str">
        <f>IFERROR(VLOOKUP(H248,$B$3:$F$68,5,FALSE),"")</f>
        <v/>
      </c>
    </row>
    <row r="249" spans="9:9" x14ac:dyDescent="0.3">
      <c r="I249" s="213" t="str">
        <f>IFERROR(VLOOKUP(H249,$B$3:$F$68,5,FALSE),"")</f>
        <v/>
      </c>
    </row>
    <row r="250" spans="9:9" x14ac:dyDescent="0.3">
      <c r="I250" s="213" t="str">
        <f>IFERROR(VLOOKUP(H250,$B$3:$F$68,5,FALSE),"")</f>
        <v/>
      </c>
    </row>
    <row r="251" spans="9:9" x14ac:dyDescent="0.3">
      <c r="I251" s="213" t="str">
        <f>IFERROR(VLOOKUP(H251,$B$3:$F$68,5,FALSE),"")</f>
        <v/>
      </c>
    </row>
    <row r="252" spans="9:9" x14ac:dyDescent="0.3">
      <c r="I252" s="213" t="str">
        <f>IFERROR(VLOOKUP(H252,$B$3:$F$68,5,FALSE),"")</f>
        <v/>
      </c>
    </row>
    <row r="253" spans="9:9" x14ac:dyDescent="0.3">
      <c r="I253" s="213" t="str">
        <f>IFERROR(VLOOKUP(H253,$B$3:$F$68,5,FALSE),"")</f>
        <v/>
      </c>
    </row>
    <row r="254" spans="9:9" x14ac:dyDescent="0.3">
      <c r="I254" s="213" t="str">
        <f>IFERROR(VLOOKUP(H254,$B$3:$F$68,5,FALSE),"")</f>
        <v/>
      </c>
    </row>
    <row r="255" spans="9:9" x14ac:dyDescent="0.3">
      <c r="I255" s="213" t="str">
        <f>IFERROR(VLOOKUP(H255,$B$3:$F$68,5,FALSE),"")</f>
        <v/>
      </c>
    </row>
    <row r="256" spans="9:9" x14ac:dyDescent="0.3">
      <c r="I256" s="213" t="str">
        <f>IFERROR(VLOOKUP(H256,$B$3:$F$68,5,FALSE),"")</f>
        <v/>
      </c>
    </row>
    <row r="257" spans="9:9" x14ac:dyDescent="0.3">
      <c r="I257" s="213" t="str">
        <f>IFERROR(VLOOKUP(H257,$B$3:$F$68,5,FALSE),"")</f>
        <v/>
      </c>
    </row>
    <row r="258" spans="9:9" x14ac:dyDescent="0.3">
      <c r="I258" s="213" t="str">
        <f>IFERROR(VLOOKUP(H258,$B$3:$F$68,5,FALSE),"")</f>
        <v/>
      </c>
    </row>
    <row r="259" spans="9:9" x14ac:dyDescent="0.3">
      <c r="I259" s="213" t="str">
        <f>IFERROR(VLOOKUP(H259,$B$3:$F$68,5,FALSE),"")</f>
        <v/>
      </c>
    </row>
    <row r="260" spans="9:9" x14ac:dyDescent="0.3">
      <c r="I260" s="213" t="str">
        <f>IFERROR(VLOOKUP(H260,$B$3:$F$68,5,FALSE),"")</f>
        <v/>
      </c>
    </row>
    <row r="261" spans="9:9" x14ac:dyDescent="0.3">
      <c r="I261" s="213" t="str">
        <f>IFERROR(VLOOKUP(H261,$B$3:$F$68,5,FALSE),"")</f>
        <v/>
      </c>
    </row>
    <row r="262" spans="9:9" x14ac:dyDescent="0.3">
      <c r="I262" s="213" t="str">
        <f>IFERROR(VLOOKUP(H262,$B$3:$F$68,5,FALSE),"")</f>
        <v/>
      </c>
    </row>
    <row r="263" spans="9:9" x14ac:dyDescent="0.3">
      <c r="I263" s="213" t="str">
        <f>IFERROR(VLOOKUP(H263,$B$3:$F$68,5,FALSE),"")</f>
        <v/>
      </c>
    </row>
    <row r="264" spans="9:9" x14ac:dyDescent="0.3">
      <c r="I264" s="213" t="str">
        <f>IFERROR(VLOOKUP(H264,$B$3:$F$68,5,FALSE),"")</f>
        <v/>
      </c>
    </row>
    <row r="265" spans="9:9" x14ac:dyDescent="0.3">
      <c r="I265" s="213" t="str">
        <f>IFERROR(VLOOKUP(H265,$B$3:$F$68,5,FALSE),"")</f>
        <v/>
      </c>
    </row>
    <row r="266" spans="9:9" x14ac:dyDescent="0.3">
      <c r="I266" s="213" t="str">
        <f>IFERROR(VLOOKUP(H266,$B$3:$F$68,5,FALSE),"")</f>
        <v/>
      </c>
    </row>
    <row r="267" spans="9:9" x14ac:dyDescent="0.3">
      <c r="I267" s="213" t="str">
        <f>IFERROR(VLOOKUP(H267,$B$3:$F$68,5,FALSE),"")</f>
        <v/>
      </c>
    </row>
    <row r="268" spans="9:9" x14ac:dyDescent="0.3">
      <c r="I268" s="213" t="str">
        <f>IFERROR(VLOOKUP(H268,$B$3:$F$68,5,FALSE),"")</f>
        <v/>
      </c>
    </row>
    <row r="269" spans="9:9" x14ac:dyDescent="0.3">
      <c r="I269" s="213" t="str">
        <f>IFERROR(VLOOKUP(H269,$B$3:$F$68,5,FALSE),"")</f>
        <v/>
      </c>
    </row>
    <row r="270" spans="9:9" x14ac:dyDescent="0.3">
      <c r="I270" s="213" t="str">
        <f>IFERROR(VLOOKUP(H270,$B$3:$F$68,5,FALSE),"")</f>
        <v/>
      </c>
    </row>
    <row r="271" spans="9:9" x14ac:dyDescent="0.3">
      <c r="I271" s="213" t="str">
        <f>IFERROR(VLOOKUP(H271,$B$3:$F$68,5,FALSE),"")</f>
        <v/>
      </c>
    </row>
    <row r="272" spans="9:9" x14ac:dyDescent="0.3">
      <c r="I272" s="213" t="str">
        <f>IFERROR(VLOOKUP(H272,$B$3:$F$68,5,FALSE),"")</f>
        <v/>
      </c>
    </row>
    <row r="273" spans="9:9" x14ac:dyDescent="0.3">
      <c r="I273" s="213" t="str">
        <f>IFERROR(VLOOKUP(H273,$B$3:$F$68,5,FALSE),"")</f>
        <v/>
      </c>
    </row>
    <row r="274" spans="9:9" x14ac:dyDescent="0.3">
      <c r="I274" s="213" t="str">
        <f>IFERROR(VLOOKUP(H274,$B$3:$F$68,5,FALSE),"")</f>
        <v/>
      </c>
    </row>
    <row r="275" spans="9:9" x14ac:dyDescent="0.3">
      <c r="I275" s="213" t="str">
        <f>IFERROR(VLOOKUP(H275,$B$3:$F$68,5,FALSE),"")</f>
        <v/>
      </c>
    </row>
  </sheetData>
  <customSheetViews>
    <customSheetView guid="{5C7B38D6-29D9-4C20-A92E-817BB499D35F}" topLeftCell="A4">
      <selection activeCell="G3" sqref="G3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0C651-12DC-438D-9216-5F492ED2339B}">
  <sheetPr codeName="Sheet4"/>
  <dimension ref="B1:R276"/>
  <sheetViews>
    <sheetView topLeftCell="A61" zoomScale="70" zoomScaleNormal="70" workbookViewId="0">
      <selection activeCell="K84" sqref="K84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4" x14ac:dyDescent="0.3">
      <c r="B1" t="s">
        <v>58</v>
      </c>
      <c r="C1" t="s">
        <v>59</v>
      </c>
    </row>
    <row r="2" spans="2:14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2"/>
      <c r="L2" s="111" t="s">
        <v>69</v>
      </c>
      <c r="M2" s="112" t="s">
        <v>208</v>
      </c>
      <c r="N2" s="112" t="s">
        <v>208</v>
      </c>
    </row>
    <row r="3" spans="2:14" s="1" customFormat="1" x14ac:dyDescent="0.3">
      <c r="B3" s="40" t="s">
        <v>60</v>
      </c>
      <c r="C3" s="41" t="s">
        <v>4</v>
      </c>
      <c r="D3" s="42">
        <v>0.57220000000000004</v>
      </c>
      <c r="E3" s="24" t="str">
        <f>IF(IF(B3="MDZ140R","",IFERROR((SUMIF($B$3:$B$74,"MDZ140R",$F$3:$F$74)*INDEX($Q$20:$Q$86,MATCH(B3,$N$20:$N$86,0))),""))=0,"",IF(B3="MDZ140R","",IFERROR((SUMIF($B$3:$B$74,"MDZ140R",$F$3:$F$74)*INDEX($Q$20:$Q$86,MATCH(B3,$N$20:$N$86,0))),"")))</f>
        <v/>
      </c>
      <c r="F3" s="42">
        <f>IF(D3="","",D3+ IF(E3="",0,E3))</f>
        <v>0.57220000000000004</v>
      </c>
      <c r="H3" s="202" t="s">
        <v>71</v>
      </c>
      <c r="I3" s="213" t="str">
        <f>IFERROR(VLOOKUP(H3,$B$3:$F$69,5,FALSE),"")</f>
        <v/>
      </c>
      <c r="J3" s="203">
        <f>SUM(I3:I21)</f>
        <v>3.6982499999999998</v>
      </c>
      <c r="L3" s="80" t="s">
        <v>70</v>
      </c>
      <c r="M3" s="114">
        <f>VLOOKUP(L3,$H$3:$J$221,3,FALSE)</f>
        <v>0</v>
      </c>
      <c r="N3" s="115">
        <f>(M3/$M$14)</f>
        <v>0</v>
      </c>
    </row>
    <row r="4" spans="2:14" s="1" customFormat="1" x14ac:dyDescent="0.3">
      <c r="B4" s="40" t="s">
        <v>61</v>
      </c>
      <c r="C4" s="41" t="s">
        <v>5</v>
      </c>
      <c r="D4" s="42">
        <v>0.86109999999999998</v>
      </c>
      <c r="E4" s="24" t="str">
        <f>IF(IF(B4="MDZ140R","",IFERROR((SUMIF($B$3:$B$74,"MDZ140R",$F$3:$F$74)*INDEX($Q$20:$Q$86,MATCH(B4,$N$20:$N$86,0))),""))=0,"",IF(B4="MDZ140R","",IFERROR((SUMIF($B$3:$B$74,"MDZ140R",$F$3:$F$74)*INDEX($Q$20:$Q$86,MATCH(B4,$N$20:$N$86,0))),"")))</f>
        <v/>
      </c>
      <c r="F4" s="42">
        <f t="shared" ref="F4:F86" si="0">IF(D4="","",D4+ IF(E4="",0,E4))</f>
        <v>0.86109999999999998</v>
      </c>
      <c r="H4" s="192" t="s">
        <v>46</v>
      </c>
      <c r="I4" s="213">
        <f>IFERROR(VLOOKUP(H4,$B$3:$F$69,5,FALSE),"")</f>
        <v>0.6925</v>
      </c>
      <c r="J4" s="204"/>
      <c r="L4" s="56" t="s">
        <v>71</v>
      </c>
      <c r="M4" s="114">
        <f>VLOOKUP(L4,$H$3:$J$221,3,FALSE)</f>
        <v>3.6982499999999998</v>
      </c>
      <c r="N4" s="115">
        <f t="shared" ref="N4:N13" si="1">(M4/$M$14)</f>
        <v>0.1560281743026565</v>
      </c>
    </row>
    <row r="5" spans="2:14" s="1" customFormat="1" x14ac:dyDescent="0.3">
      <c r="B5" s="40" t="s">
        <v>62</v>
      </c>
      <c r="C5" s="41" t="s">
        <v>6</v>
      </c>
      <c r="D5" s="42">
        <v>0.29099999999999998</v>
      </c>
      <c r="E5" s="24" t="str">
        <f>IF(IF(B5="MDZ140R","",IFERROR((SUMIF($B$3:$B$74,"MDZ140R",$F$3:$F$74)*INDEX($Q$20:$Q$86,MATCH(B5,$N$20:$N$86,0))),""))=0,"",IF(B5="MDZ140R","",IFERROR((SUMIF($B$3:$B$74,"MDZ140R",$F$3:$F$74)*INDEX($Q$20:$Q$86,MATCH(B5,$N$20:$N$86,0))),"")))</f>
        <v/>
      </c>
      <c r="F5" s="42">
        <f t="shared" si="0"/>
        <v>0.29099999999999998</v>
      </c>
      <c r="H5" s="192" t="s">
        <v>86</v>
      </c>
      <c r="I5" s="213" t="str">
        <f>IFERROR(VLOOKUP(H5,$B$3:$F$69,5,FALSE),"")</f>
        <v/>
      </c>
      <c r="J5" s="204"/>
      <c r="L5" s="80" t="s">
        <v>72</v>
      </c>
      <c r="M5" s="114">
        <f>VLOOKUP(L5,$H$3:$J$221,3,FALSE)</f>
        <v>7.3999999999999996E-2</v>
      </c>
      <c r="N5" s="115">
        <f t="shared" si="1"/>
        <v>3.1220401266535743E-3</v>
      </c>
    </row>
    <row r="6" spans="2:14" s="1" customFormat="1" x14ac:dyDescent="0.3">
      <c r="B6" s="40" t="s">
        <v>7</v>
      </c>
      <c r="C6" s="41" t="s">
        <v>8</v>
      </c>
      <c r="D6" s="42">
        <v>7.2099999999999997E-2</v>
      </c>
      <c r="E6" s="24" t="str">
        <f>IF(IF(B6="MDZ140R","",IFERROR((SUMIF($B$3:$B$74,"MDZ140R",$F$3:$F$74)*INDEX($Q$20:$Q$86,MATCH(B6,$N$20:$N$86,0))),""))=0,"",IF(B6="MDZ140R","",IFERROR((SUMIF($B$3:$B$74,"MDZ140R",$F$3:$F$74)*INDEX($Q$20:$Q$86,MATCH(B6,$N$20:$N$86,0))),"")))</f>
        <v/>
      </c>
      <c r="F6" s="42">
        <f t="shared" si="0"/>
        <v>7.2099999999999997E-2</v>
      </c>
      <c r="H6" s="192" t="s">
        <v>36</v>
      </c>
      <c r="I6" s="213">
        <f>IFERROR(VLOOKUP(H6,$B$3:$F$69,5,FALSE),"")</f>
        <v>0.84150000000000003</v>
      </c>
      <c r="J6" s="204"/>
      <c r="L6" s="56" t="s">
        <v>73</v>
      </c>
      <c r="M6" s="114">
        <f>VLOOKUP(L6,$H$3:$J$221,3,FALSE)</f>
        <v>2.3209499999999998</v>
      </c>
      <c r="N6" s="115">
        <f t="shared" si="1"/>
        <v>9.792025718860288E-2</v>
      </c>
    </row>
    <row r="7" spans="2:14" s="1" customFormat="1" x14ac:dyDescent="0.3">
      <c r="B7" s="40" t="s">
        <v>9</v>
      </c>
      <c r="C7" s="41" t="s">
        <v>10</v>
      </c>
      <c r="D7" s="42">
        <v>0.20330000000000001</v>
      </c>
      <c r="E7" s="24" t="str">
        <f>IF(IF(B7="MDZ140R","",IFERROR((SUMIF($B$3:$B$74,"MDZ140R",$F$3:$F$74)*INDEX($Q$20:$Q$86,MATCH(B7,$N$20:$N$86,0))),""))=0,"",IF(B7="MDZ140R","",IFERROR((SUMIF($B$3:$B$74,"MDZ140R",$F$3:$F$74)*INDEX($Q$20:$Q$86,MATCH(B7,$N$20:$N$86,0))),"")))</f>
        <v/>
      </c>
      <c r="F7" s="42">
        <f t="shared" si="0"/>
        <v>0.20330000000000001</v>
      </c>
      <c r="H7" s="192" t="s">
        <v>87</v>
      </c>
      <c r="I7" s="211">
        <v>0.27944999999999998</v>
      </c>
      <c r="J7" s="204"/>
      <c r="L7" s="80" t="s">
        <v>74</v>
      </c>
      <c r="M7" s="114">
        <f>VLOOKUP(L7,$H$3:$J$221,3,FALSE)</f>
        <v>0.51744999999999997</v>
      </c>
      <c r="N7" s="115">
        <f t="shared" si="1"/>
        <v>2.1831076534282325E-2</v>
      </c>
    </row>
    <row r="8" spans="2:14" s="1" customFormat="1" x14ac:dyDescent="0.3">
      <c r="B8" s="40" t="s">
        <v>11</v>
      </c>
      <c r="C8" s="41" t="s">
        <v>190</v>
      </c>
      <c r="D8" s="42">
        <v>0.1191</v>
      </c>
      <c r="E8" s="24" t="str">
        <f>IF(IF(B8="MDZ140R","",IFERROR((SUMIF($B$3:$B$74,"MDZ140R",$F$3:$F$74)*INDEX($Q$20:$Q$86,MATCH(B8,$N$20:$N$86,0))),""))=0,"",IF(B8="MDZ140R","",IFERROR((SUMIF($B$3:$B$74,"MDZ140R",$F$3:$F$74)*INDEX($Q$20:$Q$86,MATCH(B8,$N$20:$N$86,0))),"")))</f>
        <v/>
      </c>
      <c r="F8" s="42">
        <f t="shared" si="0"/>
        <v>0.1191</v>
      </c>
      <c r="H8" s="192" t="s">
        <v>88</v>
      </c>
      <c r="I8" s="213" t="str">
        <f>IFERROR(VLOOKUP(H8,$B$3:$F$69,5,FALSE),"")</f>
        <v/>
      </c>
      <c r="J8" s="204"/>
      <c r="L8" s="56" t="s">
        <v>75</v>
      </c>
      <c r="M8" s="114">
        <f>VLOOKUP(L8,$H$3:$J$221,3,FALSE)</f>
        <v>0.93120000000000003</v>
      </c>
      <c r="N8" s="115">
        <f t="shared" si="1"/>
        <v>3.9287077918105519E-2</v>
      </c>
    </row>
    <row r="9" spans="2:14" s="1" customFormat="1" x14ac:dyDescent="0.3">
      <c r="B9" s="40" t="s">
        <v>13</v>
      </c>
      <c r="C9" s="41" t="s">
        <v>68</v>
      </c>
      <c r="D9" s="42">
        <v>0.81459999999999999</v>
      </c>
      <c r="E9" s="24" t="str">
        <f>IF(IF(B9="MDZ140R","",IFERROR((SUMIF($B$3:$B$74,"MDZ140R",$F$3:$F$74)*INDEX($Q$20:$Q$86,MATCH(B9,$N$20:$N$86,0))),""))=0,"",IF(B9="MDZ140R","",IFERROR((SUMIF($B$3:$B$74,"MDZ140R",$F$3:$F$74)*INDEX($Q$20:$Q$86,MATCH(B9,$N$20:$N$86,0))),"")))</f>
        <v/>
      </c>
      <c r="F9" s="42">
        <f t="shared" si="0"/>
        <v>0.81459999999999999</v>
      </c>
      <c r="H9" s="192" t="s">
        <v>89</v>
      </c>
      <c r="I9" s="213" t="str">
        <f>IFERROR(VLOOKUP(H9,$B$3:$F$69,5,FALSE),"")</f>
        <v/>
      </c>
      <c r="J9" s="204"/>
      <c r="L9" s="80" t="s">
        <v>76</v>
      </c>
      <c r="M9" s="114">
        <f>VLOOKUP(L9,$H$3:$J$221,3,FALSE)</f>
        <v>0</v>
      </c>
      <c r="N9" s="115">
        <f t="shared" si="1"/>
        <v>0</v>
      </c>
    </row>
    <row r="10" spans="2:14" s="1" customFormat="1" x14ac:dyDescent="0.3">
      <c r="B10" s="40" t="s">
        <v>14</v>
      </c>
      <c r="C10" s="41" t="s">
        <v>15</v>
      </c>
      <c r="D10" s="42">
        <v>0.93120000000000003</v>
      </c>
      <c r="E10" s="24" t="str">
        <f>IF(IF(B10="MDZ140R","",IFERROR((SUMIF($B$3:$B$74,"MDZ140R",$F$3:$F$74)*INDEX($Q$20:$Q$86,MATCH(B10,$N$20:$N$86,0))),""))=0,"",IF(B10="MDZ140R","",IFERROR((SUMIF($B$3:$B$74,"MDZ140R",$F$3:$F$74)*INDEX($Q$20:$Q$86,MATCH(B10,$N$20:$N$86,0))),"")))</f>
        <v/>
      </c>
      <c r="F10" s="42">
        <f t="shared" si="0"/>
        <v>0.93120000000000003</v>
      </c>
      <c r="H10" s="192" t="s">
        <v>13</v>
      </c>
      <c r="I10" s="213">
        <f>IFERROR(VLOOKUP(H10,$B$3:$F$69,5,FALSE),"")</f>
        <v>0.81459999999999999</v>
      </c>
      <c r="J10" s="204"/>
      <c r="L10" s="56" t="s">
        <v>77</v>
      </c>
      <c r="M10" s="114">
        <f>VLOOKUP(L10,$H$3:$J$221,3,FALSE)</f>
        <v>14.157099999999998</v>
      </c>
      <c r="N10" s="115">
        <f t="shared" si="1"/>
        <v>0.59728424698712579</v>
      </c>
    </row>
    <row r="11" spans="2:14" s="1" customFormat="1" x14ac:dyDescent="0.3">
      <c r="B11" s="40" t="s">
        <v>16</v>
      </c>
      <c r="C11" s="41" t="s">
        <v>17</v>
      </c>
      <c r="D11" s="42">
        <v>0.68889999999999996</v>
      </c>
      <c r="E11" s="24" t="str">
        <f>IF(IF(B11="MDZ140R","",IFERROR((SUMIF($B$3:$B$74,"MDZ140R",$F$3:$F$74)*INDEX($Q$20:$Q$86,MATCH(B11,$N$20:$N$86,0))),""))=0,"",IF(B11="MDZ140R","",IFERROR((SUMIF($B$3:$B$74,"MDZ140R",$F$3:$F$74)*INDEX($Q$20:$Q$86,MATCH(B11,$N$20:$N$86,0))),"")))</f>
        <v/>
      </c>
      <c r="F11" s="42">
        <f t="shared" si="0"/>
        <v>0.68889999999999996</v>
      </c>
      <c r="H11" s="192" t="s">
        <v>31</v>
      </c>
      <c r="I11" s="211">
        <v>7.3999999999999996E-2</v>
      </c>
      <c r="J11" s="204"/>
      <c r="L11" s="80" t="s">
        <v>78</v>
      </c>
      <c r="M11" s="114">
        <f>VLOOKUP(L11,$H$3:$J$221,3,FALSE)</f>
        <v>0</v>
      </c>
      <c r="N11" s="115">
        <f t="shared" si="1"/>
        <v>0</v>
      </c>
    </row>
    <row r="12" spans="2:14" s="1" customFormat="1" x14ac:dyDescent="0.3">
      <c r="B12" s="40" t="s">
        <v>18</v>
      </c>
      <c r="C12" s="41" t="s">
        <v>19</v>
      </c>
      <c r="D12" s="42">
        <v>0.43140000000000001</v>
      </c>
      <c r="E12" s="24" t="str">
        <f>IF(IF(B12="MDZ140R","",IFERROR((SUMIF($B$3:$B$74,"MDZ140R",$F$3:$F$74)*INDEX($Q$20:$Q$86,MATCH(B12,$N$20:$N$86,0))),""))=0,"",IF(B12="MDZ140R","",IFERROR((SUMIF($B$3:$B$74,"MDZ140R",$F$3:$F$74)*INDEX($Q$20:$Q$86,MATCH(B12,$N$20:$N$86,0))),"")))</f>
        <v/>
      </c>
      <c r="F12" s="42">
        <f t="shared" si="0"/>
        <v>0.43140000000000001</v>
      </c>
      <c r="H12" s="192" t="s">
        <v>90</v>
      </c>
      <c r="I12" s="213" t="str">
        <f>IFERROR(VLOOKUP(H12,$B$3:$F$69,5,FALSE),"")</f>
        <v/>
      </c>
      <c r="J12" s="204"/>
      <c r="L12" s="56" t="s">
        <v>79</v>
      </c>
      <c r="M12" s="114">
        <f>VLOOKUP(L12,$H$3:$J$221,3,FALSE)</f>
        <v>2.0034999999999998</v>
      </c>
      <c r="N12" s="115">
        <f t="shared" si="1"/>
        <v>8.4527126942573458E-2</v>
      </c>
    </row>
    <row r="13" spans="2:14" s="1" customFormat="1" x14ac:dyDescent="0.3">
      <c r="B13" s="40" t="s">
        <v>20</v>
      </c>
      <c r="C13" s="41" t="s">
        <v>21</v>
      </c>
      <c r="D13" s="42">
        <v>0.76990000000000003</v>
      </c>
      <c r="E13" s="24" t="str">
        <f>IF(IF(B13="MDZ140R","",IFERROR((SUMIF($B$3:$B$74,"MDZ140R",$F$3:$F$74)*INDEX($Q$20:$Q$86,MATCH(B13,$N$20:$N$86,0))),""))=0,"",IF(B13="MDZ140R","",IFERROR((SUMIF($B$3:$B$74,"MDZ140R",$F$3:$F$74)*INDEX($Q$20:$Q$86,MATCH(B13,$N$20:$N$86,0))),"")))</f>
        <v/>
      </c>
      <c r="F13" s="42">
        <f t="shared" si="0"/>
        <v>0.76990000000000003</v>
      </c>
      <c r="H13" s="192" t="s">
        <v>91</v>
      </c>
      <c r="I13" s="213" t="str">
        <f>IFERROR(VLOOKUP(H13,$B$3:$F$69,5,FALSE),"")</f>
        <v/>
      </c>
      <c r="J13" s="204"/>
      <c r="L13" s="80" t="s">
        <v>80</v>
      </c>
      <c r="M13" s="114">
        <f>VLOOKUP(L13,$H$3:$J$221,3,FALSE)</f>
        <v>0</v>
      </c>
      <c r="N13" s="115">
        <f t="shared" si="1"/>
        <v>0</v>
      </c>
    </row>
    <row r="14" spans="2:14" s="1" customFormat="1" x14ac:dyDescent="0.3">
      <c r="B14" s="40" t="s">
        <v>63</v>
      </c>
      <c r="C14" s="41" t="s">
        <v>23</v>
      </c>
      <c r="D14" s="42">
        <v>9.3600000000000003E-2</v>
      </c>
      <c r="E14" s="24" t="str">
        <f>IF(IF(B14="MDZ140R","",IFERROR((SUMIF($B$3:$B$74,"MDZ140R",$F$3:$F$74)*INDEX($Q$20:$Q$86,MATCH(B14,$N$20:$N$86,0))),""))=0,"",IF(B14="MDZ140R","",IFERROR((SUMIF($B$3:$B$74,"MDZ140R",$F$3:$F$74)*INDEX($Q$20:$Q$86,MATCH(B14,$N$20:$N$86,0))),"")))</f>
        <v/>
      </c>
      <c r="F14" s="42">
        <f t="shared" si="0"/>
        <v>9.3600000000000003E-2</v>
      </c>
      <c r="H14" s="192" t="s">
        <v>92</v>
      </c>
      <c r="I14" s="213" t="str">
        <f>IFERROR(VLOOKUP(H14,$B$3:$F$69,5,FALSE),"")</f>
        <v/>
      </c>
      <c r="J14" s="204"/>
      <c r="L14" s="119" t="s">
        <v>81</v>
      </c>
      <c r="M14" s="120">
        <f>SUM(M3:M13)</f>
        <v>23.702449999999995</v>
      </c>
      <c r="N14" s="121">
        <f>SUM(N3:N13)</f>
        <v>1</v>
      </c>
    </row>
    <row r="15" spans="2:14" s="1" customFormat="1" x14ac:dyDescent="0.3">
      <c r="B15" s="40" t="s">
        <v>64</v>
      </c>
      <c r="C15" s="41" t="s">
        <v>25</v>
      </c>
      <c r="D15" s="42">
        <v>0.77470000000000006</v>
      </c>
      <c r="E15" s="24" t="str">
        <f>IF(IF(B15="MDZ140R","",IFERROR((SUMIF($B$3:$B$74,"MDZ140R",$F$3:$F$74)*INDEX($Q$20:$Q$86,MATCH(B15,$N$20:$N$86,0))),""))=0,"",IF(B15="MDZ140R","",IFERROR((SUMIF($B$3:$B$74,"MDZ140R",$F$3:$F$74)*INDEX($Q$20:$Q$86,MATCH(B15,$N$20:$N$86,0))),"")))</f>
        <v/>
      </c>
      <c r="F15" s="42">
        <f t="shared" si="0"/>
        <v>0.77470000000000006</v>
      </c>
      <c r="H15" s="192" t="s">
        <v>93</v>
      </c>
      <c r="I15" s="213" t="str">
        <f>IFERROR(VLOOKUP(H15,$B$3:$F$69,5,FALSE),"")</f>
        <v/>
      </c>
      <c r="J15" s="204"/>
      <c r="L15" s="122" t="s">
        <v>82</v>
      </c>
      <c r="M15" s="120">
        <f>SUM(M3,M5,M7,M9,M11,M13)</f>
        <v>0.59144999999999992</v>
      </c>
      <c r="N15" s="123">
        <f>SUM(N13,N11,N9,N7,N5,N3)</f>
        <v>2.4953116660935901E-2</v>
      </c>
    </row>
    <row r="16" spans="2:14" s="1" customFormat="1" x14ac:dyDescent="0.3">
      <c r="B16" s="40" t="s">
        <v>24</v>
      </c>
      <c r="C16" s="41" t="s">
        <v>197</v>
      </c>
      <c r="D16" s="42">
        <v>0.41470000000000001</v>
      </c>
      <c r="E16" s="24" t="str">
        <f>IF(IF(B16="MDZ140R","",IFERROR((SUMIF($B$3:$B$74,"MDZ140R",$F$3:$F$74)*INDEX($Q$20:$Q$86,MATCH(B16,$N$20:$N$86,0))),""))=0,"",IF(B16="MDZ140R","",IFERROR((SUMIF($B$3:$B$74,"MDZ140R",$F$3:$F$74)*INDEX($Q$20:$Q$86,MATCH(B16,$N$20:$N$86,0))),"")))</f>
        <v/>
      </c>
      <c r="F16" s="42">
        <f t="shared" si="0"/>
        <v>0.41470000000000001</v>
      </c>
      <c r="H16" s="192" t="s">
        <v>94</v>
      </c>
      <c r="I16" s="211">
        <v>0.70540000000000003</v>
      </c>
      <c r="J16" s="204"/>
    </row>
    <row r="17" spans="2:18" s="1" customFormat="1" x14ac:dyDescent="0.3">
      <c r="B17" s="40" t="s">
        <v>27</v>
      </c>
      <c r="C17" s="41" t="s">
        <v>28</v>
      </c>
      <c r="D17" s="42">
        <v>0.3967</v>
      </c>
      <c r="E17" s="24" t="str">
        <f>IF(IF(B17="MDZ140R","",IFERROR((SUMIF($B$3:$B$74,"MDZ140R",$F$3:$F$74)*INDEX($Q$20:$Q$86,MATCH(B17,$N$20:$N$86,0))),""))=0,"",IF(B17="MDZ140R","",IFERROR((SUMIF($B$3:$B$74,"MDZ140R",$F$3:$F$74)*INDEX($Q$20:$Q$86,MATCH(B17,$N$20:$N$86,0))),"")))</f>
        <v/>
      </c>
      <c r="F17" s="42">
        <f t="shared" si="0"/>
        <v>0.3967</v>
      </c>
      <c r="H17" s="192" t="s">
        <v>95</v>
      </c>
      <c r="I17" s="213">
        <f>IFERROR(VLOOKUP(H17,$B$3:$F$69,5,FALSE),"")</f>
        <v>0.2908</v>
      </c>
      <c r="J17" s="204"/>
    </row>
    <row r="18" spans="2:18" s="1" customFormat="1" x14ac:dyDescent="0.3">
      <c r="B18" s="40" t="s">
        <v>29</v>
      </c>
      <c r="C18" s="41" t="s">
        <v>30</v>
      </c>
      <c r="D18" s="42">
        <v>0.82340000000000002</v>
      </c>
      <c r="E18" s="24" t="str">
        <f>IF(IF(B18="MDZ140R","",IFERROR((SUMIF($B$3:$B$74,"MDZ140R",$F$3:$F$74)*INDEX($Q$20:$Q$86,MATCH(B18,$N$20:$N$86,0))),""))=0,"",IF(B18="MDZ140R","",IFERROR((SUMIF($B$3:$B$74,"MDZ140R",$F$3:$F$74)*INDEX($Q$20:$Q$86,MATCH(B18,$N$20:$N$86,0))),"")))</f>
        <v/>
      </c>
      <c r="F18" s="42">
        <f t="shared" si="0"/>
        <v>0.82340000000000002</v>
      </c>
      <c r="H18" s="192" t="s">
        <v>96</v>
      </c>
      <c r="I18" s="213" t="str">
        <f>IFERROR(VLOOKUP(H18,$B$3:$F$69,5,FALSE),"")</f>
        <v/>
      </c>
      <c r="J18" s="198"/>
    </row>
    <row r="19" spans="2:18" s="1" customFormat="1" x14ac:dyDescent="0.3">
      <c r="B19" s="40" t="s">
        <v>31</v>
      </c>
      <c r="C19" s="41" t="s">
        <v>67</v>
      </c>
      <c r="D19" s="42">
        <v>0.14799999999999999</v>
      </c>
      <c r="E19" s="24" t="str">
        <f>IF(IF(B19="MDZ140R","",IFERROR((SUMIF($B$3:$B$74,"MDZ140R",$F$3:$F$74)*INDEX($Q$20:$Q$86,MATCH(B19,$N$20:$N$86,0))),""))=0,"",IF(B19="MDZ140R","",IFERROR((SUMIF($B$3:$B$74,"MDZ140R",$F$3:$F$74)*INDEX($Q$20:$Q$86,MATCH(B19,$N$20:$N$86,0))),"")))</f>
        <v/>
      </c>
      <c r="F19" s="42">
        <f t="shared" si="0"/>
        <v>0.14799999999999999</v>
      </c>
      <c r="H19" s="192" t="s">
        <v>97</v>
      </c>
      <c r="I19" s="213" t="str">
        <f>IFERROR(VLOOKUP(H19,$B$3:$F$69,5,FALSE),"")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0" t="s">
        <v>32</v>
      </c>
      <c r="C20" s="41" t="s">
        <v>33</v>
      </c>
      <c r="D20" s="42">
        <v>0.42849999999999999</v>
      </c>
      <c r="E20" s="24" t="str">
        <f>IF(IF(B20="MDZ140R","",IFERROR((SUMIF($B$3:$B$74,"MDZ140R",$F$3:$F$74)*INDEX($Q$20:$Q$86,MATCH(B20,$N$20:$N$86,0))),""))=0,"",IF(B20="MDZ140R","",IFERROR((SUMIF($B$3:$B$74,"MDZ140R",$F$3:$F$74)*INDEX($Q$20:$Q$86,MATCH(B20,$N$20:$N$86,0))),"")))</f>
        <v/>
      </c>
      <c r="F20" s="42">
        <f t="shared" si="0"/>
        <v>0.42849999999999999</v>
      </c>
      <c r="H20" s="192" t="s">
        <v>98</v>
      </c>
      <c r="I20" s="213" t="str">
        <f>IFERROR(VLOOKUP(H20,$B$3:$F$69,5,FALSE),"")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0" t="s">
        <v>34</v>
      </c>
      <c r="C21" s="41" t="s">
        <v>35</v>
      </c>
      <c r="D21" s="42">
        <v>0.52310000000000001</v>
      </c>
      <c r="E21" s="24" t="str">
        <f>IF(IF(B21="MDZ140R","",IFERROR((SUMIF($B$3:$B$74,"MDZ140R",$F$3:$F$74)*INDEX($Q$20:$Q$86,MATCH(B21,$N$20:$N$86,0))),""))=0,"",IF(B21="MDZ140R","",IFERROR((SUMIF($B$3:$B$74,"MDZ140R",$F$3:$F$74)*INDEX($Q$20:$Q$86,MATCH(B21,$N$20:$N$86,0))),"")))</f>
        <v/>
      </c>
      <c r="F21" s="42">
        <f t="shared" si="0"/>
        <v>0.52310000000000001</v>
      </c>
      <c r="H21" s="192" t="s">
        <v>99</v>
      </c>
      <c r="I21" s="213" t="str">
        <f>IFERROR(VLOOKUP(H21,$B$3:$F$69,5,FALSE),"")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0" t="s">
        <v>36</v>
      </c>
      <c r="C22" s="41" t="s">
        <v>37</v>
      </c>
      <c r="D22" s="42">
        <v>0.84150000000000003</v>
      </c>
      <c r="E22" s="24" t="str">
        <f>IF(IF(B22="MDZ140R","",IFERROR((SUMIF($B$3:$B$74,"MDZ140R",$F$3:$F$74)*INDEX($Q$20:$Q$86,MATCH(B22,$N$20:$N$86,0))),""))=0,"",IF(B22="MDZ140R","",IFERROR((SUMIF($B$3:$B$74,"MDZ140R",$F$3:$F$74)*INDEX($Q$20:$Q$86,MATCH(B22,$N$20:$N$86,0))),"")))</f>
        <v/>
      </c>
      <c r="F22" s="42">
        <f t="shared" si="0"/>
        <v>0.84150000000000003</v>
      </c>
      <c r="H22" s="197" t="s">
        <v>70</v>
      </c>
      <c r="I22" s="213" t="str">
        <f>IFERROR(VLOOKUP(H22,$B$3:$F$69,5,FALSE),"")</f>
        <v/>
      </c>
      <c r="J22" s="198">
        <f>SUM(I22:I36)</f>
        <v>0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9"/>
      <c r="C23" s="180"/>
      <c r="D23" s="181"/>
      <c r="E23" s="182"/>
      <c r="F23" s="181"/>
      <c r="H23" s="199"/>
      <c r="I23" s="214"/>
      <c r="J23" s="186"/>
      <c r="L23" s="183"/>
      <c r="M23" s="183"/>
      <c r="N23" s="183"/>
      <c r="O23" s="183"/>
      <c r="P23" s="185"/>
      <c r="Q23" s="186"/>
      <c r="R23" s="183"/>
    </row>
    <row r="24" spans="2:18" s="144" customFormat="1" x14ac:dyDescent="0.3">
      <c r="B24" s="179"/>
      <c r="C24" s="180"/>
      <c r="D24" s="181"/>
      <c r="E24" s="182"/>
      <c r="F24" s="181"/>
      <c r="H24" s="199"/>
      <c r="I24" s="213"/>
      <c r="J24" s="186"/>
      <c r="L24" s="183"/>
      <c r="M24" s="183"/>
      <c r="N24" s="183"/>
      <c r="O24" s="183"/>
      <c r="P24" s="185"/>
      <c r="Q24" s="186"/>
      <c r="R24" s="183"/>
    </row>
    <row r="25" spans="2:18" s="144" customFormat="1" x14ac:dyDescent="0.3">
      <c r="B25" s="179"/>
      <c r="C25" s="180"/>
      <c r="D25" s="181"/>
      <c r="E25" s="182"/>
      <c r="F25" s="181"/>
      <c r="H25" s="199"/>
      <c r="I25" s="213"/>
      <c r="J25" s="186"/>
      <c r="L25" s="183"/>
      <c r="M25" s="183"/>
      <c r="N25" s="183"/>
      <c r="O25" s="183"/>
      <c r="P25" s="185"/>
      <c r="Q25" s="186"/>
      <c r="R25" s="183"/>
    </row>
    <row r="26" spans="2:18" s="144" customFormat="1" x14ac:dyDescent="0.3">
      <c r="B26" s="179"/>
      <c r="C26" s="180"/>
      <c r="D26" s="181"/>
      <c r="E26" s="182"/>
      <c r="F26" s="181"/>
      <c r="H26" s="199"/>
      <c r="I26" s="213"/>
      <c r="J26" s="186"/>
      <c r="L26" s="183"/>
      <c r="M26" s="183"/>
      <c r="N26" s="183"/>
      <c r="O26" s="183"/>
      <c r="P26" s="185"/>
      <c r="Q26" s="186"/>
      <c r="R26" s="183"/>
    </row>
    <row r="27" spans="2:18" s="144" customFormat="1" x14ac:dyDescent="0.3">
      <c r="B27" s="179"/>
      <c r="C27" s="180"/>
      <c r="D27" s="181"/>
      <c r="E27" s="182"/>
      <c r="F27" s="181"/>
      <c r="H27" s="192"/>
      <c r="I27" s="213" t="str">
        <f>IFERROR(VLOOKUP(H27,$B$3:$F$69,5,FALSE),"")</f>
        <v/>
      </c>
      <c r="J27" s="204"/>
      <c r="L27" s="183"/>
      <c r="M27" s="183"/>
      <c r="N27" s="183"/>
      <c r="O27" s="183"/>
      <c r="P27" s="185"/>
      <c r="Q27" s="186"/>
      <c r="R27" s="183"/>
    </row>
    <row r="28" spans="2:18" s="144" customFormat="1" x14ac:dyDescent="0.3">
      <c r="B28" s="179"/>
      <c r="C28" s="180"/>
      <c r="D28" s="181"/>
      <c r="E28" s="182"/>
      <c r="F28" s="181"/>
      <c r="H28" s="192"/>
      <c r="I28" s="213" t="str">
        <f>IFERROR(VLOOKUP(H28,$B$3:$F$69,5,FALSE),"")</f>
        <v/>
      </c>
      <c r="J28" s="204"/>
      <c r="L28" s="183"/>
      <c r="M28" s="183"/>
      <c r="N28" s="183"/>
      <c r="O28" s="183"/>
      <c r="P28" s="185"/>
      <c r="Q28" s="186"/>
      <c r="R28" s="183"/>
    </row>
    <row r="29" spans="2:18" s="1" customFormat="1" x14ac:dyDescent="0.3">
      <c r="B29" s="40" t="s">
        <v>38</v>
      </c>
      <c r="C29" s="41" t="s">
        <v>39</v>
      </c>
      <c r="D29" s="42">
        <v>0.85419999999999996</v>
      </c>
      <c r="E29" s="24" t="str">
        <f>IF(IF(B29="MDZ140R","",IFERROR((SUMIF($B$3:$B$74,"MDZ140R",$F$3:$F$74)*INDEX($Q$20:$Q$86,MATCH(B29,$N$20:$N$86,0))),""))=0,"",IF(B29="MDZ140R","",IFERROR((SUMIF($B$3:$B$74,"MDZ140R",$F$3:$F$74)*INDEX($Q$20:$Q$86,MATCH(B29,$N$20:$N$86,0))),"")))</f>
        <v/>
      </c>
      <c r="F29" s="42">
        <f t="shared" si="0"/>
        <v>0.85419999999999996</v>
      </c>
      <c r="H29" s="192"/>
      <c r="I29" s="213" t="str">
        <f>IFERROR(VLOOKUP(H29,$B$3:$F$69,5,FALSE),"")</f>
        <v/>
      </c>
      <c r="J29" s="204"/>
      <c r="L29" s="56"/>
      <c r="M29" s="56"/>
      <c r="N29" s="56" t="s">
        <v>14</v>
      </c>
      <c r="O29" s="56" t="s">
        <v>15</v>
      </c>
      <c r="P29" s="125">
        <v>5</v>
      </c>
      <c r="Q29" s="126">
        <v>2.7321999999999999E-2</v>
      </c>
      <c r="R29" s="56"/>
    </row>
    <row r="30" spans="2:18" s="1" customFormat="1" x14ac:dyDescent="0.3">
      <c r="B30" s="40" t="s">
        <v>65</v>
      </c>
      <c r="C30" s="41" t="s">
        <v>40</v>
      </c>
      <c r="D30" s="42">
        <v>0.7137</v>
      </c>
      <c r="E30" s="24" t="str">
        <f>IF(IF(B30="MDZ140R","",IFERROR((SUMIF($B$3:$B$74,"MDZ140R",$F$3:$F$74)*INDEX($Q$20:$Q$86,MATCH(B30,$N$20:$N$86,0))),""))=0,"",IF(B30="MDZ140R","",IFERROR((SUMIF($B$3:$B$74,"MDZ140R",$F$3:$F$74)*INDEX($Q$20:$Q$86,MATCH(B30,$N$20:$N$86,0))),"")))</f>
        <v/>
      </c>
      <c r="F30" s="42">
        <f t="shared" si="0"/>
        <v>0.7137</v>
      </c>
      <c r="H30" s="192"/>
      <c r="I30" s="213" t="str">
        <f>IFERROR(VLOOKUP(H30,$B$3:$F$69,5,FALSE),"")</f>
        <v/>
      </c>
      <c r="J30" s="204"/>
      <c r="L30" s="56"/>
      <c r="M30" s="56"/>
      <c r="N30" s="56" t="s">
        <v>60</v>
      </c>
      <c r="O30" s="56" t="s">
        <v>4</v>
      </c>
      <c r="P30" s="125">
        <v>2</v>
      </c>
      <c r="Q30" s="126">
        <v>1.0928999999999999E-2</v>
      </c>
      <c r="R30" s="56"/>
    </row>
    <row r="31" spans="2:18" s="1" customFormat="1" x14ac:dyDescent="0.3">
      <c r="B31" s="40" t="s">
        <v>41</v>
      </c>
      <c r="C31" s="41" t="s">
        <v>66</v>
      </c>
      <c r="D31" s="42">
        <v>0.84079999999999999</v>
      </c>
      <c r="E31" s="24" t="str">
        <f>IF(IF(B31="MDZ140R","",IFERROR((SUMIF($B$3:$B$74,"MDZ140R",$F$3:$F$74)*INDEX($Q$20:$Q$86,MATCH(B31,$N$20:$N$86,0))),""))=0,"",IF(B31="MDZ140R","",IFERROR((SUMIF($B$3:$B$74,"MDZ140R",$F$3:$F$74)*INDEX($Q$20:$Q$86,MATCH(B31,$N$20:$N$86,0))),"")))</f>
        <v/>
      </c>
      <c r="F31" s="42">
        <f t="shared" si="0"/>
        <v>0.84079999999999999</v>
      </c>
      <c r="H31" s="192"/>
      <c r="I31" s="213" t="str">
        <f>IFERROR(VLOOKUP(H31,$B$3:$F$69,5,FALSE),"")</f>
        <v/>
      </c>
      <c r="J31" s="204"/>
      <c r="L31" s="56"/>
      <c r="M31" s="56"/>
      <c r="N31" s="56" t="s">
        <v>61</v>
      </c>
      <c r="O31" s="56" t="s">
        <v>5</v>
      </c>
      <c r="P31" s="125">
        <v>2</v>
      </c>
      <c r="Q31" s="126">
        <v>1.0928999999999999E-2</v>
      </c>
      <c r="R31" s="56"/>
    </row>
    <row r="32" spans="2:18" s="1" customFormat="1" x14ac:dyDescent="0.3">
      <c r="B32" s="40" t="s">
        <v>42</v>
      </c>
      <c r="C32" s="41" t="s">
        <v>43</v>
      </c>
      <c r="D32" s="42">
        <v>0.77139999999999997</v>
      </c>
      <c r="E32" s="24" t="str">
        <f>IF(IF(B32="MDZ140R","",IFERROR((SUMIF($B$3:$B$74,"MDZ140R",$F$3:$F$74)*INDEX($Q$20:$Q$86,MATCH(B32,$N$20:$N$86,0))),""))=0,"",IF(B32="MDZ140R","",IFERROR((SUMIF($B$3:$B$74,"MDZ140R",$F$3:$F$74)*INDEX($Q$20:$Q$86,MATCH(B32,$N$20:$N$86,0))),"")))</f>
        <v/>
      </c>
      <c r="F32" s="42">
        <f t="shared" si="0"/>
        <v>0.77139999999999997</v>
      </c>
      <c r="H32" s="192"/>
      <c r="I32" s="213" t="str">
        <f>IFERROR(VLOOKUP(H32,$B$3:$F$69,5,FALSE),"")</f>
        <v/>
      </c>
      <c r="J32" s="204"/>
      <c r="L32" s="56"/>
      <c r="M32" s="56"/>
      <c r="N32" s="56" t="s">
        <v>18</v>
      </c>
      <c r="O32" s="56" t="s">
        <v>110</v>
      </c>
      <c r="P32" s="125">
        <v>4</v>
      </c>
      <c r="Q32" s="126">
        <v>2.1857999999999999E-2</v>
      </c>
      <c r="R32" s="56"/>
    </row>
    <row r="33" spans="2:18" s="1" customFormat="1" x14ac:dyDescent="0.3">
      <c r="B33" s="40" t="s">
        <v>44</v>
      </c>
      <c r="C33" s="41" t="s">
        <v>146</v>
      </c>
      <c r="D33" s="42">
        <v>0.3614</v>
      </c>
      <c r="E33" s="24" t="str">
        <f>IF(IF(B33="MDZ140R","",IFERROR((SUMIF($B$3:$B$74,"MDZ140R",$F$3:$F$74)*INDEX($Q$20:$Q$86,MATCH(B33,$N$20:$N$86,0))),""))=0,"",IF(B33="MDZ140R","",IFERROR((SUMIF($B$3:$B$74,"MDZ140R",$F$3:$F$74)*INDEX($Q$20:$Q$86,MATCH(B33,$N$20:$N$86,0))),"")))</f>
        <v/>
      </c>
      <c r="F33" s="42">
        <f t="shared" si="0"/>
        <v>0.3614</v>
      </c>
      <c r="H33" s="205"/>
      <c r="I33" s="213" t="str">
        <f>IFERROR(VLOOKUP(H33,$B$3:$F$69,5,FALSE),"")</f>
        <v/>
      </c>
      <c r="J33" s="204"/>
      <c r="L33" s="56"/>
      <c r="M33" s="56"/>
      <c r="N33" s="56" t="s">
        <v>24</v>
      </c>
      <c r="O33" s="56" t="s">
        <v>111</v>
      </c>
      <c r="P33" s="125">
        <v>1</v>
      </c>
      <c r="Q33" s="126">
        <v>5.4640000000000001E-3</v>
      </c>
      <c r="R33" s="56"/>
    </row>
    <row r="34" spans="2:18" s="1" customFormat="1" x14ac:dyDescent="0.3">
      <c r="B34" s="40" t="s">
        <v>45</v>
      </c>
      <c r="C34" s="41" t="s">
        <v>183</v>
      </c>
      <c r="D34" s="42">
        <v>0.80269999999999997</v>
      </c>
      <c r="E34" s="24" t="str">
        <f>IF(IF(B34="MDZ140R","",IFERROR((SUMIF($B$3:$B$74,"MDZ140R",$F$3:$F$74)*INDEX($Q$20:$Q$86,MATCH(B34,$N$20:$N$86,0))),""))=0,"",IF(B34="MDZ140R","",IFERROR((SUMIF($B$3:$B$74,"MDZ140R",$F$3:$F$74)*INDEX($Q$20:$Q$86,MATCH(B34,$N$20:$N$86,0))),"")))</f>
        <v/>
      </c>
      <c r="F34" s="42">
        <f t="shared" si="0"/>
        <v>0.80269999999999997</v>
      </c>
      <c r="H34" s="192"/>
      <c r="I34" s="213" t="str">
        <f>IFERROR(VLOOKUP(H34,$B$3:$F$69,5,FALSE),"")</f>
        <v/>
      </c>
      <c r="J34" s="198"/>
      <c r="L34" s="56"/>
      <c r="M34" s="56"/>
      <c r="N34" s="56" t="s">
        <v>64</v>
      </c>
      <c r="O34" s="127">
        <v>4020</v>
      </c>
      <c r="P34" s="125">
        <v>3</v>
      </c>
      <c r="Q34" s="126">
        <v>1.6393000000000001E-2</v>
      </c>
      <c r="R34" s="56"/>
    </row>
    <row r="35" spans="2:18" s="1" customFormat="1" x14ac:dyDescent="0.3">
      <c r="B35" s="40" t="s">
        <v>46</v>
      </c>
      <c r="C35" s="41" t="s">
        <v>47</v>
      </c>
      <c r="D35" s="42">
        <v>0.6925</v>
      </c>
      <c r="E35" s="24" t="str">
        <f>IF(IF(B35="MDZ140R","",IFERROR((SUMIF($B$3:$B$74,"MDZ140R",$F$3:$F$74)*INDEX($Q$20:$Q$86,MATCH(B35,$N$20:$N$86,0))),""))=0,"",IF(B35="MDZ140R","",IFERROR((SUMIF($B$3:$B$74,"MDZ140R",$F$3:$F$74)*INDEX($Q$20:$Q$86,MATCH(B35,$N$20:$N$86,0))),"")))</f>
        <v/>
      </c>
      <c r="F35" s="42">
        <f t="shared" si="0"/>
        <v>0.6925</v>
      </c>
      <c r="H35" s="192"/>
      <c r="I35" s="213" t="str">
        <f>IFERROR(VLOOKUP(H35,$B$3:$F$69,5,FALSE),"")</f>
        <v/>
      </c>
      <c r="J35" s="198"/>
      <c r="L35" s="56"/>
      <c r="M35" s="56"/>
      <c r="N35" s="56" t="s">
        <v>34</v>
      </c>
      <c r="O35" s="56" t="s">
        <v>112</v>
      </c>
      <c r="P35" s="125">
        <v>2</v>
      </c>
      <c r="Q35" s="126">
        <v>1.0928999999999999E-2</v>
      </c>
      <c r="R35" s="56"/>
    </row>
    <row r="36" spans="2:18" s="1" customFormat="1" x14ac:dyDescent="0.3">
      <c r="B36" s="40" t="s">
        <v>48</v>
      </c>
      <c r="C36" s="41" t="s">
        <v>49</v>
      </c>
      <c r="D36" s="42">
        <v>7.1800000000000003E-2</v>
      </c>
      <c r="E36" s="24" t="str">
        <f>IF(IF(B36="MDZ140R","",IFERROR((SUMIF($B$3:$B$74,"MDZ140R",$F$3:$F$74)*INDEX($Q$20:$Q$86,MATCH(B36,$N$20:$N$86,0))),""))=0,"",IF(B36="MDZ140R","",IFERROR((SUMIF($B$3:$B$74,"MDZ140R",$F$3:$F$74)*INDEX($Q$20:$Q$86,MATCH(B36,$N$20:$N$86,0))),"")))</f>
        <v/>
      </c>
      <c r="F36" s="42">
        <f t="shared" si="0"/>
        <v>7.1800000000000003E-2</v>
      </c>
      <c r="H36" s="189"/>
      <c r="I36" s="213" t="str">
        <f>IFERROR(VLOOKUP(H36,$B$3:$F$69,5,FALSE),"")</f>
        <v/>
      </c>
      <c r="J36" s="198"/>
      <c r="L36" s="56"/>
      <c r="M36" s="56"/>
      <c r="N36" s="56" t="s">
        <v>63</v>
      </c>
      <c r="O36" s="56" t="s">
        <v>23</v>
      </c>
      <c r="P36" s="125">
        <v>1</v>
      </c>
      <c r="Q36" s="126">
        <v>5.4640000000000001E-3</v>
      </c>
      <c r="R36" s="56"/>
    </row>
    <row r="37" spans="2:18" s="1" customFormat="1" x14ac:dyDescent="0.3">
      <c r="B37" s="40" t="s">
        <v>50</v>
      </c>
      <c r="C37" s="41" t="s">
        <v>51</v>
      </c>
      <c r="D37" s="42">
        <v>4.8500000000000001E-2</v>
      </c>
      <c r="E37" s="24" t="str">
        <f>IF(IF(B37="MDZ140R","",IFERROR((SUMIF($B$3:$B$74,"MDZ140R",$F$3:$F$74)*INDEX($Q$20:$Q$86,MATCH(B37,$N$20:$N$86,0))),""))=0,"",IF(B37="MDZ140R","",IFERROR((SUMIF($B$3:$B$74,"MDZ140R",$F$3:$F$74)*INDEX($Q$20:$Q$86,MATCH(B37,$N$20:$N$86,0))),"")))</f>
        <v/>
      </c>
      <c r="F37" s="42">
        <f t="shared" si="0"/>
        <v>4.8500000000000001E-2</v>
      </c>
      <c r="H37" s="189" t="s">
        <v>72</v>
      </c>
      <c r="I37" s="213" t="str">
        <f>IFERROR(VLOOKUP(H37,$B$3:$F$69,5,FALSE),"")</f>
        <v/>
      </c>
      <c r="J37" s="191">
        <f>SUM(I37:I82)</f>
        <v>7.3999999999999996E-2</v>
      </c>
      <c r="L37" s="56"/>
      <c r="M37" s="56"/>
      <c r="N37" s="56" t="s">
        <v>7</v>
      </c>
      <c r="O37" s="56" t="s">
        <v>8</v>
      </c>
      <c r="P37" s="125">
        <v>1</v>
      </c>
      <c r="Q37" s="126">
        <v>5.4640000000000001E-3</v>
      </c>
      <c r="R37" s="56"/>
    </row>
    <row r="38" spans="2:18" s="144" customFormat="1" x14ac:dyDescent="0.3">
      <c r="B38" s="179"/>
      <c r="C38" s="180"/>
      <c r="D38" s="181"/>
      <c r="E38" s="182"/>
      <c r="F38" s="181"/>
      <c r="H38" s="183" t="s">
        <v>386</v>
      </c>
      <c r="I38" s="214">
        <v>7.3999999999999996E-2</v>
      </c>
      <c r="J38" s="184"/>
      <c r="L38" s="183"/>
      <c r="M38" s="183"/>
      <c r="N38" s="183"/>
      <c r="O38" s="183"/>
      <c r="P38" s="185"/>
      <c r="Q38" s="186"/>
      <c r="R38" s="183"/>
    </row>
    <row r="39" spans="2:18" s="144" customFormat="1" x14ac:dyDescent="0.3">
      <c r="B39" s="179"/>
      <c r="C39" s="180"/>
      <c r="D39" s="181"/>
      <c r="E39" s="182"/>
      <c r="F39" s="181"/>
      <c r="H39" s="183"/>
      <c r="I39" s="215"/>
      <c r="J39" s="184"/>
      <c r="L39" s="183"/>
      <c r="M39" s="183"/>
      <c r="N39" s="183"/>
      <c r="O39" s="183"/>
      <c r="P39" s="185"/>
      <c r="Q39" s="186"/>
      <c r="R39" s="183"/>
    </row>
    <row r="40" spans="2:18" s="1" customFormat="1" x14ac:dyDescent="0.3">
      <c r="B40" s="40" t="s">
        <v>52</v>
      </c>
      <c r="C40" s="41" t="s">
        <v>184</v>
      </c>
      <c r="D40" s="42">
        <v>0.34699999999999998</v>
      </c>
      <c r="E40" s="24" t="str">
        <f>IF(IF(B40="MDZ140R","",IFERROR((SUMIF($B$3:$B$74,"MDZ140R",$F$3:$F$74)*INDEX($Q$20:$Q$86,MATCH(B40,$N$20:$N$86,0))),""))=0,"",IF(B40="MDZ140R","",IFERROR((SUMIF($B$3:$B$74,"MDZ140R",$F$3:$F$74)*INDEX($Q$20:$Q$86,MATCH(B40,$N$20:$N$86,0))),"")))</f>
        <v/>
      </c>
      <c r="F40" s="42">
        <f t="shared" si="0"/>
        <v>0.34699999999999998</v>
      </c>
      <c r="H40" s="183"/>
      <c r="I40" s="213"/>
      <c r="J40" s="184"/>
      <c r="L40" s="56"/>
      <c r="M40" s="56"/>
      <c r="N40" s="56" t="s">
        <v>27</v>
      </c>
      <c r="O40" s="56" t="s">
        <v>113</v>
      </c>
      <c r="P40" s="125">
        <v>1</v>
      </c>
      <c r="Q40" s="126">
        <v>5.4640000000000001E-3</v>
      </c>
      <c r="R40" s="56"/>
    </row>
    <row r="41" spans="2:18" s="144" customFormat="1" x14ac:dyDescent="0.3">
      <c r="B41" s="179"/>
      <c r="C41" s="180"/>
      <c r="D41" s="181"/>
      <c r="E41" s="182"/>
      <c r="F41" s="181"/>
      <c r="H41" s="183"/>
      <c r="I41" s="213" t="str">
        <f>IFERROR(VLOOKUP(H41,$B$3:$F$69,5,FALSE),"")</f>
        <v/>
      </c>
      <c r="J41" s="184"/>
      <c r="L41" s="183"/>
      <c r="M41" s="183"/>
      <c r="N41" s="183"/>
      <c r="O41" s="183"/>
      <c r="P41" s="185"/>
      <c r="Q41" s="186"/>
      <c r="R41" s="183"/>
    </row>
    <row r="42" spans="2:18" s="144" customFormat="1" x14ac:dyDescent="0.3">
      <c r="B42" s="179"/>
      <c r="C42" s="180"/>
      <c r="D42" s="181"/>
      <c r="E42" s="182"/>
      <c r="F42" s="181"/>
      <c r="H42" s="189"/>
      <c r="I42" s="213" t="str">
        <f>IFERROR(VLOOKUP(H42,$B$3:$F$69,5,FALSE),"")</f>
        <v/>
      </c>
      <c r="J42" s="191"/>
      <c r="L42" s="183"/>
      <c r="M42" s="183"/>
      <c r="N42" s="183"/>
      <c r="O42" s="183"/>
      <c r="P42" s="185"/>
      <c r="Q42" s="186"/>
      <c r="R42" s="183"/>
    </row>
    <row r="43" spans="2:18" s="144" customFormat="1" x14ac:dyDescent="0.3">
      <c r="B43" s="179"/>
      <c r="C43" s="180"/>
      <c r="D43" s="181"/>
      <c r="E43" s="182"/>
      <c r="F43" s="181"/>
      <c r="H43" s="192"/>
      <c r="I43" s="213" t="str">
        <f>IFERROR(VLOOKUP(H43,$B$3:$F$69,5,FALSE),"")</f>
        <v/>
      </c>
      <c r="J43" s="206"/>
      <c r="L43" s="183"/>
      <c r="M43" s="183"/>
      <c r="N43" s="183"/>
      <c r="O43" s="183"/>
      <c r="P43" s="185"/>
      <c r="Q43" s="186"/>
      <c r="R43" s="183"/>
    </row>
    <row r="44" spans="2:18" s="144" customFormat="1" x14ac:dyDescent="0.3">
      <c r="B44" s="179"/>
      <c r="C44" s="180"/>
      <c r="D44" s="181"/>
      <c r="E44" s="182"/>
      <c r="F44" s="181"/>
      <c r="H44" s="192"/>
      <c r="I44" s="213" t="str">
        <f>IFERROR(VLOOKUP(H44,$B$3:$F$69,5,FALSE),"")</f>
        <v/>
      </c>
      <c r="J44" s="206"/>
      <c r="L44" s="183"/>
      <c r="M44" s="183"/>
      <c r="N44" s="183"/>
      <c r="O44" s="183"/>
      <c r="P44" s="185"/>
      <c r="Q44" s="186"/>
      <c r="R44" s="183"/>
    </row>
    <row r="45" spans="2:18" s="144" customFormat="1" x14ac:dyDescent="0.3">
      <c r="B45" s="179"/>
      <c r="C45" s="180"/>
      <c r="D45" s="181"/>
      <c r="E45" s="182"/>
      <c r="F45" s="181"/>
      <c r="H45" s="192"/>
      <c r="I45" s="213" t="str">
        <f>IFERROR(VLOOKUP(H45,$B$3:$F$69,5,FALSE),"")</f>
        <v/>
      </c>
      <c r="J45" s="206"/>
      <c r="L45" s="183"/>
      <c r="M45" s="183"/>
      <c r="N45" s="183"/>
      <c r="O45" s="183"/>
      <c r="P45" s="185"/>
      <c r="Q45" s="186"/>
      <c r="R45" s="183"/>
    </row>
    <row r="46" spans="2:18" s="144" customFormat="1" x14ac:dyDescent="0.3">
      <c r="B46" s="179"/>
      <c r="C46" s="180"/>
      <c r="D46" s="181"/>
      <c r="E46" s="182"/>
      <c r="F46" s="181"/>
      <c r="H46" s="192"/>
      <c r="I46" s="213" t="str">
        <f>IFERROR(VLOOKUP(H46,$B$3:$F$69,5,FALSE),"")</f>
        <v/>
      </c>
      <c r="J46" s="206"/>
      <c r="L46" s="183"/>
      <c r="M46" s="183"/>
      <c r="N46" s="183"/>
      <c r="O46" s="183"/>
      <c r="P46" s="185"/>
      <c r="Q46" s="186"/>
      <c r="R46" s="183"/>
    </row>
    <row r="47" spans="2:18" s="144" customFormat="1" x14ac:dyDescent="0.3">
      <c r="B47" s="179"/>
      <c r="C47" s="180"/>
      <c r="D47" s="181"/>
      <c r="E47" s="182"/>
      <c r="F47" s="181"/>
      <c r="H47" s="192"/>
      <c r="I47" s="213" t="str">
        <f>IFERROR(VLOOKUP(H47,$B$3:$F$69,5,FALSE),"")</f>
        <v/>
      </c>
      <c r="J47" s="206"/>
      <c r="L47" s="183"/>
      <c r="M47" s="183"/>
      <c r="N47" s="183"/>
      <c r="O47" s="183"/>
      <c r="P47" s="185"/>
      <c r="Q47" s="186"/>
      <c r="R47" s="183"/>
    </row>
    <row r="48" spans="2:18" s="144" customFormat="1" x14ac:dyDescent="0.3">
      <c r="B48" s="179"/>
      <c r="C48" s="180"/>
      <c r="D48" s="181"/>
      <c r="E48" s="182"/>
      <c r="F48" s="181"/>
      <c r="H48" s="192"/>
      <c r="I48" s="213" t="str">
        <f>IFERROR(VLOOKUP(H48,$B$3:$F$69,5,FALSE),"")</f>
        <v/>
      </c>
      <c r="J48" s="206"/>
      <c r="L48" s="183"/>
      <c r="M48" s="183"/>
      <c r="N48" s="183"/>
      <c r="O48" s="183"/>
      <c r="P48" s="185"/>
      <c r="Q48" s="186"/>
      <c r="R48" s="183"/>
    </row>
    <row r="49" spans="2:18" s="144" customFormat="1" x14ac:dyDescent="0.3">
      <c r="B49" s="40" t="s">
        <v>55</v>
      </c>
      <c r="C49" s="89" t="s">
        <v>56</v>
      </c>
      <c r="D49" s="42">
        <v>0.61050000000000004</v>
      </c>
      <c r="E49" s="24" t="str">
        <f>IF(IF(B49="MDZ140R","",IFERROR((SUMIF($B$3:$B$74,"MDZ140R",$F$3:$F$74)*INDEX($Q$20:$Q$86,MATCH(B49,$N$20:$N$86,0))),""))=0,"",IF(B49="MDZ140R","",IFERROR((SUMIF($B$3:$B$74,"MDZ140R",$F$3:$F$74)*INDEX($Q$20:$Q$86,MATCH(B49,$N$20:$N$86,0))),"")))</f>
        <v/>
      </c>
      <c r="F49" s="42">
        <f t="shared" ref="F49:F69" si="2">IF(D49="","",D49+ IF(E49="",0,E49))</f>
        <v>0.61050000000000004</v>
      </c>
      <c r="H49" s="192"/>
      <c r="I49" s="213" t="str">
        <f>IFERROR(VLOOKUP(H49,$B$3:$F$69,5,FALSE),"")</f>
        <v/>
      </c>
      <c r="J49" s="206"/>
      <c r="L49" s="145"/>
      <c r="M49" s="145"/>
      <c r="N49" s="145"/>
      <c r="O49" s="145"/>
      <c r="P49" s="147"/>
      <c r="Q49" s="148"/>
      <c r="R49" s="145"/>
    </row>
    <row r="50" spans="2:18" s="1" customFormat="1" x14ac:dyDescent="0.3">
      <c r="B50" s="89" t="s">
        <v>114</v>
      </c>
      <c r="C50" s="141" t="s">
        <v>115</v>
      </c>
      <c r="D50" s="42">
        <v>0.80359999999999998</v>
      </c>
      <c r="E50" s="24" t="str">
        <f>IF(IF(B50="MDZ140R","",IFERROR((SUMIF($B$3:$B$74,"MDZ140R",$F$3:$F$74)*INDEX($Q$20:$Q$86,MATCH(B50,$N$20:$N$86,0))),""))=0,"",IF(B50="MDZ140R","",IFERROR((SUMIF($B$3:$B$74,"MDZ140R",$F$3:$F$74)*INDEX($Q$20:$Q$86,MATCH(B50,$N$20:$N$86,0))),"")))</f>
        <v/>
      </c>
      <c r="F50" s="42">
        <f t="shared" si="2"/>
        <v>0.80359999999999998</v>
      </c>
      <c r="H50" s="192"/>
      <c r="I50" s="213" t="str">
        <f>IFERROR(VLOOKUP(H50,$B$3:$F$69,5,FALSE),"")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89" t="s">
        <v>116</v>
      </c>
      <c r="C51" s="89" t="s">
        <v>117</v>
      </c>
      <c r="D51" s="42">
        <v>0.89659999999999995</v>
      </c>
      <c r="E51" s="24" t="str">
        <f>IF(IF(B51="MDZ140R","",IFERROR((SUMIF($B$3:$B$74,"MDZ140R",$F$3:$F$74)*INDEX($Q$20:$Q$86,MATCH(B51,$N$20:$N$86,0))),""))=0,"",IF(B51="MDZ140R","",IFERROR((SUMIF($B$3:$B$74,"MDZ140R",$F$3:$F$74)*INDEX($Q$20:$Q$86,MATCH(B51,$N$20:$N$86,0))),"")))</f>
        <v/>
      </c>
      <c r="F51" s="42">
        <f t="shared" si="2"/>
        <v>0.89659999999999995</v>
      </c>
      <c r="H51" s="192"/>
      <c r="I51" s="213" t="str">
        <f>IFERROR(VLOOKUP(H51,$B$3:$F$69,5,FALSE),"")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 t="s">
        <v>87</v>
      </c>
      <c r="C52" s="89" t="s">
        <v>118</v>
      </c>
      <c r="D52" s="42">
        <v>0.55889999999999995</v>
      </c>
      <c r="E52" s="24" t="str">
        <f>IF(IF(B52="MDZ140R","",IFERROR((SUMIF($B$3:$B$74,"MDZ140R",$F$3:$F$74)*INDEX($Q$20:$Q$86,MATCH(B52,$N$20:$N$86,0))),""))=0,"",IF(B52="MDZ140R","",IFERROR((SUMIF($B$3:$B$74,"MDZ140R",$F$3:$F$74)*INDEX($Q$20:$Q$86,MATCH(B52,$N$20:$N$86,0))),"")))</f>
        <v/>
      </c>
      <c r="F52" s="42">
        <f t="shared" si="2"/>
        <v>0.55889999999999995</v>
      </c>
      <c r="H52" s="192"/>
      <c r="I52" s="213" t="str">
        <f>IFERROR(VLOOKUP(H52,$B$3:$F$69,5,FALSE),"")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 t="s">
        <v>119</v>
      </c>
      <c r="C53" s="89" t="s">
        <v>120</v>
      </c>
      <c r="D53" s="42">
        <v>0.46700000000000003</v>
      </c>
      <c r="E53" s="24" t="str">
        <f>IF(IF(B53="MDZ140R","",IFERROR((SUMIF($B$3:$B$74,"MDZ140R",$F$3:$F$74)*INDEX($Q$20:$Q$86,MATCH(B53,$N$20:$N$86,0))),""))=0,"",IF(B53="MDZ140R","",IFERROR((SUMIF($B$3:$B$74,"MDZ140R",$F$3:$F$74)*INDEX($Q$20:$Q$86,MATCH(B53,$N$20:$N$86,0))),"")))</f>
        <v/>
      </c>
      <c r="F53" s="42">
        <f t="shared" si="2"/>
        <v>0.46700000000000003</v>
      </c>
      <c r="H53" s="192"/>
      <c r="I53" s="213" t="str">
        <f>IFERROR(VLOOKUP(H53,$B$3:$F$69,5,FALSE),"")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 t="s">
        <v>121</v>
      </c>
      <c r="C54" s="89" t="s">
        <v>122</v>
      </c>
      <c r="D54" s="42">
        <v>0.36759999999999998</v>
      </c>
      <c r="E54" s="24" t="str">
        <f>IF(IF(B54="MDZ140R","",IFERROR((SUMIF($B$3:$B$74,"MDZ140R",$F$3:$F$74)*INDEX($Q$20:$Q$86,MATCH(B54,$N$20:$N$86,0))),""))=0,"",IF(B54="MDZ140R","",IFERROR((SUMIF($B$3:$B$74,"MDZ140R",$F$3:$F$74)*INDEX($Q$20:$Q$86,MATCH(B54,$N$20:$N$86,0))),"")))</f>
        <v/>
      </c>
      <c r="F54" s="42">
        <f t="shared" si="2"/>
        <v>0.36759999999999998</v>
      </c>
      <c r="H54" s="192"/>
      <c r="I54" s="213" t="str">
        <f>IFERROR(VLOOKUP(H54,$B$3:$F$69,5,FALSE),"")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89" t="s">
        <v>123</v>
      </c>
      <c r="C55" s="89" t="s">
        <v>124</v>
      </c>
      <c r="D55" s="42">
        <v>0.37890000000000001</v>
      </c>
      <c r="E55" s="24" t="str">
        <f>IF(IF(B55="MDZ140R","",IFERROR((SUMIF($B$3:$B$74,"MDZ140R",$F$3:$F$74)*INDEX($Q$20:$Q$86,MATCH(B55,$N$20:$N$86,0))),""))=0,"",IF(B55="MDZ140R","",IFERROR((SUMIF($B$3:$B$74,"MDZ140R",$F$3:$F$74)*INDEX($Q$20:$Q$86,MATCH(B55,$N$20:$N$86,0))),"")))</f>
        <v/>
      </c>
      <c r="F55" s="42">
        <f t="shared" si="2"/>
        <v>0.37890000000000001</v>
      </c>
      <c r="H55" s="192"/>
      <c r="I55" s="213" t="str">
        <f>IFERROR(VLOOKUP(H55,$B$3:$F$69,5,FALSE),"")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89" t="s">
        <v>125</v>
      </c>
      <c r="C56" s="89" t="s">
        <v>126</v>
      </c>
      <c r="D56" s="42">
        <v>0.90859999999999996</v>
      </c>
      <c r="E56" s="24" t="str">
        <f>IF(IF(B56="MDZ140R","",IFERROR((SUMIF($B$3:$B$74,"MDZ140R",$F$3:$F$74)*INDEX($Q$20:$Q$86,MATCH(B56,$N$20:$N$86,0))),""))=0,"",IF(B56="MDZ140R","",IFERROR((SUMIF($B$3:$B$74,"MDZ140R",$F$3:$F$74)*INDEX($Q$20:$Q$86,MATCH(B56,$N$20:$N$86,0))),"")))</f>
        <v/>
      </c>
      <c r="F56" s="42">
        <f t="shared" si="2"/>
        <v>0.90859999999999996</v>
      </c>
      <c r="H56" s="192"/>
      <c r="I56" s="213" t="str">
        <f>IFERROR(VLOOKUP(H56,$B$3:$F$69,5,FALSE),"")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89" t="s">
        <v>94</v>
      </c>
      <c r="C57" s="89" t="s">
        <v>127</v>
      </c>
      <c r="D57" s="42">
        <v>0.70540000000000003</v>
      </c>
      <c r="E57" s="24" t="str">
        <f>IF(IF(B57="MDZ140R","",IFERROR((SUMIF($B$3:$B$74,"MDZ140R",$F$3:$F$74)*INDEX($Q$20:$Q$86,MATCH(B57,$N$20:$N$86,0))),""))=0,"",IF(B57="MDZ140R","",IFERROR((SUMIF($B$3:$B$74,"MDZ140R",$F$3:$F$74)*INDEX($Q$20:$Q$86,MATCH(B57,$N$20:$N$86,0))),"")))</f>
        <v/>
      </c>
      <c r="F57" s="42">
        <f t="shared" si="2"/>
        <v>0.70540000000000003</v>
      </c>
      <c r="H57" s="192"/>
      <c r="I57" s="213" t="str">
        <f>IFERROR(VLOOKUP(H57,$B$3:$F$69,5,FALSE),"")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 t="s">
        <v>95</v>
      </c>
      <c r="C58" s="89" t="s">
        <v>128</v>
      </c>
      <c r="D58" s="11">
        <v>0.2908</v>
      </c>
      <c r="E58" s="24" t="str">
        <f>IF(IF(B58="MDZ140R","",IFERROR((SUMIF($B$3:$B$74,"MDZ140R",$F$3:$F$74)*INDEX($Q$20:$Q$86,MATCH(B58,$N$20:$N$86,0))),""))=0,"",IF(B58="MDZ140R","",IFERROR((SUMIF($B$3:$B$74,"MDZ140R",$F$3:$F$74)*INDEX($Q$20:$Q$86,MATCH(B58,$N$20:$N$86,0))),"")))</f>
        <v/>
      </c>
      <c r="F58" s="42">
        <f t="shared" si="2"/>
        <v>0.2908</v>
      </c>
      <c r="H58" s="192"/>
      <c r="I58" s="213" t="str">
        <f>IFERROR(VLOOKUP(H58,$B$3:$F$69,5,FALSE),"")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 t="s">
        <v>129</v>
      </c>
      <c r="C59" s="89" t="s">
        <v>130</v>
      </c>
      <c r="D59" s="42">
        <v>0.3241</v>
      </c>
      <c r="E59" s="24" t="str">
        <f>IF(IF(B59="MDZ140R","",IFERROR((SUMIF($B$3:$B$74,"MDZ140R",$F$3:$F$74)*INDEX($Q$20:$Q$86,MATCH(B59,$N$20:$N$86,0))),""))=0,"",IF(B59="MDZ140R","",IFERROR((SUMIF($B$3:$B$74,"MDZ140R",$F$3:$F$74)*INDEX($Q$20:$Q$86,MATCH(B59,$N$20:$N$86,0))),"")))</f>
        <v/>
      </c>
      <c r="F59" s="42">
        <f t="shared" si="2"/>
        <v>0.3241</v>
      </c>
      <c r="H59" s="192"/>
      <c r="I59" s="213" t="str">
        <f>IFERROR(VLOOKUP(H59,$B$3:$F$69,5,FALSE),"")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 t="s">
        <v>131</v>
      </c>
      <c r="C60" s="89" t="s">
        <v>132</v>
      </c>
      <c r="D60" s="42">
        <v>0.98089999999999999</v>
      </c>
      <c r="E60" s="24" t="str">
        <f>IF(IF(B60="MDZ140R","",IFERROR((SUMIF($B$3:$B$74,"MDZ140R",$F$3:$F$74)*INDEX($Q$20:$Q$86,MATCH(B60,$N$20:$N$86,0))),""))=0,"",IF(B60="MDZ140R","",IFERROR((SUMIF($B$3:$B$74,"MDZ140R",$F$3:$F$74)*INDEX($Q$20:$Q$86,MATCH(B60,$N$20:$N$86,0))),"")))</f>
        <v/>
      </c>
      <c r="F60" s="42">
        <f t="shared" si="2"/>
        <v>0.98089999999999999</v>
      </c>
      <c r="H60" s="192"/>
      <c r="I60" s="213" t="str">
        <f>IFERROR(VLOOKUP(H60,$B$3:$F$69,5,FALSE),"")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 t="s">
        <v>133</v>
      </c>
      <c r="C61" s="89" t="s">
        <v>134</v>
      </c>
      <c r="D61" s="42">
        <v>0.64649999999999996</v>
      </c>
      <c r="E61" s="24" t="str">
        <f>IF(IF(B61="MDZ140R","",IFERROR((SUMIF($B$3:$B$74,"MDZ140R",$F$3:$F$74)*INDEX($Q$20:$Q$86,MATCH(B61,$N$20:$N$86,0))),""))=0,"",IF(B61="MDZ140R","",IFERROR((SUMIF($B$3:$B$74,"MDZ140R",$F$3:$F$74)*INDEX($Q$20:$Q$86,MATCH(B61,$N$20:$N$86,0))),"")))</f>
        <v/>
      </c>
      <c r="F61" s="42">
        <f t="shared" si="2"/>
        <v>0.64649999999999996</v>
      </c>
      <c r="H61" s="192"/>
      <c r="I61" s="213" t="str">
        <f>IFERROR(VLOOKUP(H61,$B$3:$F$69,5,FALSE),"")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 t="s">
        <v>135</v>
      </c>
      <c r="C62" s="89" t="s">
        <v>136</v>
      </c>
      <c r="D62" s="42">
        <v>0.90029999999999999</v>
      </c>
      <c r="E62" s="24" t="str">
        <f>IF(IF(B62="MDZ140R","",IFERROR((SUMIF($B$3:$B$74,"MDZ140R",$F$3:$F$74)*INDEX($Q$20:$Q$86,MATCH(B62,$N$20:$N$86,0))),""))=0,"",IF(B62="MDZ140R","",IFERROR((SUMIF($B$3:$B$74,"MDZ140R",$F$3:$F$74)*INDEX($Q$20:$Q$86,MATCH(B62,$N$20:$N$86,0))),"")))</f>
        <v/>
      </c>
      <c r="F62" s="42">
        <f t="shared" si="2"/>
        <v>0.90029999999999999</v>
      </c>
      <c r="H62" s="192"/>
      <c r="I62" s="213" t="str">
        <f>IFERROR(VLOOKUP(H62,$B$3:$F$69,5,FALSE),"")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 t="s">
        <v>137</v>
      </c>
      <c r="C63" s="89" t="s">
        <v>138</v>
      </c>
      <c r="D63" s="42">
        <v>0.98670000000000002</v>
      </c>
      <c r="E63" s="24" t="str">
        <f>IF(IF(B63="MDZ140R","",IFERROR((SUMIF($B$3:$B$74,"MDZ140R",$F$3:$F$74)*INDEX($Q$20:$Q$86,MATCH(B63,$N$20:$N$86,0))),""))=0,"",IF(B63="MDZ140R","",IFERROR((SUMIF($B$3:$B$74,"MDZ140R",$F$3:$F$74)*INDEX($Q$20:$Q$86,MATCH(B63,$N$20:$N$86,0))),"")))</f>
        <v/>
      </c>
      <c r="F63" s="42">
        <f t="shared" si="2"/>
        <v>0.98670000000000002</v>
      </c>
      <c r="H63" s="192"/>
      <c r="I63" s="213" t="str">
        <f>IFERROR(VLOOKUP(H63,$B$3:$F$69,5,FALSE),"")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89" t="s">
        <v>139</v>
      </c>
      <c r="C64" s="89" t="s">
        <v>188</v>
      </c>
      <c r="D64" s="42">
        <v>0.45850000000000002</v>
      </c>
      <c r="E64" s="24" t="str">
        <f>IF(IF(B64="MDZ140R","",IFERROR((SUMIF($B$3:$B$74,"MDZ140R",$F$3:$F$74)*INDEX($Q$20:$Q$86,MATCH(B64,$N$20:$N$86,0))),""))=0,"",IF(B64="MDZ140R","",IFERROR((SUMIF($B$3:$B$74,"MDZ140R",$F$3:$F$74)*INDEX($Q$20:$Q$86,MATCH(B64,$N$20:$N$86,0))),"")))</f>
        <v/>
      </c>
      <c r="F64" s="42">
        <f t="shared" si="2"/>
        <v>0.45850000000000002</v>
      </c>
      <c r="H64" s="192"/>
      <c r="I64" s="213" t="str">
        <f>IFERROR(VLOOKUP(H64,$B$3:$F$69,5,FALSE),"")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89" t="s">
        <v>141</v>
      </c>
      <c r="C65" s="89" t="s">
        <v>142</v>
      </c>
      <c r="D65" s="42">
        <v>0.55830000000000002</v>
      </c>
      <c r="E65" s="24" t="str">
        <f>IF(IF(B65="MDZ140R","",IFERROR((SUMIF($B$3:$B$74,"MDZ140R",$F$3:$F$74)*INDEX($Q$20:$Q$86,MATCH(B65,$N$20:$N$86,0))),""))=0,"",IF(B65="MDZ140R","",IFERROR((SUMIF($B$3:$B$74,"MDZ140R",$F$3:$F$74)*INDEX($Q$20:$Q$86,MATCH(B65,$N$20:$N$86,0))),"")))</f>
        <v/>
      </c>
      <c r="F65" s="42">
        <f t="shared" si="2"/>
        <v>0.55830000000000002</v>
      </c>
      <c r="H65" s="192"/>
      <c r="I65" s="213" t="str">
        <f>IFERROR(VLOOKUP(H65,$B$3:$F$69,5,FALSE),"")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89"/>
      <c r="C66" s="89"/>
      <c r="D66" s="42"/>
      <c r="E66" s="24" t="str">
        <f>IF(IF(B66="MDZ140R","",IFERROR((SUMIF($B$3:$B$74,"MDZ140R",$F$3:$F$74)*INDEX($Q$20:$Q$86,MATCH(B66,$N$20:$N$86,0))),""))=0,"",IF(B66="MDZ140R","",IFERROR((SUMIF($B$3:$B$74,"MDZ140R",$F$3:$F$74)*INDEX($Q$20:$Q$86,MATCH(B66,$N$20:$N$86,0))),"")))</f>
        <v/>
      </c>
      <c r="F66" s="42" t="str">
        <f t="shared" si="2"/>
        <v/>
      </c>
      <c r="H66" s="192"/>
      <c r="I66" s="213" t="str">
        <f>IFERROR(VLOOKUP(H66,$B$3:$F$69,5,FALSE),"")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89"/>
      <c r="C67" s="89"/>
      <c r="D67" s="42"/>
      <c r="E67" s="24" t="str">
        <f>IF(IF(B67="MDZ140R","",IFERROR((SUMIF($B$3:$B$74,"MDZ140R",$F$3:$F$74)*INDEX($Q$20:$Q$86,MATCH(B67,$N$20:$N$86,0))),""))=0,"",IF(B67="MDZ140R","",IFERROR((SUMIF($B$3:$B$74,"MDZ140R",$F$3:$F$74)*INDEX($Q$20:$Q$86,MATCH(B67,$N$20:$N$86,0))),"")))</f>
        <v/>
      </c>
      <c r="F67" s="42" t="str">
        <f t="shared" si="2"/>
        <v/>
      </c>
      <c r="H67" s="192"/>
      <c r="I67" s="213" t="str">
        <f>IFERROR(VLOOKUP(H67,$B$3:$F$69,5,FALSE),"")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89"/>
      <c r="C68" s="89"/>
      <c r="D68" s="42"/>
      <c r="E68" s="24" t="str">
        <f>IF(IF(B68="MDZ140R","",IFERROR((SUMIF($B$3:$B$74,"MDZ140R",$F$3:$F$74)*INDEX($Q$20:$Q$86,MATCH(B68,$N$20:$N$86,0))),""))=0,"",IF(B68="MDZ140R","",IFERROR((SUMIF($B$3:$B$74,"MDZ140R",$F$3:$F$74)*INDEX($Q$20:$Q$86,MATCH(B68,$N$20:$N$86,0))),"")))</f>
        <v/>
      </c>
      <c r="F68" s="42" t="str">
        <f t="shared" si="2"/>
        <v/>
      </c>
      <c r="H68" s="192"/>
      <c r="I68" s="213" t="str">
        <f>IFERROR(VLOOKUP(H68,$B$3:$F$69,5,FALSE),"")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89"/>
      <c r="C69" s="89"/>
      <c r="D69" s="42"/>
      <c r="E69" s="24" t="str">
        <f>IF(IF(B69="MDZ140R","",IFERROR((SUMIF($B$3:$B$74,"MDZ140R",$F$3:$F$74)*INDEX($Q$20:$Q$86,MATCH(B69,$N$20:$N$86,0))),""))=0,"",IF(B69="MDZ140R","",IFERROR((SUMIF($B$3:$B$74,"MDZ140R",$F$3:$F$74)*INDEX($Q$20:$Q$86,MATCH(B69,$N$20:$N$86,0))),"")))</f>
        <v/>
      </c>
      <c r="F69" s="42" t="str">
        <f t="shared" si="2"/>
        <v/>
      </c>
      <c r="H69" s="192"/>
      <c r="I69" s="213" t="str">
        <f>IFERROR(VLOOKUP(H69,$B$3:$F$69,5,FALSE),"")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89"/>
      <c r="C70" s="89"/>
      <c r="D70" s="42"/>
      <c r="E70" s="24"/>
      <c r="F70" s="42"/>
      <c r="H70" s="192"/>
      <c r="I70" s="213" t="str">
        <f>IFERROR(VLOOKUP(H70,$B$3:$F$69,5,FALSE),"")</f>
        <v/>
      </c>
      <c r="J70" s="206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89"/>
      <c r="C71" s="89"/>
      <c r="D71" s="42"/>
      <c r="E71" s="24" t="str">
        <f>IF(IF(B71="MDZ140R","",IFERROR((SUMIF($B$3:$B$74,"MDZ140R",$F$3:$F$74)*INDEX($Q$20:$Q$86,MATCH(B71,$N$20:$N$86,0))),""))=0,"",IF(B71="MDZ140R","",IFERROR((SUMIF($B$3:$B$74,"MDZ140R",$F$3:$F$74)*INDEX($Q$20:$Q$86,MATCH(B71,$N$20:$N$86,0))),"")))</f>
        <v/>
      </c>
      <c r="F71" s="42" t="str">
        <f>IF(D71="","",D71+ IF(E71="",0,E71))</f>
        <v/>
      </c>
      <c r="H71" s="192"/>
      <c r="I71" s="213" t="str">
        <f>IFERROR(VLOOKUP(H71,$B$3:$F$69,5,FALSE),"")</f>
        <v/>
      </c>
      <c r="J71" s="206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89"/>
      <c r="C72" s="89"/>
      <c r="D72" s="42"/>
      <c r="E72" s="24" t="str">
        <f>IF(IF(B72="MDZ140R","",IFERROR((SUMIF($B$3:$B$74,"MDZ140R",$F$3:$F$74)*INDEX($Q$20:$Q$86,MATCH(B72,$N$20:$N$86,0))),""))=0,"",IF(B72="MDZ140R","",IFERROR((SUMIF($B$3:$B$74,"MDZ140R",$F$3:$F$74)*INDEX($Q$20:$Q$86,MATCH(B72,$N$20:$N$86,0))),"")))</f>
        <v/>
      </c>
      <c r="F72" s="42" t="str">
        <f>IF(D72="","",D72+ IF(E72="",0,E72))</f>
        <v/>
      </c>
      <c r="H72" s="192"/>
      <c r="I72" s="213" t="str">
        <f>IFERROR(VLOOKUP(H72,$B$3:$F$69,5,FALSE),"")</f>
        <v/>
      </c>
      <c r="J72" s="206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89" t="s">
        <v>143</v>
      </c>
      <c r="C73" s="89" t="s">
        <v>144</v>
      </c>
      <c r="D73" s="42">
        <v>0.55089999999999995</v>
      </c>
      <c r="E73" s="24" t="str">
        <f>IF(IF(B73="MDZ140R","",IFERROR((SUMIF($B$3:$B$74,"MDZ140R",$F$3:$F$74)*INDEX($Q$20:$Q$86,MATCH(B73,$N$20:$N$86,0))),""))=0,"",IF(B73="MDZ140R","",IFERROR((SUMIF($B$3:$B$74,"MDZ140R",$F$3:$F$74)*INDEX($Q$20:$Q$86,MATCH(B73,$N$20:$N$86,0))),"")))</f>
        <v/>
      </c>
      <c r="F73" s="42">
        <f>IF(D73="","",D73+ IF(E73="",0,E73))</f>
        <v>0.55089999999999995</v>
      </c>
      <c r="H73" s="192"/>
      <c r="I73" s="213" t="str">
        <f>IFERROR(VLOOKUP(H73,$B$3:$F$69,5,FALSE),"")</f>
        <v/>
      </c>
      <c r="J73" s="206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127"/>
      <c r="C74" s="60" t="s">
        <v>145</v>
      </c>
      <c r="D74" s="133">
        <f>SUM(D3:D73)</f>
        <v>27.097099999999998</v>
      </c>
      <c r="E74" s="134"/>
      <c r="F74" s="135">
        <f>D74+E74</f>
        <v>27.097099999999998</v>
      </c>
      <c r="H74" s="192"/>
      <c r="I74" s="213" t="str">
        <f>IFERROR(VLOOKUP(H74,$B$3:$F$69,5,FALSE),"")</f>
        <v/>
      </c>
      <c r="J74" s="206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B75" s="127"/>
      <c r="C75" s="60"/>
      <c r="D75" s="133"/>
      <c r="E75" s="134"/>
      <c r="F75" s="135"/>
      <c r="H75" s="192"/>
      <c r="I75" s="213" t="str">
        <f>IFERROR(VLOOKUP(H75,$B$3:$F$69,5,FALSE),"")</f>
        <v/>
      </c>
      <c r="J75" s="206"/>
      <c r="L75" s="56"/>
      <c r="M75" s="56"/>
      <c r="N75" s="56"/>
      <c r="O75" s="56"/>
      <c r="P75" s="125"/>
      <c r="Q75" s="126"/>
      <c r="R75" s="56"/>
    </row>
    <row r="76" spans="2:18" s="1" customFormat="1" x14ac:dyDescent="0.3">
      <c r="B76" s="136"/>
      <c r="C76" s="136"/>
      <c r="D76" s="133">
        <v>0</v>
      </c>
      <c r="E76" s="134"/>
      <c r="F76" s="135">
        <f>D76+E76</f>
        <v>0</v>
      </c>
      <c r="H76" s="192"/>
      <c r="I76" s="213" t="str">
        <f>IFERROR(VLOOKUP(H76,$B$3:$F$69,5,FALSE),"")</f>
        <v/>
      </c>
      <c r="J76" s="191"/>
      <c r="L76" s="56"/>
      <c r="M76" s="56"/>
      <c r="N76" s="56"/>
      <c r="O76" s="56"/>
      <c r="P76" s="125"/>
      <c r="Q76" s="126"/>
      <c r="R76" s="56"/>
    </row>
    <row r="77" spans="2:18" s="1" customFormat="1" x14ac:dyDescent="0.3">
      <c r="B77" s="136"/>
      <c r="C77" s="136"/>
      <c r="D77" s="133">
        <v>0</v>
      </c>
      <c r="E77" s="134"/>
      <c r="F77" s="135">
        <f>D77+E77</f>
        <v>0</v>
      </c>
      <c r="H77" s="192"/>
      <c r="I77" s="213" t="str">
        <f>IFERROR(VLOOKUP(H77,$B$3:$F$69,5,FALSE),"")</f>
        <v/>
      </c>
      <c r="J77" s="191"/>
      <c r="L77" s="56"/>
      <c r="M77" s="56"/>
      <c r="N77" s="56"/>
      <c r="O77" s="56"/>
      <c r="P77" s="125"/>
      <c r="Q77" s="126"/>
      <c r="R77" s="56"/>
    </row>
    <row r="78" spans="2:18" s="1" customFormat="1" x14ac:dyDescent="0.3">
      <c r="B78" s="40"/>
      <c r="C78" s="41"/>
      <c r="D78" s="42"/>
      <c r="E78" s="24"/>
      <c r="F78" s="42"/>
      <c r="H78" s="192"/>
      <c r="I78" s="213" t="str">
        <f>IFERROR(VLOOKUP(H78,$B$3:$F$69,5,FALSE),"")</f>
        <v/>
      </c>
      <c r="J78" s="191"/>
      <c r="L78" s="56"/>
      <c r="M78" s="56"/>
      <c r="N78" s="56"/>
      <c r="O78" s="56"/>
      <c r="P78" s="125"/>
      <c r="Q78" s="126"/>
      <c r="R78" s="56"/>
    </row>
    <row r="79" spans="2:18" s="1" customFormat="1" x14ac:dyDescent="0.3">
      <c r="B79" s="40"/>
      <c r="C79" s="41"/>
      <c r="D79" s="42"/>
      <c r="E79" s="24"/>
      <c r="F79" s="42"/>
      <c r="H79" s="192"/>
      <c r="I79" s="213" t="str">
        <f>IFERROR(VLOOKUP(H79,$B$3:$F$69,5,FALSE),"")</f>
        <v/>
      </c>
      <c r="J79" s="191"/>
      <c r="L79" s="56"/>
      <c r="M79" s="56"/>
      <c r="N79" s="56"/>
      <c r="O79" s="56"/>
      <c r="P79" s="125"/>
      <c r="Q79" s="126"/>
      <c r="R79" s="56"/>
    </row>
    <row r="80" spans="2:18" s="1" customFormat="1" x14ac:dyDescent="0.3">
      <c r="B80" s="40"/>
      <c r="C80" s="41"/>
      <c r="D80" s="42"/>
      <c r="E80" s="24" t="str">
        <f>IF(IF(B80="MDZ140R","",IFERROR((SUMIF($B$3:$B$74,"MDZ140R",$F$3:$F$74)*INDEX($Q$20:$Q$86,MATCH(B80,$N$20:$N$86,0))),""))=0,"",IF(B80="MDZ140R","",IFERROR((SUMIF($B$3:$B$74,"MDZ140R",$F$3:$F$74)*INDEX($Q$20:$Q$86,MATCH(B80,$N$20:$N$86,0))),"")))</f>
        <v/>
      </c>
      <c r="F80" s="42" t="str">
        <f t="shared" si="0"/>
        <v/>
      </c>
      <c r="H80" s="192"/>
      <c r="I80" s="213" t="str">
        <f>IFERROR(VLOOKUP(H80,$B$3:$F$69,5,FALSE),"")</f>
        <v/>
      </c>
      <c r="J80" s="191"/>
      <c r="L80" s="56"/>
      <c r="M80" s="56"/>
      <c r="N80" s="56"/>
      <c r="O80" s="56"/>
      <c r="P80" s="125"/>
      <c r="Q80" s="126"/>
      <c r="R80" s="56"/>
    </row>
    <row r="81" spans="2:18" s="1" customFormat="1" x14ac:dyDescent="0.3">
      <c r="B81" s="40"/>
      <c r="C81" s="41"/>
      <c r="D81" s="42"/>
      <c r="E81" s="24" t="str">
        <f>IF(IF(B81="MDZ140R","",IFERROR((SUMIF($B$3:$B$74,"MDZ140R",$F$3:$F$74)*INDEX($Q$20:$Q$86,MATCH(B81,$N$20:$N$86,0))),""))=0,"",IF(B81="MDZ140R","",IFERROR((SUMIF($B$3:$B$74,"MDZ140R",$F$3:$F$74)*INDEX($Q$20:$Q$86,MATCH(B81,$N$20:$N$86,0))),"")))</f>
        <v/>
      </c>
      <c r="F81" s="42" t="str">
        <f t="shared" si="0"/>
        <v/>
      </c>
      <c r="H81" s="192"/>
      <c r="I81" s="213" t="str">
        <f>IFERROR(VLOOKUP(H81,$B$3:$F$69,5,FALSE),"")</f>
        <v/>
      </c>
      <c r="J81" s="191"/>
      <c r="L81" s="56"/>
      <c r="M81" s="56"/>
      <c r="N81" s="56"/>
      <c r="O81" s="56"/>
      <c r="P81" s="125"/>
      <c r="Q81" s="126"/>
      <c r="R81" s="56"/>
    </row>
    <row r="82" spans="2:18" s="1" customFormat="1" x14ac:dyDescent="0.3">
      <c r="B82" s="40"/>
      <c r="C82" s="41"/>
      <c r="D82" s="42"/>
      <c r="E82" s="24" t="str">
        <f>IF(IF(B82="MDZ140R","",IFERROR((SUMIF($B$3:$B$74,"MDZ140R",$F$3:$F$74)*INDEX($Q$20:$Q$86,MATCH(B82,$N$20:$N$86,0))),""))=0,"",IF(B82="MDZ140R","",IFERROR((SUMIF($B$3:$B$74,"MDZ140R",$F$3:$F$74)*INDEX($Q$20:$Q$86,MATCH(B82,$N$20:$N$86,0))),"")))</f>
        <v/>
      </c>
      <c r="F82" s="42" t="str">
        <f t="shared" si="0"/>
        <v/>
      </c>
      <c r="H82" s="192"/>
      <c r="I82" s="213" t="str">
        <f>IFERROR(VLOOKUP(H82,$B$3:$F$69,5,FALSE),"")</f>
        <v/>
      </c>
      <c r="J82" s="207"/>
      <c r="L82" s="56"/>
      <c r="M82" s="56"/>
      <c r="N82" s="56"/>
      <c r="O82" s="56"/>
      <c r="P82" s="125"/>
      <c r="Q82" s="126"/>
      <c r="R82" s="56"/>
    </row>
    <row r="83" spans="2:18" s="1" customFormat="1" x14ac:dyDescent="0.3">
      <c r="B83" s="40"/>
      <c r="C83" s="41"/>
      <c r="D83" s="42"/>
      <c r="E83" s="24" t="str">
        <f>IF(IF(B83="MDZ140R","",IFERROR((SUMIF($B$3:$B$74,"MDZ140R",$F$3:$F$74)*INDEX($Q$20:$Q$86,MATCH(B83,$N$20:$N$86,0))),""))=0,"",IF(B83="MDZ140R","",IFERROR((SUMIF($B$3:$B$74,"MDZ140R",$F$3:$F$74)*INDEX($Q$20:$Q$86,MATCH(B83,$N$20:$N$86,0))),"")))</f>
        <v/>
      </c>
      <c r="F83" s="42" t="str">
        <f t="shared" si="0"/>
        <v/>
      </c>
      <c r="H83" s="189" t="s">
        <v>73</v>
      </c>
      <c r="I83" s="213" t="str">
        <f>IFERROR(VLOOKUP(H83,$B$3:$F$69,5,FALSE),"")</f>
        <v/>
      </c>
      <c r="J83" s="191">
        <f>SUM(I83:I97)</f>
        <v>2.3209499999999998</v>
      </c>
      <c r="L83" s="56"/>
      <c r="M83" s="56"/>
      <c r="N83" s="56"/>
      <c r="O83" s="56"/>
      <c r="P83" s="125"/>
      <c r="Q83" s="126"/>
      <c r="R83" s="56"/>
    </row>
    <row r="84" spans="2:18" s="1" customFormat="1" x14ac:dyDescent="0.3">
      <c r="B84" s="40"/>
      <c r="C84" s="41"/>
      <c r="D84" s="42"/>
      <c r="E84" s="24" t="str">
        <f>IF(IF(B84="MDZ140R","",IFERROR((SUMIF($B$3:$B$74,"MDZ140R",$F$3:$F$74)*INDEX($Q$20:$Q$86,MATCH(B84,$N$20:$N$86,0))),""))=0,"",IF(B84="MDZ140R","",IFERROR((SUMIF($B$3:$B$74,"MDZ140R",$F$3:$F$74)*INDEX($Q$20:$Q$86,MATCH(B84,$N$20:$N$86,0))),"")))</f>
        <v/>
      </c>
      <c r="F84" s="42" t="str">
        <f t="shared" si="0"/>
        <v/>
      </c>
      <c r="H84" s="196" t="s">
        <v>44</v>
      </c>
      <c r="I84" s="211">
        <v>9.035E-2</v>
      </c>
      <c r="J84" s="201"/>
      <c r="K84" s="1">
        <v>0.1807</v>
      </c>
      <c r="L84" s="56"/>
      <c r="M84" s="56"/>
      <c r="N84" s="56"/>
      <c r="O84" s="56"/>
      <c r="P84" s="125"/>
      <c r="Q84" s="126"/>
      <c r="R84" s="56"/>
    </row>
    <row r="85" spans="2:18" s="1" customFormat="1" x14ac:dyDescent="0.3">
      <c r="B85" s="40"/>
      <c r="C85" s="41"/>
      <c r="D85" s="42"/>
      <c r="E85" s="24" t="str">
        <f>IF(IF(B85="MDZ140R","",IFERROR((SUMIF($B$3:$B$74,"MDZ140R",$F$3:$F$74)*INDEX($Q$20:$Q$86,MATCH(B85,$N$20:$N$86,0))),""))=0,"",IF(B85="MDZ140R","",IFERROR((SUMIF($B$3:$B$74,"MDZ140R",$F$3:$F$74)*INDEX($Q$20:$Q$86,MATCH(B85,$N$20:$N$86,0))),"")))</f>
        <v/>
      </c>
      <c r="F85" s="42" t="str">
        <f t="shared" si="0"/>
        <v/>
      </c>
      <c r="H85" s="196" t="s">
        <v>38</v>
      </c>
      <c r="I85" s="211">
        <v>0.42709999999999998</v>
      </c>
      <c r="J85" s="201"/>
      <c r="K85" s="1">
        <v>0.85419999999999996</v>
      </c>
      <c r="L85" s="56"/>
      <c r="M85" s="56"/>
      <c r="N85" s="56"/>
      <c r="O85" s="56"/>
      <c r="P85" s="125"/>
      <c r="Q85" s="126"/>
      <c r="R85" s="56"/>
    </row>
    <row r="86" spans="2:18" s="1" customFormat="1" x14ac:dyDescent="0.3">
      <c r="B86" s="40"/>
      <c r="C86" s="41"/>
      <c r="D86" s="42"/>
      <c r="E86" s="24" t="str">
        <f>IF(IF(B86="MDZ140R","",IFERROR((SUMIF($B$3:$B$74,"MDZ140R",$F$3:$F$74)*INDEX($Q$20:$Q$86,MATCH(B86,$N$20:$N$86,0))),""))=0,"",IF(B86="MDZ140R","",IFERROR((SUMIF($B$3:$B$74,"MDZ140R",$F$3:$F$74)*INDEX($Q$20:$Q$86,MATCH(B86,$N$20:$N$86,0))),"")))</f>
        <v/>
      </c>
      <c r="F86" s="42" t="str">
        <f t="shared" si="0"/>
        <v/>
      </c>
      <c r="H86" s="196" t="s">
        <v>9</v>
      </c>
      <c r="I86" s="213">
        <f>IFERROR(VLOOKUP(H86,$B$3:$F$69,5,FALSE),"")</f>
        <v>0.20330000000000001</v>
      </c>
      <c r="J86" s="201"/>
      <c r="L86" s="56"/>
      <c r="M86" s="56"/>
      <c r="N86" s="56"/>
      <c r="O86" s="56"/>
      <c r="P86" s="125"/>
      <c r="Q86" s="126"/>
      <c r="R86" s="56"/>
    </row>
    <row r="87" spans="2:18" s="1" customFormat="1" x14ac:dyDescent="0.3">
      <c r="H87" s="196" t="s">
        <v>119</v>
      </c>
      <c r="I87" s="213">
        <f>IFERROR(VLOOKUP(H87,$B$3:$F$69,5,FALSE),"")</f>
        <v>0.46700000000000003</v>
      </c>
      <c r="J87" s="201"/>
      <c r="L87" s="56"/>
      <c r="M87" s="56"/>
      <c r="N87" s="56"/>
      <c r="O87" s="59" t="s">
        <v>3</v>
      </c>
      <c r="P87" s="131">
        <f>SUM(P20:P40)</f>
        <v>182</v>
      </c>
      <c r="Q87" s="131">
        <f>SUM(Q20:Q40)</f>
        <v>0.994533</v>
      </c>
      <c r="R87" s="59">
        <v>0</v>
      </c>
    </row>
    <row r="88" spans="2:18" x14ac:dyDescent="0.3">
      <c r="H88" s="196" t="s">
        <v>133</v>
      </c>
      <c r="I88" s="213">
        <f>IFERROR(VLOOKUP(H88,$B$3:$F$69,5,FALSE),"")</f>
        <v>0.64649999999999996</v>
      </c>
      <c r="J88" s="201"/>
    </row>
    <row r="89" spans="2:18" x14ac:dyDescent="0.3">
      <c r="H89" s="196" t="s">
        <v>147</v>
      </c>
      <c r="I89" s="213" t="str">
        <f>IFERROR(VLOOKUP(H89,$B$3:$F$69,5,FALSE),"")</f>
        <v/>
      </c>
      <c r="J89" s="201"/>
    </row>
    <row r="90" spans="2:18" x14ac:dyDescent="0.3">
      <c r="H90" s="196" t="s">
        <v>148</v>
      </c>
      <c r="I90" s="213" t="str">
        <f>IFERROR(VLOOKUP(H90,$B$3:$F$69,5,FALSE),"")</f>
        <v/>
      </c>
      <c r="J90" s="201"/>
    </row>
    <row r="91" spans="2:18" x14ac:dyDescent="0.3">
      <c r="H91" s="196" t="s">
        <v>11</v>
      </c>
      <c r="I91" s="213">
        <f>IFERROR(VLOOKUP(H91,$B$3:$F$69,5,FALSE),"")</f>
        <v>0.1191</v>
      </c>
      <c r="J91" s="201"/>
      <c r="L91" s="87">
        <f xml:space="preserve"> 0.179056 * 0.2</f>
        <v>3.5811200000000001E-2</v>
      </c>
    </row>
    <row r="92" spans="2:18" x14ac:dyDescent="0.3">
      <c r="H92" s="196" t="s">
        <v>149</v>
      </c>
      <c r="I92" s="213" t="str">
        <f>IFERROR(VLOOKUP(H92,$B$3:$F$69,5,FALSE),"")</f>
        <v/>
      </c>
      <c r="J92" s="201"/>
    </row>
    <row r="93" spans="2:18" x14ac:dyDescent="0.3">
      <c r="H93" s="196" t="s">
        <v>121</v>
      </c>
      <c r="I93" s="213">
        <f>IFERROR(VLOOKUP(H93,$B$3:$F$69,5,FALSE),"")</f>
        <v>0.36759999999999998</v>
      </c>
      <c r="J93" s="201"/>
    </row>
    <row r="94" spans="2:18" x14ac:dyDescent="0.3">
      <c r="H94" s="196" t="s">
        <v>150</v>
      </c>
      <c r="I94" s="213" t="str">
        <f>IFERROR(VLOOKUP(H94,$B$3:$F$69,5,FALSE),"")</f>
        <v/>
      </c>
      <c r="J94" s="191"/>
    </row>
    <row r="95" spans="2:18" x14ac:dyDescent="0.3">
      <c r="H95" s="196"/>
      <c r="I95" s="213" t="str">
        <f>IFERROR(VLOOKUP(H95,$B$3:$F$69,5,FALSE),"")</f>
        <v/>
      </c>
      <c r="J95" s="201"/>
    </row>
    <row r="96" spans="2:18" x14ac:dyDescent="0.3">
      <c r="H96" s="196"/>
      <c r="I96" s="213" t="str">
        <f>IFERROR(VLOOKUP(H96,$B$3:$F$69,5,FALSE),"")</f>
        <v/>
      </c>
      <c r="J96" s="201"/>
    </row>
    <row r="97" spans="8:10" x14ac:dyDescent="0.3">
      <c r="H97" s="196"/>
      <c r="I97" s="213" t="str">
        <f>IFERROR(VLOOKUP(H97,$B$3:$F$69,5,FALSE),"")</f>
        <v/>
      </c>
      <c r="J97" s="201"/>
    </row>
    <row r="98" spans="8:10" x14ac:dyDescent="0.3">
      <c r="H98" s="200" t="s">
        <v>74</v>
      </c>
      <c r="I98" s="213" t="str">
        <f>IFERROR(VLOOKUP(H98,$B$3:$F$69,5,FALSE),"")</f>
        <v/>
      </c>
      <c r="J98" s="201">
        <f>SUM(I98:I107)</f>
        <v>0.51744999999999997</v>
      </c>
    </row>
    <row r="99" spans="8:10" s="175" customFormat="1" x14ac:dyDescent="0.3">
      <c r="H99" s="176" t="s">
        <v>429</v>
      </c>
      <c r="I99" s="214">
        <v>0.42709999999999998</v>
      </c>
      <c r="J99" s="177"/>
    </row>
    <row r="100" spans="8:10" s="175" customFormat="1" x14ac:dyDescent="0.3">
      <c r="H100" s="176" t="s">
        <v>461</v>
      </c>
      <c r="I100" s="214">
        <v>9.035E-2</v>
      </c>
      <c r="J100" s="177"/>
    </row>
    <row r="101" spans="8:10" x14ac:dyDescent="0.3">
      <c r="H101" s="176"/>
      <c r="I101" s="213" t="str">
        <f>IFERROR(VLOOKUP(H101,$B$3:$F$69,5,FALSE),"")</f>
        <v/>
      </c>
      <c r="J101" s="177"/>
    </row>
    <row r="102" spans="8:10" x14ac:dyDescent="0.3">
      <c r="H102" s="176"/>
      <c r="I102" s="213" t="str">
        <f>IFERROR(VLOOKUP(H102,$B$3:$F$69,5,FALSE),"")</f>
        <v/>
      </c>
      <c r="J102" s="177"/>
    </row>
    <row r="103" spans="8:10" s="175" customFormat="1" x14ac:dyDescent="0.3">
      <c r="H103" s="176"/>
      <c r="I103" s="213" t="str">
        <f>IFERROR(VLOOKUP(H103,$B$3:$F$69,5,FALSE),"")</f>
        <v/>
      </c>
      <c r="J103" s="177"/>
    </row>
    <row r="104" spans="8:10" s="175" customFormat="1" x14ac:dyDescent="0.3">
      <c r="H104" s="176"/>
      <c r="I104" s="213" t="str">
        <f>IFERROR(VLOOKUP(H104,$B$3:$F$69,5,FALSE),"")</f>
        <v/>
      </c>
      <c r="J104" s="177"/>
    </row>
    <row r="105" spans="8:10" s="175" customFormat="1" x14ac:dyDescent="0.3">
      <c r="H105" s="196"/>
      <c r="I105" s="213" t="str">
        <f>IFERROR(VLOOKUP(H105,$B$3:$F$69,5,FALSE),"")</f>
        <v/>
      </c>
      <c r="J105" s="208"/>
    </row>
    <row r="106" spans="8:10" x14ac:dyDescent="0.3">
      <c r="H106" s="196"/>
      <c r="I106" s="213" t="str">
        <f>IFERROR(VLOOKUP(H106,$B$3:$F$69,5,FALSE),"")</f>
        <v/>
      </c>
      <c r="J106" s="201"/>
    </row>
    <row r="107" spans="8:10" s="175" customFormat="1" x14ac:dyDescent="0.3">
      <c r="H107" s="196"/>
      <c r="I107" s="213" t="str">
        <f>IFERROR(VLOOKUP(H107,$B$3:$F$69,5,FALSE),"")</f>
        <v/>
      </c>
      <c r="J107" s="201"/>
    </row>
    <row r="108" spans="8:10" x14ac:dyDescent="0.3">
      <c r="H108" s="200" t="s">
        <v>75</v>
      </c>
      <c r="I108" s="213" t="str">
        <f>IFERROR(VLOOKUP(H108,$B$3:$F$69,5,FALSE),"")</f>
        <v/>
      </c>
      <c r="J108" s="201">
        <f>SUM(I108:I114)</f>
        <v>0.93120000000000003</v>
      </c>
    </row>
    <row r="109" spans="8:10" x14ac:dyDescent="0.3">
      <c r="H109" s="196" t="s">
        <v>215</v>
      </c>
      <c r="I109" s="213" t="str">
        <f>IFERROR(VLOOKUP(H109,$B$3:$F$69,5,FALSE),"")</f>
        <v/>
      </c>
      <c r="J109" s="201"/>
    </row>
    <row r="110" spans="8:10" s="175" customFormat="1" x14ac:dyDescent="0.3">
      <c r="H110" s="196" t="s">
        <v>151</v>
      </c>
      <c r="I110" s="213" t="str">
        <f>IFERROR(VLOOKUP(H110,$B$3:$F$69,5,FALSE),"")</f>
        <v/>
      </c>
      <c r="J110" s="201"/>
    </row>
    <row r="111" spans="8:10" x14ac:dyDescent="0.3">
      <c r="H111" s="196" t="s">
        <v>14</v>
      </c>
      <c r="I111" s="211">
        <v>0.93120000000000003</v>
      </c>
      <c r="J111" s="201"/>
    </row>
    <row r="112" spans="8:10" x14ac:dyDescent="0.3">
      <c r="H112" s="196" t="s">
        <v>152</v>
      </c>
      <c r="I112" s="213" t="str">
        <f>IFERROR(VLOOKUP(H112,$B$3:$F$69,5,FALSE),"")</f>
        <v/>
      </c>
      <c r="J112" s="201"/>
    </row>
    <row r="113" spans="8:10" x14ac:dyDescent="0.3">
      <c r="H113" s="196" t="s">
        <v>211</v>
      </c>
      <c r="I113" s="213" t="str">
        <f>IFERROR(VLOOKUP(H113,$B$3:$F$69,5,FALSE),"")</f>
        <v/>
      </c>
      <c r="J113" s="201"/>
    </row>
    <row r="114" spans="8:10" x14ac:dyDescent="0.3">
      <c r="H114" s="196" t="s">
        <v>212</v>
      </c>
      <c r="I114" s="213" t="str">
        <f>IFERROR(VLOOKUP(H114,$B$3:$F$69,5,FALSE),"")</f>
        <v/>
      </c>
      <c r="J114" s="201"/>
    </row>
    <row r="115" spans="8:10" x14ac:dyDescent="0.3">
      <c r="H115" s="200" t="s">
        <v>76</v>
      </c>
      <c r="I115" s="213" t="str">
        <f>IFERROR(VLOOKUP(H115,$B$3:$F$69,5,FALSE),"")</f>
        <v/>
      </c>
      <c r="J115" s="201">
        <f>SUM(I115:I119)</f>
        <v>0</v>
      </c>
    </row>
    <row r="116" spans="8:10" x14ac:dyDescent="0.3">
      <c r="H116" s="196"/>
      <c r="I116" s="213" t="str">
        <f>IFERROR(VLOOKUP(H116,$B$3:$F$69,5,FALSE),"")</f>
        <v/>
      </c>
      <c r="J116" s="208"/>
    </row>
    <row r="117" spans="8:10" x14ac:dyDescent="0.3">
      <c r="H117" s="196"/>
      <c r="I117" s="213" t="str">
        <f>IFERROR(VLOOKUP(H117,$B$3:$F$69,5,FALSE),"")</f>
        <v/>
      </c>
      <c r="J117" s="201"/>
    </row>
    <row r="118" spans="8:10" x14ac:dyDescent="0.3">
      <c r="H118" s="196"/>
      <c r="I118" s="213" t="str">
        <f>IFERROR(VLOOKUP(H118,$B$3:$F$69,5,FALSE),"")</f>
        <v/>
      </c>
      <c r="J118" s="201"/>
    </row>
    <row r="119" spans="8:10" x14ac:dyDescent="0.3">
      <c r="H119" s="196"/>
      <c r="I119" s="213" t="str">
        <f>IFERROR(VLOOKUP(H119,$B$3:$F$69,5,FALSE),"")</f>
        <v/>
      </c>
      <c r="J119" s="201"/>
    </row>
    <row r="120" spans="8:10" x14ac:dyDescent="0.3">
      <c r="H120" s="200" t="s">
        <v>78</v>
      </c>
      <c r="I120" s="213" t="str">
        <f>IFERROR(VLOOKUP(H120,$B$3:$F$69,5,FALSE),"")</f>
        <v/>
      </c>
      <c r="J120" s="201">
        <f>SUM(I120:I126)</f>
        <v>0</v>
      </c>
    </row>
    <row r="121" spans="8:10" s="175" customFormat="1" x14ac:dyDescent="0.3">
      <c r="H121" s="176"/>
      <c r="I121" s="213" t="str">
        <f>IFERROR(VLOOKUP(H121,$B$3:$F$69,5,FALSE),"")</f>
        <v/>
      </c>
      <c r="J121" s="177"/>
    </row>
    <row r="122" spans="8:10" x14ac:dyDescent="0.3">
      <c r="H122" s="196"/>
      <c r="I122" s="213" t="str">
        <f>IFERROR(VLOOKUP(H122,$B$3:$F$69,5,FALSE),"")</f>
        <v/>
      </c>
      <c r="J122" s="208"/>
    </row>
    <row r="123" spans="8:10" x14ac:dyDescent="0.3">
      <c r="H123" s="196"/>
      <c r="I123" s="213" t="str">
        <f>IFERROR(VLOOKUP(H123,$B$3:$F$69,5,FALSE),"")</f>
        <v/>
      </c>
      <c r="J123" s="208"/>
    </row>
    <row r="124" spans="8:10" s="175" customFormat="1" x14ac:dyDescent="0.3">
      <c r="H124" s="196"/>
      <c r="I124" s="213" t="str">
        <f>IFERROR(VLOOKUP(H124,$B$3:$F$69,5,FALSE),"")</f>
        <v/>
      </c>
      <c r="J124" s="208"/>
    </row>
    <row r="125" spans="8:10" x14ac:dyDescent="0.3">
      <c r="H125" s="196"/>
      <c r="I125" s="213" t="str">
        <f>IFERROR(VLOOKUP(H125,$B$3:$F$69,5,FALSE),"")</f>
        <v/>
      </c>
      <c r="J125" s="201"/>
    </row>
    <row r="126" spans="8:10" x14ac:dyDescent="0.3">
      <c r="H126" s="196"/>
      <c r="I126" s="213" t="str">
        <f>IFERROR(VLOOKUP(H126,$B$3:$F$69,5,FALSE),"")</f>
        <v/>
      </c>
      <c r="J126" s="201"/>
    </row>
    <row r="127" spans="8:10" x14ac:dyDescent="0.3">
      <c r="H127" s="200" t="s">
        <v>77</v>
      </c>
      <c r="I127" s="213" t="str">
        <f>IFERROR(VLOOKUP(H127,$B$3:$F$69,5,FALSE),"")</f>
        <v/>
      </c>
      <c r="J127" s="201">
        <f>SUM(I127:I175)</f>
        <v>14.157099999999998</v>
      </c>
    </row>
    <row r="128" spans="8:10" s="175" customFormat="1" x14ac:dyDescent="0.3">
      <c r="H128" s="196" t="s">
        <v>60</v>
      </c>
      <c r="I128" s="213">
        <f>IFERROR(VLOOKUP(H128,$B$3:$F$69,5,FALSE),"")</f>
        <v>0.57220000000000004</v>
      </c>
      <c r="J128" s="201"/>
    </row>
    <row r="129" spans="8:10" x14ac:dyDescent="0.3">
      <c r="H129" s="196" t="s">
        <v>153</v>
      </c>
      <c r="I129" s="213" t="str">
        <f>IFERROR(VLOOKUP(H129,$B$3:$F$69,5,FALSE),"")</f>
        <v/>
      </c>
      <c r="J129" s="201"/>
    </row>
    <row r="130" spans="8:10" x14ac:dyDescent="0.3">
      <c r="H130" s="196" t="s">
        <v>154</v>
      </c>
      <c r="I130" s="213" t="str">
        <f>IFERROR(VLOOKUP(H130,$B$3:$F$69,5,FALSE),"")</f>
        <v/>
      </c>
      <c r="J130" s="201"/>
    </row>
    <row r="131" spans="8:10" x14ac:dyDescent="0.3">
      <c r="H131" s="196" t="s">
        <v>114</v>
      </c>
      <c r="I131" s="213">
        <f>IFERROR(VLOOKUP(H131,$B$3:$F$69,5,FALSE),"")</f>
        <v>0.80359999999999998</v>
      </c>
      <c r="J131" s="201"/>
    </row>
    <row r="132" spans="8:10" x14ac:dyDescent="0.3">
      <c r="H132" s="196" t="s">
        <v>116</v>
      </c>
      <c r="I132" s="213">
        <f>IFERROR(VLOOKUP(H132,$B$3:$F$69,5,FALSE),"")</f>
        <v>0.89659999999999995</v>
      </c>
      <c r="J132" s="200"/>
    </row>
    <row r="133" spans="8:10" x14ac:dyDescent="0.3">
      <c r="H133" s="196" t="s">
        <v>62</v>
      </c>
      <c r="I133" s="213">
        <f>IFERROR(VLOOKUP(H133,$B$3:$F$69,5,FALSE),"")</f>
        <v>0.29099999999999998</v>
      </c>
      <c r="J133" s="200"/>
    </row>
    <row r="134" spans="8:10" x14ac:dyDescent="0.3">
      <c r="H134" s="196" t="s">
        <v>48</v>
      </c>
      <c r="I134" s="213">
        <f>IFERROR(VLOOKUP(H134,$B$3:$F$69,5,FALSE),"")</f>
        <v>7.1800000000000003E-2</v>
      </c>
      <c r="J134" s="200"/>
    </row>
    <row r="135" spans="8:10" x14ac:dyDescent="0.3">
      <c r="H135" s="196" t="s">
        <v>63</v>
      </c>
      <c r="I135" s="213">
        <f>IFERROR(VLOOKUP(H135,$B$3:$F$69,5,FALSE),"")</f>
        <v>9.3600000000000003E-2</v>
      </c>
      <c r="J135" s="200"/>
    </row>
    <row r="136" spans="8:10" x14ac:dyDescent="0.3">
      <c r="H136" s="196" t="s">
        <v>131</v>
      </c>
      <c r="I136" s="213">
        <f>IFERROR(VLOOKUP(H136,$B$3:$F$69,5,FALSE),"")</f>
        <v>0.98089999999999999</v>
      </c>
      <c r="J136" s="200"/>
    </row>
    <row r="137" spans="8:10" x14ac:dyDescent="0.3">
      <c r="H137" s="196" t="s">
        <v>155</v>
      </c>
      <c r="I137" s="213" t="str">
        <f>IFERROR(VLOOKUP(H137,$B$3:$F$69,5,FALSE),"")</f>
        <v/>
      </c>
      <c r="J137" s="200"/>
    </row>
    <row r="138" spans="8:10" x14ac:dyDescent="0.3">
      <c r="H138" s="196" t="s">
        <v>156</v>
      </c>
      <c r="I138" s="213" t="str">
        <f>IFERROR(VLOOKUP(H138,$B$3:$F$69,5,FALSE),"")</f>
        <v/>
      </c>
      <c r="J138" s="200"/>
    </row>
    <row r="139" spans="8:10" x14ac:dyDescent="0.3">
      <c r="H139" s="196" t="s">
        <v>64</v>
      </c>
      <c r="I139" s="213">
        <f>IFERROR(VLOOKUP(H139,$B$3:$F$69,5,FALSE),"")</f>
        <v>0.77470000000000006</v>
      </c>
      <c r="J139" s="200"/>
    </row>
    <row r="140" spans="8:10" x14ac:dyDescent="0.3">
      <c r="H140" s="196" t="s">
        <v>24</v>
      </c>
      <c r="I140" s="213">
        <f>IFERROR(VLOOKUP(H140,$B$3:$F$69,5,FALSE),"")</f>
        <v>0.41470000000000001</v>
      </c>
      <c r="J140" s="200"/>
    </row>
    <row r="141" spans="8:10" x14ac:dyDescent="0.3">
      <c r="H141" s="196" t="s">
        <v>34</v>
      </c>
      <c r="I141" s="213">
        <f>IFERROR(VLOOKUP(H141,$B$3:$F$69,5,FALSE),"")</f>
        <v>0.52310000000000001</v>
      </c>
      <c r="J141" s="200"/>
    </row>
    <row r="142" spans="8:10" x14ac:dyDescent="0.3">
      <c r="H142" s="196" t="s">
        <v>157</v>
      </c>
      <c r="I142" s="213" t="str">
        <f>IFERROR(VLOOKUP(H142,$B$3:$F$69,5,FALSE),"")</f>
        <v/>
      </c>
      <c r="J142" s="200"/>
    </row>
    <row r="143" spans="8:10" x14ac:dyDescent="0.3">
      <c r="H143" s="196" t="s">
        <v>158</v>
      </c>
      <c r="I143" s="213" t="str">
        <f>IFERROR(VLOOKUP(H143,$B$3:$F$69,5,FALSE),"")</f>
        <v/>
      </c>
      <c r="J143" s="200"/>
    </row>
    <row r="144" spans="8:10" x14ac:dyDescent="0.3">
      <c r="H144" s="196" t="s">
        <v>159</v>
      </c>
      <c r="I144" s="213" t="str">
        <f>IFERROR(VLOOKUP(H144,$B$3:$F$69,5,FALSE),"")</f>
        <v/>
      </c>
      <c r="J144" s="200"/>
    </row>
    <row r="145" spans="8:10" x14ac:dyDescent="0.3">
      <c r="H145" s="196" t="s">
        <v>160</v>
      </c>
      <c r="I145" s="213" t="str">
        <f>IFERROR(VLOOKUP(H145,$B$3:$F$69,5,FALSE),"")</f>
        <v/>
      </c>
      <c r="J145" s="200"/>
    </row>
    <row r="146" spans="8:10" x14ac:dyDescent="0.3">
      <c r="H146" s="196" t="s">
        <v>50</v>
      </c>
      <c r="I146" s="213">
        <f>IFERROR(VLOOKUP(H146,$B$3:$F$69,5,FALSE),"")</f>
        <v>4.8500000000000001E-2</v>
      </c>
      <c r="J146" s="200"/>
    </row>
    <row r="147" spans="8:10" x14ac:dyDescent="0.3">
      <c r="H147" s="196" t="s">
        <v>161</v>
      </c>
      <c r="I147" s="213" t="str">
        <f>IFERROR(VLOOKUP(H147,$B$3:$F$69,5,FALSE),"")</f>
        <v/>
      </c>
      <c r="J147" s="200"/>
    </row>
    <row r="148" spans="8:10" x14ac:dyDescent="0.3">
      <c r="H148" s="196" t="s">
        <v>162</v>
      </c>
      <c r="I148" s="213" t="str">
        <f>IFERROR(VLOOKUP(H148,$B$3:$F$69,5,FALSE),"")</f>
        <v/>
      </c>
      <c r="J148" s="200"/>
    </row>
    <row r="149" spans="8:10" x14ac:dyDescent="0.3">
      <c r="H149" s="196" t="s">
        <v>7</v>
      </c>
      <c r="I149" s="213">
        <f>IFERROR(VLOOKUP(H149,$B$3:$F$69,5,FALSE),"")</f>
        <v>7.2099999999999997E-2</v>
      </c>
      <c r="J149" s="200"/>
    </row>
    <row r="150" spans="8:10" x14ac:dyDescent="0.3">
      <c r="H150" s="196" t="s">
        <v>27</v>
      </c>
      <c r="I150" s="213">
        <f>IFERROR(VLOOKUP(H150,$B$3:$F$69,5,FALSE),"")</f>
        <v>0.3967</v>
      </c>
      <c r="J150" s="200"/>
    </row>
    <row r="151" spans="8:10" x14ac:dyDescent="0.3">
      <c r="H151" s="196" t="s">
        <v>163</v>
      </c>
      <c r="I151" s="213" t="str">
        <f>IFERROR(VLOOKUP(H151,$B$3:$F$69,5,FALSE),"")</f>
        <v/>
      </c>
      <c r="J151" s="200"/>
    </row>
    <row r="152" spans="8:10" x14ac:dyDescent="0.3">
      <c r="H152" s="196" t="s">
        <v>164</v>
      </c>
      <c r="I152" s="213" t="str">
        <f>IFERROR(VLOOKUP(H152,$B$3:$F$69,5,FALSE),"")</f>
        <v/>
      </c>
      <c r="J152" s="200"/>
    </row>
    <row r="153" spans="8:10" x14ac:dyDescent="0.3">
      <c r="H153" s="196" t="s">
        <v>165</v>
      </c>
      <c r="I153" s="213" t="str">
        <f>IFERROR(VLOOKUP(H153,$B$3:$F$69,5,FALSE),"")</f>
        <v/>
      </c>
      <c r="J153" s="200"/>
    </row>
    <row r="154" spans="8:10" x14ac:dyDescent="0.3">
      <c r="H154" s="196" t="s">
        <v>166</v>
      </c>
      <c r="I154" s="213" t="str">
        <f>IFERROR(VLOOKUP(H154,$B$3:$F$69,5,FALSE),"")</f>
        <v/>
      </c>
      <c r="J154" s="200"/>
    </row>
    <row r="155" spans="8:10" x14ac:dyDescent="0.3">
      <c r="H155" s="196" t="s">
        <v>135</v>
      </c>
      <c r="I155" s="213">
        <f>IFERROR(VLOOKUP(H155,$B$3:$F$69,5,FALSE),"")</f>
        <v>0.90029999999999999</v>
      </c>
      <c r="J155" s="200"/>
    </row>
    <row r="156" spans="8:10" x14ac:dyDescent="0.3">
      <c r="H156" s="196" t="s">
        <v>123</v>
      </c>
      <c r="I156" s="213">
        <f>IFERROR(VLOOKUP(H156,$B$3:$F$69,5,FALSE),"")</f>
        <v>0.37890000000000001</v>
      </c>
      <c r="J156" s="200"/>
    </row>
    <row r="157" spans="8:10" x14ac:dyDescent="0.3">
      <c r="H157" s="196" t="s">
        <v>125</v>
      </c>
      <c r="I157" s="213">
        <f>IFERROR(VLOOKUP(H157,$B$3:$F$69,5,FALSE),"")</f>
        <v>0.90859999999999996</v>
      </c>
      <c r="J157" s="200"/>
    </row>
    <row r="158" spans="8:10" x14ac:dyDescent="0.3">
      <c r="H158" s="196" t="s">
        <v>167</v>
      </c>
      <c r="I158" s="213" t="str">
        <f>IFERROR(VLOOKUP(H158,$B$3:$F$69,5,FALSE),"")</f>
        <v/>
      </c>
      <c r="J158" s="200"/>
    </row>
    <row r="159" spans="8:10" x14ac:dyDescent="0.3">
      <c r="H159" s="196" t="s">
        <v>65</v>
      </c>
      <c r="I159" s="213">
        <f>IFERROR(VLOOKUP(H159,$B$3:$F$69,5,FALSE),"")</f>
        <v>0.7137</v>
      </c>
      <c r="J159" s="200"/>
    </row>
    <row r="160" spans="8:10" x14ac:dyDescent="0.3">
      <c r="H160" s="196" t="s">
        <v>41</v>
      </c>
      <c r="I160" s="213">
        <f>IFERROR(VLOOKUP(H160,$B$3:$F$69,5,FALSE),"")</f>
        <v>0.84079999999999999</v>
      </c>
      <c r="J160" s="200"/>
    </row>
    <row r="161" spans="8:10" x14ac:dyDescent="0.3">
      <c r="H161" s="196" t="s">
        <v>42</v>
      </c>
      <c r="I161" s="213">
        <f>IFERROR(VLOOKUP(H161,$B$3:$F$69,5,FALSE),"")</f>
        <v>0.77139999999999997</v>
      </c>
      <c r="J161" s="200"/>
    </row>
    <row r="162" spans="8:10" x14ac:dyDescent="0.3">
      <c r="H162" s="196" t="s">
        <v>29</v>
      </c>
      <c r="I162" s="213">
        <f>IFERROR(VLOOKUP(H162,$B$3:$F$69,5,FALSE),"")</f>
        <v>0.82340000000000002</v>
      </c>
      <c r="J162" s="200"/>
    </row>
    <row r="163" spans="8:10" x14ac:dyDescent="0.3">
      <c r="H163" s="196" t="s">
        <v>16</v>
      </c>
      <c r="I163" s="213">
        <f>IFERROR(VLOOKUP(H163,$B$3:$F$69,5,FALSE),"")</f>
        <v>0.68889999999999996</v>
      </c>
      <c r="J163" s="200"/>
    </row>
    <row r="164" spans="8:10" x14ac:dyDescent="0.3">
      <c r="H164" s="196" t="s">
        <v>168</v>
      </c>
      <c r="I164" s="213" t="str">
        <f>IFERROR(VLOOKUP(H164,$B$3:$F$69,5,FALSE),"")</f>
        <v/>
      </c>
      <c r="J164" s="200"/>
    </row>
    <row r="165" spans="8:10" x14ac:dyDescent="0.3">
      <c r="H165" s="196" t="s">
        <v>18</v>
      </c>
      <c r="I165" s="213">
        <f>IFERROR(VLOOKUP(H165,$B$3:$F$69,5,FALSE),"")</f>
        <v>0.43140000000000001</v>
      </c>
      <c r="J165" s="200"/>
    </row>
    <row r="166" spans="8:10" x14ac:dyDescent="0.3">
      <c r="H166" s="196" t="s">
        <v>45</v>
      </c>
      <c r="I166" s="213">
        <f>IFERROR(VLOOKUP(H166,$B$3:$F$69,5,FALSE),"")</f>
        <v>0.80269999999999997</v>
      </c>
      <c r="J166" s="200"/>
    </row>
    <row r="167" spans="8:10" x14ac:dyDescent="0.3">
      <c r="H167" s="196" t="s">
        <v>53</v>
      </c>
      <c r="I167" s="213" t="str">
        <f>IFERROR(VLOOKUP(H167,$B$3:$F$69,5,FALSE),"")</f>
        <v/>
      </c>
      <c r="J167" s="200"/>
    </row>
    <row r="168" spans="8:10" x14ac:dyDescent="0.3">
      <c r="H168" s="196" t="s">
        <v>187</v>
      </c>
      <c r="I168" s="213" t="str">
        <f>IFERROR(VLOOKUP(H168,$B$3:$F$69,5,FALSE),"")</f>
        <v/>
      </c>
      <c r="J168" s="200"/>
    </row>
    <row r="169" spans="8:10" x14ac:dyDescent="0.3">
      <c r="H169" s="196" t="s">
        <v>52</v>
      </c>
      <c r="I169" s="213">
        <f>IFERROR(VLOOKUP(H169,$B$3:$F$69,5,FALSE),"")</f>
        <v>0.34699999999999998</v>
      </c>
      <c r="J169" s="200"/>
    </row>
    <row r="170" spans="8:10" x14ac:dyDescent="0.3">
      <c r="H170" s="196" t="s">
        <v>55</v>
      </c>
      <c r="I170" s="213">
        <f>IFERROR(VLOOKUP(H170,$B$3:$F$69,5,FALSE),"")</f>
        <v>0.61050000000000004</v>
      </c>
      <c r="J170" s="200"/>
    </row>
    <row r="171" spans="8:10" x14ac:dyDescent="0.3">
      <c r="H171" s="196" t="s">
        <v>169</v>
      </c>
      <c r="I171" s="213" t="str">
        <f>IFERROR(VLOOKUP(H171,$B$3:$F$69,5,FALSE),"")</f>
        <v/>
      </c>
      <c r="J171" s="200"/>
    </row>
    <row r="172" spans="8:10" x14ac:dyDescent="0.3">
      <c r="H172" s="196" t="s">
        <v>213</v>
      </c>
      <c r="I172" s="213" t="str">
        <f>IFERROR(VLOOKUP(H172,$B$3:$F$69,5,FALSE),"")</f>
        <v/>
      </c>
      <c r="J172" s="200"/>
    </row>
    <row r="173" spans="8:10" x14ac:dyDescent="0.3">
      <c r="H173" s="196" t="s">
        <v>214</v>
      </c>
      <c r="I173" s="213" t="str">
        <f>IFERROR(VLOOKUP(H173,$B$3:$F$69,5,FALSE),"")</f>
        <v/>
      </c>
      <c r="J173" s="200"/>
    </row>
    <row r="174" spans="8:10" x14ac:dyDescent="0.3">
      <c r="H174" s="196"/>
      <c r="I174" s="213" t="str">
        <f>IFERROR(VLOOKUP(H174,$B$3:$F$69,5,FALSE),"")</f>
        <v/>
      </c>
      <c r="J174" s="200"/>
    </row>
    <row r="175" spans="8:10" x14ac:dyDescent="0.3">
      <c r="H175" s="196"/>
      <c r="I175" s="213" t="str">
        <f>IFERROR(VLOOKUP(H175,$B$3:$F$69,5,FALSE),"")</f>
        <v/>
      </c>
      <c r="J175" s="200"/>
    </row>
    <row r="176" spans="8:10" x14ac:dyDescent="0.3">
      <c r="H176" s="200" t="s">
        <v>79</v>
      </c>
      <c r="I176" s="213" t="str">
        <f>IFERROR(VLOOKUP(H176,$B$3:$F$69,5,FALSE),"")</f>
        <v/>
      </c>
      <c r="J176" s="209">
        <f>SUM(I176:I205)</f>
        <v>2.0034999999999998</v>
      </c>
    </row>
    <row r="177" spans="8:12" x14ac:dyDescent="0.3">
      <c r="H177" s="196" t="s">
        <v>170</v>
      </c>
      <c r="I177" s="213" t="str">
        <f>IFERROR(VLOOKUP(H177,$B$3:$F$69,5,FALSE),"")</f>
        <v/>
      </c>
      <c r="J177" s="200"/>
    </row>
    <row r="178" spans="8:12" x14ac:dyDescent="0.3">
      <c r="H178" s="196" t="s">
        <v>143</v>
      </c>
      <c r="I178" s="213" t="str">
        <f>IFERROR(VLOOKUP(H178,$B$3:$F$69,5,FALSE),"")</f>
        <v/>
      </c>
      <c r="J178" s="200"/>
    </row>
    <row r="179" spans="8:12" x14ac:dyDescent="0.3">
      <c r="H179" s="196" t="s">
        <v>171</v>
      </c>
      <c r="I179" s="213" t="str">
        <f>IFERROR(VLOOKUP(H179,$B$3:$F$69,5,FALSE),"")</f>
        <v/>
      </c>
      <c r="J179" s="200"/>
    </row>
    <row r="180" spans="8:12" x14ac:dyDescent="0.3">
      <c r="H180" s="196" t="s">
        <v>141</v>
      </c>
      <c r="I180" s="213">
        <f>IFERROR(VLOOKUP(H180,$B$3:$F$69,5,FALSE),"")</f>
        <v>0.55830000000000002</v>
      </c>
      <c r="J180" s="200"/>
    </row>
    <row r="181" spans="8:12" x14ac:dyDescent="0.3">
      <c r="H181" s="196" t="s">
        <v>172</v>
      </c>
      <c r="I181" s="213" t="str">
        <f>IFERROR(VLOOKUP(H181,$B$3:$F$69,5,FALSE),"")</f>
        <v/>
      </c>
      <c r="J181" s="200"/>
    </row>
    <row r="182" spans="8:12" x14ac:dyDescent="0.3">
      <c r="H182" s="196" t="s">
        <v>173</v>
      </c>
      <c r="I182" s="213" t="str">
        <f>IFERROR(VLOOKUP(H182,$B$3:$F$69,5,FALSE),"")</f>
        <v/>
      </c>
      <c r="J182" s="200"/>
    </row>
    <row r="183" spans="8:12" x14ac:dyDescent="0.3">
      <c r="H183" s="196" t="s">
        <v>174</v>
      </c>
      <c r="I183" s="213" t="str">
        <f>IFERROR(VLOOKUP(H183,$B$3:$F$69,5,FALSE),"")</f>
        <v/>
      </c>
      <c r="J183" s="200"/>
    </row>
    <row r="184" spans="8:12" x14ac:dyDescent="0.3">
      <c r="H184" s="196" t="s">
        <v>175</v>
      </c>
      <c r="I184" s="213" t="str">
        <f>IFERROR(VLOOKUP(H184,$B$3:$F$69,5,FALSE),"")</f>
        <v/>
      </c>
      <c r="J184" s="200"/>
    </row>
    <row r="185" spans="8:12" x14ac:dyDescent="0.3">
      <c r="H185" s="196" t="s">
        <v>176</v>
      </c>
      <c r="I185" s="213" t="str">
        <f>IFERROR(VLOOKUP(H185,$B$3:$F$69,5,FALSE),"")</f>
        <v/>
      </c>
      <c r="J185" s="200"/>
    </row>
    <row r="186" spans="8:12" x14ac:dyDescent="0.3">
      <c r="H186" s="196" t="s">
        <v>186</v>
      </c>
      <c r="I186" s="213" t="str">
        <f>IFERROR(VLOOKUP(H186,$B$3:$F$69,5,FALSE),"")</f>
        <v/>
      </c>
      <c r="J186" s="200"/>
    </row>
    <row r="187" spans="8:12" x14ac:dyDescent="0.3">
      <c r="H187" s="196" t="s">
        <v>185</v>
      </c>
      <c r="I187" s="213" t="str">
        <f>IFERROR(VLOOKUP(H187,$B$3:$F$69,5,FALSE),"")</f>
        <v/>
      </c>
      <c r="J187" s="200"/>
      <c r="L187">
        <f>0.925*0.2</f>
        <v>0.18500000000000003</v>
      </c>
    </row>
    <row r="188" spans="8:12" x14ac:dyDescent="0.3">
      <c r="H188" s="196" t="s">
        <v>137</v>
      </c>
      <c r="I188" s="213">
        <f>IFERROR(VLOOKUP(H188,$B$3:$F$69,5,FALSE),"")</f>
        <v>0.98670000000000002</v>
      </c>
      <c r="J188" s="200"/>
    </row>
    <row r="189" spans="8:12" x14ac:dyDescent="0.3">
      <c r="H189" s="196" t="s">
        <v>177</v>
      </c>
      <c r="I189" s="213" t="str">
        <f>IFERROR(VLOOKUP(H189,$B$3:$F$69,5,FALSE),"")</f>
        <v/>
      </c>
      <c r="J189" s="200"/>
    </row>
    <row r="190" spans="8:12" x14ac:dyDescent="0.3">
      <c r="H190" s="196" t="s">
        <v>178</v>
      </c>
      <c r="I190" s="213" t="str">
        <f>IFERROR(VLOOKUP(H190,$B$3:$F$69,5,FALSE),"")</f>
        <v/>
      </c>
      <c r="J190" s="200"/>
    </row>
    <row r="191" spans="8:12" x14ac:dyDescent="0.3">
      <c r="H191" s="196" t="s">
        <v>179</v>
      </c>
      <c r="I191" s="213" t="str">
        <f>IFERROR(VLOOKUP(H191,$B$3:$F$69,5,FALSE),"")</f>
        <v/>
      </c>
      <c r="J191" s="200"/>
    </row>
    <row r="192" spans="8:12" x14ac:dyDescent="0.3">
      <c r="H192" s="196" t="s">
        <v>180</v>
      </c>
      <c r="I192" s="213" t="str">
        <f>IFERROR(VLOOKUP(H192,$B$3:$F$69,5,FALSE),"")</f>
        <v/>
      </c>
      <c r="J192" s="200"/>
    </row>
    <row r="193" spans="8:10" x14ac:dyDescent="0.3">
      <c r="H193" s="196" t="s">
        <v>139</v>
      </c>
      <c r="I193" s="213">
        <f>IFERROR(VLOOKUP(H193,$B$3:$F$69,5,FALSE),"")</f>
        <v>0.45850000000000002</v>
      </c>
      <c r="J193" s="200"/>
    </row>
    <row r="194" spans="8:10" x14ac:dyDescent="0.3">
      <c r="H194" s="196" t="s">
        <v>181</v>
      </c>
      <c r="I194" s="213" t="str">
        <f>IFERROR(VLOOKUP(H194,$B$3:$F$69,5,FALSE),"")</f>
        <v/>
      </c>
      <c r="J194" s="200"/>
    </row>
    <row r="195" spans="8:10" x14ac:dyDescent="0.3">
      <c r="H195" s="196" t="s">
        <v>182</v>
      </c>
      <c r="I195" s="213" t="str">
        <f>IFERROR(VLOOKUP(H195,$B$3:$F$69,5,FALSE),"")</f>
        <v/>
      </c>
      <c r="J195" s="200"/>
    </row>
    <row r="196" spans="8:10" x14ac:dyDescent="0.3">
      <c r="H196" s="196"/>
      <c r="I196" s="213" t="str">
        <f>IFERROR(VLOOKUP(H196,$B$3:$F$69,5,FALSE),"")</f>
        <v/>
      </c>
      <c r="J196" s="200"/>
    </row>
    <row r="197" spans="8:10" x14ac:dyDescent="0.3">
      <c r="H197" s="196"/>
      <c r="I197" s="213" t="str">
        <f>IFERROR(VLOOKUP(H197,$B$3:$F$69,5,FALSE),"")</f>
        <v/>
      </c>
      <c r="J197" s="200"/>
    </row>
    <row r="198" spans="8:10" x14ac:dyDescent="0.3">
      <c r="H198" s="196"/>
      <c r="I198" s="213" t="str">
        <f>IFERROR(VLOOKUP(H198,$B$3:$F$69,5,FALSE),"")</f>
        <v/>
      </c>
      <c r="J198" s="200"/>
    </row>
    <row r="199" spans="8:10" x14ac:dyDescent="0.3">
      <c r="H199" s="196"/>
      <c r="I199" s="213" t="str">
        <f>IFERROR(VLOOKUP(H199,$B$3:$F$69,5,FALSE),"")</f>
        <v/>
      </c>
      <c r="J199" s="200"/>
    </row>
    <row r="200" spans="8:10" x14ac:dyDescent="0.3">
      <c r="H200" s="196"/>
      <c r="I200" s="213" t="str">
        <f>IFERROR(VLOOKUP(H200,$B$3:$F$69,5,FALSE),"")</f>
        <v/>
      </c>
      <c r="J200" s="200"/>
    </row>
    <row r="201" spans="8:10" x14ac:dyDescent="0.3">
      <c r="H201" s="196"/>
      <c r="I201" s="213" t="str">
        <f>IFERROR(VLOOKUP(H201,$B$3:$F$69,5,FALSE),"")</f>
        <v/>
      </c>
      <c r="J201" s="200"/>
    </row>
    <row r="202" spans="8:10" x14ac:dyDescent="0.3">
      <c r="H202" s="196"/>
      <c r="I202" s="213" t="str">
        <f>IFERROR(VLOOKUP(H202,$B$3:$F$69,5,FALSE),"")</f>
        <v/>
      </c>
      <c r="J202" s="200"/>
    </row>
    <row r="203" spans="8:10" x14ac:dyDescent="0.3">
      <c r="H203" s="196"/>
      <c r="I203" s="213" t="str">
        <f>IFERROR(VLOOKUP(H203,$B$3:$F$69,5,FALSE),"")</f>
        <v/>
      </c>
      <c r="J203" s="200"/>
    </row>
    <row r="204" spans="8:10" x14ac:dyDescent="0.3">
      <c r="H204" s="196"/>
      <c r="I204" s="213" t="str">
        <f>IFERROR(VLOOKUP(H204,$B$3:$F$69,5,FALSE),"")</f>
        <v/>
      </c>
      <c r="J204" s="200"/>
    </row>
    <row r="205" spans="8:10" x14ac:dyDescent="0.3">
      <c r="H205" s="196"/>
      <c r="I205" s="213" t="str">
        <f>IFERROR(VLOOKUP(H205,$B$3:$F$69,5,FALSE),"")</f>
        <v/>
      </c>
      <c r="J205" s="200"/>
    </row>
    <row r="206" spans="8:10" x14ac:dyDescent="0.3">
      <c r="H206" s="200" t="s">
        <v>80</v>
      </c>
      <c r="I206" s="213" t="str">
        <f>IFERROR(VLOOKUP(H206,$B$3:$F$69,5,FALSE),"")</f>
        <v/>
      </c>
      <c r="J206" s="209">
        <f>SUM(I206:I216)</f>
        <v>0</v>
      </c>
    </row>
    <row r="207" spans="8:10" x14ac:dyDescent="0.3">
      <c r="H207" s="196"/>
      <c r="I207" s="213" t="str">
        <f>IFERROR(VLOOKUP(H207,$B$3:$F$69,5,FALSE),"")</f>
        <v/>
      </c>
      <c r="J207" s="196"/>
    </row>
    <row r="208" spans="8:10" x14ac:dyDescent="0.3">
      <c r="H208" s="196"/>
      <c r="I208" s="213" t="str">
        <f>IFERROR(VLOOKUP(H208,$B$3:$F$69,5,FALSE),"")</f>
        <v/>
      </c>
      <c r="J208" s="196"/>
    </row>
    <row r="209" spans="8:10" x14ac:dyDescent="0.3">
      <c r="H209" s="196"/>
      <c r="I209" s="213" t="str">
        <f>IFERROR(VLOOKUP(H209,$B$3:$F$69,5,FALSE),"")</f>
        <v/>
      </c>
      <c r="J209" s="196"/>
    </row>
    <row r="210" spans="8:10" x14ac:dyDescent="0.3">
      <c r="H210" s="196"/>
      <c r="I210" s="213" t="str">
        <f>IFERROR(VLOOKUP(H210,$B$3:$F$69,5,FALSE),"")</f>
        <v/>
      </c>
      <c r="J210" s="196"/>
    </row>
    <row r="211" spans="8:10" x14ac:dyDescent="0.3">
      <c r="H211" s="196"/>
      <c r="I211" s="213" t="str">
        <f>IFERROR(VLOOKUP(H211,$B$3:$F$69,5,FALSE),"")</f>
        <v/>
      </c>
      <c r="J211" s="196"/>
    </row>
    <row r="212" spans="8:10" x14ac:dyDescent="0.3">
      <c r="H212" s="196"/>
      <c r="I212" s="213" t="str">
        <f>IFERROR(VLOOKUP(H212,$B$3:$F$69,5,FALSE),"")</f>
        <v/>
      </c>
      <c r="J212" s="196"/>
    </row>
    <row r="213" spans="8:10" x14ac:dyDescent="0.3">
      <c r="H213" s="196"/>
      <c r="I213" s="213" t="str">
        <f>IFERROR(VLOOKUP(H213,$B$3:$F$69,5,FALSE),"")</f>
        <v/>
      </c>
      <c r="J213" s="196"/>
    </row>
    <row r="214" spans="8:10" x14ac:dyDescent="0.3">
      <c r="H214" s="196"/>
      <c r="I214" s="213" t="str">
        <f>IFERROR(VLOOKUP(H214,$B$3:$F$69,5,FALSE),"")</f>
        <v/>
      </c>
      <c r="J214" s="196"/>
    </row>
    <row r="215" spans="8:10" x14ac:dyDescent="0.3">
      <c r="H215" s="196"/>
      <c r="I215" s="213" t="str">
        <f>IFERROR(VLOOKUP(H215,$B$3:$F$69,5,FALSE),"")</f>
        <v/>
      </c>
      <c r="J215" s="196"/>
    </row>
    <row r="216" spans="8:10" x14ac:dyDescent="0.3">
      <c r="H216" s="196"/>
      <c r="I216" s="213" t="str">
        <f>IFERROR(VLOOKUP(H216,$B$3:$F$69,5,FALSE),"")</f>
        <v/>
      </c>
      <c r="J216" s="196"/>
    </row>
    <row r="217" spans="8:10" x14ac:dyDescent="0.3">
      <c r="I217" s="213" t="str">
        <f>IFERROR(VLOOKUP(H217,$B$3:$F$69,5,FALSE),"")</f>
        <v/>
      </c>
    </row>
    <row r="218" spans="8:10" x14ac:dyDescent="0.3">
      <c r="I218" s="213" t="str">
        <f>IFERROR(VLOOKUP(H218,$B$3:$F$69,5,FALSE),"")</f>
        <v/>
      </c>
    </row>
    <row r="219" spans="8:10" x14ac:dyDescent="0.3">
      <c r="I219" s="213" t="str">
        <f>IFERROR(VLOOKUP(H219,$B$3:$F$69,5,FALSE),"")</f>
        <v/>
      </c>
    </row>
    <row r="220" spans="8:10" x14ac:dyDescent="0.3">
      <c r="I220" s="213" t="str">
        <f>IFERROR(VLOOKUP(H220,$B$3:$F$69,5,FALSE),"")</f>
        <v/>
      </c>
    </row>
    <row r="221" spans="8:10" x14ac:dyDescent="0.3">
      <c r="I221" s="213" t="str">
        <f>IFERROR(VLOOKUP(H221,$B$3:$F$69,5,FALSE),"")</f>
        <v/>
      </c>
    </row>
    <row r="222" spans="8:10" x14ac:dyDescent="0.3">
      <c r="I222" s="213" t="str">
        <f>IFERROR(VLOOKUP(H222,$B$3:$F$69,5,FALSE),"")</f>
        <v/>
      </c>
    </row>
    <row r="223" spans="8:10" x14ac:dyDescent="0.3">
      <c r="I223" s="213" t="str">
        <f>IFERROR(VLOOKUP(H223,$B$3:$F$69,5,FALSE),"")</f>
        <v/>
      </c>
    </row>
    <row r="224" spans="8:10" x14ac:dyDescent="0.3">
      <c r="I224" s="213" t="str">
        <f>IFERROR(VLOOKUP(H224,$B$3:$F$69,5,FALSE),"")</f>
        <v/>
      </c>
    </row>
    <row r="225" spans="9:9" x14ac:dyDescent="0.3">
      <c r="I225" s="213" t="str">
        <f>IFERROR(VLOOKUP(H225,$B$3:$F$69,5,FALSE),"")</f>
        <v/>
      </c>
    </row>
    <row r="226" spans="9:9" x14ac:dyDescent="0.3">
      <c r="I226" s="213" t="str">
        <f>IFERROR(VLOOKUP(H226,$B$3:$F$69,5,FALSE),"")</f>
        <v/>
      </c>
    </row>
    <row r="227" spans="9:9" x14ac:dyDescent="0.3">
      <c r="I227" s="213" t="str">
        <f>IFERROR(VLOOKUP(H227,$B$3:$F$69,5,FALSE),"")</f>
        <v/>
      </c>
    </row>
    <row r="228" spans="9:9" x14ac:dyDescent="0.3">
      <c r="I228" s="213" t="str">
        <f>IFERROR(VLOOKUP(H228,$B$3:$F$69,5,FALSE),"")</f>
        <v/>
      </c>
    </row>
    <row r="229" spans="9:9" x14ac:dyDescent="0.3">
      <c r="I229" s="213" t="str">
        <f>IFERROR(VLOOKUP(H229,$B$3:$F$69,5,FALSE),"")</f>
        <v/>
      </c>
    </row>
    <row r="230" spans="9:9" x14ac:dyDescent="0.3">
      <c r="I230" s="213" t="str">
        <f>IFERROR(VLOOKUP(H230,$B$3:$F$69,5,FALSE),"")</f>
        <v/>
      </c>
    </row>
    <row r="231" spans="9:9" x14ac:dyDescent="0.3">
      <c r="I231" s="213" t="str">
        <f>IFERROR(VLOOKUP(H231,$B$3:$F$69,5,FALSE),"")</f>
        <v/>
      </c>
    </row>
    <row r="232" spans="9:9" x14ac:dyDescent="0.3">
      <c r="I232" s="213" t="str">
        <f>IFERROR(VLOOKUP(H232,$B$3:$F$69,5,FALSE),"")</f>
        <v/>
      </c>
    </row>
    <row r="233" spans="9:9" x14ac:dyDescent="0.3">
      <c r="I233" s="213" t="str">
        <f>IFERROR(VLOOKUP(H233,$B$3:$F$69,5,FALSE),"")</f>
        <v/>
      </c>
    </row>
    <row r="234" spans="9:9" x14ac:dyDescent="0.3">
      <c r="I234" s="213" t="str">
        <f>IFERROR(VLOOKUP(H234,$B$3:$F$69,5,FALSE),"")</f>
        <v/>
      </c>
    </row>
    <row r="235" spans="9:9" x14ac:dyDescent="0.3">
      <c r="I235" s="213" t="str">
        <f>IFERROR(VLOOKUP(H235,$B$3:$F$69,5,FALSE),"")</f>
        <v/>
      </c>
    </row>
    <row r="236" spans="9:9" x14ac:dyDescent="0.3">
      <c r="I236" s="213" t="str">
        <f>IFERROR(VLOOKUP(H236,$B$3:$F$69,5,FALSE),"")</f>
        <v/>
      </c>
    </row>
    <row r="237" spans="9:9" x14ac:dyDescent="0.3">
      <c r="I237" s="213" t="str">
        <f>IFERROR(VLOOKUP(H237,$B$3:$F$69,5,FALSE),"")</f>
        <v/>
      </c>
    </row>
    <row r="238" spans="9:9" x14ac:dyDescent="0.3">
      <c r="I238" s="213" t="str">
        <f>IFERROR(VLOOKUP(H238,$B$3:$F$69,5,FALSE),"")</f>
        <v/>
      </c>
    </row>
    <row r="239" spans="9:9" x14ac:dyDescent="0.3">
      <c r="I239" s="213" t="str">
        <f>IFERROR(VLOOKUP(H239,$B$3:$F$69,5,FALSE),"")</f>
        <v/>
      </c>
    </row>
    <row r="240" spans="9:9" x14ac:dyDescent="0.3">
      <c r="I240" s="213" t="str">
        <f>IFERROR(VLOOKUP(H240,$B$3:$F$69,5,FALSE),"")</f>
        <v/>
      </c>
    </row>
    <row r="241" spans="9:9" x14ac:dyDescent="0.3">
      <c r="I241" s="213" t="str">
        <f>IFERROR(VLOOKUP(H241,$B$3:$F$69,5,FALSE),"")</f>
        <v/>
      </c>
    </row>
    <row r="242" spans="9:9" x14ac:dyDescent="0.3">
      <c r="I242" s="213" t="str">
        <f>IFERROR(VLOOKUP(H242,$B$3:$F$69,5,FALSE),"")</f>
        <v/>
      </c>
    </row>
    <row r="243" spans="9:9" x14ac:dyDescent="0.3">
      <c r="I243" s="213" t="str">
        <f>IFERROR(VLOOKUP(H243,$B$3:$F$69,5,FALSE),"")</f>
        <v/>
      </c>
    </row>
    <row r="244" spans="9:9" x14ac:dyDescent="0.3">
      <c r="I244" s="213" t="str">
        <f>IFERROR(VLOOKUP(H244,$B$3:$F$69,5,FALSE),"")</f>
        <v/>
      </c>
    </row>
    <row r="245" spans="9:9" x14ac:dyDescent="0.3">
      <c r="I245" s="213" t="str">
        <f>IFERROR(VLOOKUP(H245,$B$3:$F$69,5,FALSE),"")</f>
        <v/>
      </c>
    </row>
    <row r="246" spans="9:9" x14ac:dyDescent="0.3">
      <c r="I246" s="213" t="str">
        <f>IFERROR(VLOOKUP(H246,$B$3:$F$69,5,FALSE),"")</f>
        <v/>
      </c>
    </row>
    <row r="247" spans="9:9" x14ac:dyDescent="0.3">
      <c r="I247" s="213" t="str">
        <f>IFERROR(VLOOKUP(H247,$B$3:$F$69,5,FALSE),"")</f>
        <v/>
      </c>
    </row>
    <row r="248" spans="9:9" x14ac:dyDescent="0.3">
      <c r="I248" s="213" t="str">
        <f>IFERROR(VLOOKUP(H248,$B$3:$F$69,5,FALSE),"")</f>
        <v/>
      </c>
    </row>
    <row r="249" spans="9:9" x14ac:dyDescent="0.3">
      <c r="I249" s="213" t="str">
        <f>IFERROR(VLOOKUP(H249,$B$3:$F$69,5,FALSE),"")</f>
        <v/>
      </c>
    </row>
    <row r="250" spans="9:9" x14ac:dyDescent="0.3">
      <c r="I250" s="213" t="str">
        <f>IFERROR(VLOOKUP(H250,$B$3:$F$69,5,FALSE),"")</f>
        <v/>
      </c>
    </row>
    <row r="251" spans="9:9" x14ac:dyDescent="0.3">
      <c r="I251" s="213" t="str">
        <f>IFERROR(VLOOKUP(H251,$B$3:$F$69,5,FALSE),"")</f>
        <v/>
      </c>
    </row>
    <row r="252" spans="9:9" x14ac:dyDescent="0.3">
      <c r="I252" s="213" t="str">
        <f>IFERROR(VLOOKUP(H252,$B$3:$F$69,5,FALSE),"")</f>
        <v/>
      </c>
    </row>
    <row r="253" spans="9:9" x14ac:dyDescent="0.3">
      <c r="I253" s="213" t="str">
        <f>IFERROR(VLOOKUP(H253,$B$3:$F$69,5,FALSE),"")</f>
        <v/>
      </c>
    </row>
    <row r="254" spans="9:9" x14ac:dyDescent="0.3">
      <c r="I254" s="213" t="str">
        <f>IFERROR(VLOOKUP(H254,$B$3:$F$69,5,FALSE),"")</f>
        <v/>
      </c>
    </row>
    <row r="255" spans="9:9" x14ac:dyDescent="0.3">
      <c r="I255" s="213" t="str">
        <f>IFERROR(VLOOKUP(H255,$B$3:$F$69,5,FALSE),"")</f>
        <v/>
      </c>
    </row>
    <row r="256" spans="9:9" x14ac:dyDescent="0.3">
      <c r="I256" s="213" t="str">
        <f>IFERROR(VLOOKUP(H256,$B$3:$F$69,5,FALSE),"")</f>
        <v/>
      </c>
    </row>
    <row r="257" spans="9:9" x14ac:dyDescent="0.3">
      <c r="I257" s="213" t="str">
        <f>IFERROR(VLOOKUP(H257,$B$3:$F$69,5,FALSE),"")</f>
        <v/>
      </c>
    </row>
    <row r="258" spans="9:9" x14ac:dyDescent="0.3">
      <c r="I258" s="213" t="str">
        <f>IFERROR(VLOOKUP(H258,$B$3:$F$69,5,FALSE),"")</f>
        <v/>
      </c>
    </row>
    <row r="259" spans="9:9" x14ac:dyDescent="0.3">
      <c r="I259" s="213" t="str">
        <f>IFERROR(VLOOKUP(H259,$B$3:$F$69,5,FALSE),"")</f>
        <v/>
      </c>
    </row>
    <row r="260" spans="9:9" x14ac:dyDescent="0.3">
      <c r="I260" s="213" t="str">
        <f>IFERROR(VLOOKUP(H260,$B$3:$F$69,5,FALSE),"")</f>
        <v/>
      </c>
    </row>
    <row r="261" spans="9:9" x14ac:dyDescent="0.3">
      <c r="I261" s="213" t="str">
        <f>IFERROR(VLOOKUP(H261,$B$3:$F$69,5,FALSE),"")</f>
        <v/>
      </c>
    </row>
    <row r="262" spans="9:9" x14ac:dyDescent="0.3">
      <c r="I262" s="213" t="str">
        <f>IFERROR(VLOOKUP(H262,$B$3:$F$69,5,FALSE),"")</f>
        <v/>
      </c>
    </row>
    <row r="263" spans="9:9" x14ac:dyDescent="0.3">
      <c r="I263" s="213" t="str">
        <f>IFERROR(VLOOKUP(H263,$B$3:$F$69,5,FALSE),"")</f>
        <v/>
      </c>
    </row>
    <row r="264" spans="9:9" x14ac:dyDescent="0.3">
      <c r="I264" s="213" t="str">
        <f>IFERROR(VLOOKUP(H264,$B$3:$F$69,5,FALSE),"")</f>
        <v/>
      </c>
    </row>
    <row r="265" spans="9:9" x14ac:dyDescent="0.3">
      <c r="I265" s="213" t="str">
        <f>IFERROR(VLOOKUP(H265,$B$3:$F$69,5,FALSE),"")</f>
        <v/>
      </c>
    </row>
    <row r="266" spans="9:9" x14ac:dyDescent="0.3">
      <c r="I266" s="213" t="str">
        <f>IFERROR(VLOOKUP(H266,$B$3:$F$69,5,FALSE),"")</f>
        <v/>
      </c>
    </row>
    <row r="267" spans="9:9" x14ac:dyDescent="0.3">
      <c r="I267" s="213" t="str">
        <f>IFERROR(VLOOKUP(H267,$B$3:$F$69,5,FALSE),"")</f>
        <v/>
      </c>
    </row>
    <row r="268" spans="9:9" x14ac:dyDescent="0.3">
      <c r="I268" s="213" t="str">
        <f>IFERROR(VLOOKUP(H268,$B$3:$F$69,5,FALSE),"")</f>
        <v/>
      </c>
    </row>
    <row r="269" spans="9:9" x14ac:dyDescent="0.3">
      <c r="I269" s="213" t="str">
        <f>IFERROR(VLOOKUP(H269,$B$3:$F$69,5,FALSE),"")</f>
        <v/>
      </c>
    </row>
    <row r="270" spans="9:9" x14ac:dyDescent="0.3">
      <c r="I270" s="213" t="str">
        <f>IFERROR(VLOOKUP(H270,$B$3:$F$69,5,FALSE),"")</f>
        <v/>
      </c>
    </row>
    <row r="271" spans="9:9" x14ac:dyDescent="0.3">
      <c r="I271" s="213" t="str">
        <f>IFERROR(VLOOKUP(H271,$B$3:$F$69,5,FALSE),"")</f>
        <v/>
      </c>
    </row>
    <row r="272" spans="9:9" x14ac:dyDescent="0.3">
      <c r="I272" s="213" t="str">
        <f>IFERROR(VLOOKUP(H272,$B$3:$F$69,5,FALSE),"")</f>
        <v/>
      </c>
    </row>
    <row r="273" spans="9:9" x14ac:dyDescent="0.3">
      <c r="I273" s="213" t="str">
        <f>IFERROR(VLOOKUP(H273,$B$3:$F$69,5,FALSE),"")</f>
        <v/>
      </c>
    </row>
    <row r="274" spans="9:9" x14ac:dyDescent="0.3">
      <c r="I274" s="213" t="str">
        <f>IFERROR(VLOOKUP(H274,$B$3:$F$69,5,FALSE),"")</f>
        <v/>
      </c>
    </row>
    <row r="275" spans="9:9" x14ac:dyDescent="0.3">
      <c r="I275" s="213" t="str">
        <f>IFERROR(VLOOKUP(H275,$B$3:$F$69,5,FALSE),"")</f>
        <v/>
      </c>
    </row>
    <row r="276" spans="9:9" x14ac:dyDescent="0.3">
      <c r="I276" s="213" t="str">
        <f>IFERROR(VLOOKUP(H276,$B$3:$F$69,5,FALSE),"")</f>
        <v/>
      </c>
    </row>
  </sheetData>
  <customSheetViews>
    <customSheetView guid="{5C7B38D6-29D9-4C20-A92E-817BB499D35F}">
      <selection activeCell="E3" sqref="E3:E65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6307C-2076-4110-BDF1-BFF4413495B2}">
  <sheetPr codeName="Sheet5"/>
  <dimension ref="B1:V281"/>
  <sheetViews>
    <sheetView topLeftCell="D1" zoomScale="70" zoomScaleNormal="70" workbookViewId="0">
      <selection activeCell="K87" sqref="K87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  <col min="20" max="20" width="26.77734375" customWidth="1"/>
    <col min="21" max="21" width="9.44140625" style="9" customWidth="1"/>
    <col min="22" max="22" width="11.44140625" bestFit="1" customWidth="1"/>
  </cols>
  <sheetData>
    <row r="1" spans="2:22" x14ac:dyDescent="0.3">
      <c r="B1" t="s">
        <v>58</v>
      </c>
      <c r="C1" t="s">
        <v>59</v>
      </c>
    </row>
    <row r="2" spans="2:22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2"/>
      <c r="L2" s="111" t="s">
        <v>69</v>
      </c>
      <c r="M2" s="112" t="s">
        <v>208</v>
      </c>
      <c r="N2" s="112" t="s">
        <v>208</v>
      </c>
      <c r="U2" s="2"/>
    </row>
    <row r="3" spans="2:22" s="1" customFormat="1" x14ac:dyDescent="0.3">
      <c r="B3" s="40" t="s">
        <v>60</v>
      </c>
      <c r="C3" s="41" t="s">
        <v>4</v>
      </c>
      <c r="D3" s="42">
        <v>0.57220000000000004</v>
      </c>
      <c r="E3" s="24" t="str">
        <f>IF(IF(B3="MDZ140R","",IFERROR((SUMIF($B$3:$B$74,"MDZ140R",$F$3:$F$74)*INDEX($Q$20:$Q$86,MATCH(B3,$N$20:$N$86,0))),""))=0,"",IF(B3="MDZ140R","",IFERROR((SUMIF($B$3:$B$74,"MDZ140R",$F$3:$F$74)*INDEX($Q$20:$Q$86,MATCH(B3,$N$20:$N$86,0))),"")))</f>
        <v/>
      </c>
      <c r="F3" s="42">
        <f>IF(D3="","",D3+ IF(E3="",0,E3))</f>
        <v>0.57220000000000004</v>
      </c>
      <c r="H3" s="202" t="s">
        <v>71</v>
      </c>
      <c r="I3" s="213" t="str">
        <f>IFERROR(VLOOKUP(H3,$B$3:$F$69,5,FALSE),"")</f>
        <v/>
      </c>
      <c r="J3" s="203">
        <f>SUM(I3:I21)</f>
        <v>3.6982499999999998</v>
      </c>
      <c r="L3" s="80" t="s">
        <v>70</v>
      </c>
      <c r="M3" s="114">
        <f>VLOOKUP(L3,$H$3:$J$220,3,FALSE)</f>
        <v>0</v>
      </c>
      <c r="N3" s="115">
        <f>(M3/$M$14)</f>
        <v>0</v>
      </c>
      <c r="T3" s="61" t="s">
        <v>71</v>
      </c>
      <c r="U3" s="87" t="str">
        <f>IFERROR(VLOOKUP(T3,$B$3:$F$73,5,FALSE),"")</f>
        <v/>
      </c>
      <c r="V3" s="118">
        <f>SUM(U3:U21)</f>
        <v>4.0820100000000004</v>
      </c>
    </row>
    <row r="4" spans="2:22" s="1" customFormat="1" x14ac:dyDescent="0.3">
      <c r="B4" s="40" t="s">
        <v>61</v>
      </c>
      <c r="C4" s="41" t="s">
        <v>5</v>
      </c>
      <c r="D4" s="42">
        <v>0.86109999999999998</v>
      </c>
      <c r="E4" s="24" t="str">
        <f>IF(IF(B4="MDZ140R","",IFERROR((SUMIF($B$3:$B$74,"MDZ140R",$F$3:$F$74)*INDEX($Q$20:$Q$86,MATCH(B4,$N$20:$N$86,0))),""))=0,"",IF(B4="MDZ140R","",IFERROR((SUMIF($B$3:$B$74,"MDZ140R",$F$3:$F$74)*INDEX($Q$20:$Q$86,MATCH(B4,$N$20:$N$86,0))),"")))</f>
        <v/>
      </c>
      <c r="F4" s="42">
        <f t="shared" ref="F4:F86" si="0">IF(D4="","",D4+ IF(E4="",0,E4))</f>
        <v>0.86109999999999998</v>
      </c>
      <c r="H4" s="192" t="s">
        <v>46</v>
      </c>
      <c r="I4" s="213">
        <f>IFERROR(VLOOKUP(H4,$B$3:$F$69,5,FALSE),"")</f>
        <v>0.6925</v>
      </c>
      <c r="J4" s="204"/>
      <c r="L4" s="56" t="s">
        <v>71</v>
      </c>
      <c r="M4" s="114">
        <f>VLOOKUP(L4,$H$3:$J$220,3,FALSE)</f>
        <v>3.6982499999999998</v>
      </c>
      <c r="N4" s="115">
        <f t="shared" ref="N4:N13" si="1">(M4/$M$14)</f>
        <v>0.1560281743026565</v>
      </c>
      <c r="T4" s="56" t="s">
        <v>46</v>
      </c>
      <c r="U4" s="87">
        <f>IFERROR(VLOOKUP(T4,$B$3:$F$73,5,FALSE),"")</f>
        <v>0.6925</v>
      </c>
      <c r="V4" s="116"/>
    </row>
    <row r="5" spans="2:22" s="1" customFormat="1" x14ac:dyDescent="0.3">
      <c r="B5" s="40" t="s">
        <v>62</v>
      </c>
      <c r="C5" s="41" t="s">
        <v>6</v>
      </c>
      <c r="D5" s="42">
        <v>0.29099999999999998</v>
      </c>
      <c r="E5" s="24" t="str">
        <f>IF(IF(B5="MDZ140R","",IFERROR((SUMIF($B$3:$B$74,"MDZ140R",$F$3:$F$74)*INDEX($Q$20:$Q$86,MATCH(B5,$N$20:$N$86,0))),""))=0,"",IF(B5="MDZ140R","",IFERROR((SUMIF($B$3:$B$74,"MDZ140R",$F$3:$F$74)*INDEX($Q$20:$Q$86,MATCH(B5,$N$20:$N$86,0))),"")))</f>
        <v/>
      </c>
      <c r="F5" s="42">
        <f t="shared" si="0"/>
        <v>0.29099999999999998</v>
      </c>
      <c r="H5" s="192" t="s">
        <v>86</v>
      </c>
      <c r="I5" s="213" t="str">
        <f>IFERROR(VLOOKUP(H5,$B$3:$F$69,5,FALSE),"")</f>
        <v/>
      </c>
      <c r="J5" s="204"/>
      <c r="L5" s="80" t="s">
        <v>72</v>
      </c>
      <c r="M5" s="114">
        <f>VLOOKUP(L5,$H$3:$J$220,3,FALSE)</f>
        <v>7.3999999999999996E-2</v>
      </c>
      <c r="N5" s="115">
        <f t="shared" si="1"/>
        <v>3.1220401266535743E-3</v>
      </c>
      <c r="T5" s="56" t="s">
        <v>86</v>
      </c>
      <c r="U5" s="87" t="str">
        <f>IFERROR(VLOOKUP(T5,$B$3:$F$73,5,FALSE),"")</f>
        <v/>
      </c>
      <c r="V5" s="116"/>
    </row>
    <row r="6" spans="2:22" s="1" customFormat="1" x14ac:dyDescent="0.3">
      <c r="B6" s="40" t="s">
        <v>7</v>
      </c>
      <c r="C6" s="41" t="s">
        <v>8</v>
      </c>
      <c r="D6" s="42">
        <v>7.2099999999999997E-2</v>
      </c>
      <c r="E6" s="24" t="str">
        <f>IF(IF(B6="MDZ140R","",IFERROR((SUMIF($B$3:$B$74,"MDZ140R",$F$3:$F$74)*INDEX($Q$20:$Q$86,MATCH(B6,$N$20:$N$86,0))),""))=0,"",IF(B6="MDZ140R","",IFERROR((SUMIF($B$3:$B$74,"MDZ140R",$F$3:$F$74)*INDEX($Q$20:$Q$86,MATCH(B6,$N$20:$N$86,0))),"")))</f>
        <v/>
      </c>
      <c r="F6" s="42">
        <f t="shared" si="0"/>
        <v>7.2099999999999997E-2</v>
      </c>
      <c r="H6" s="192" t="s">
        <v>36</v>
      </c>
      <c r="I6" s="213">
        <f>IFERROR(VLOOKUP(H6,$B$3:$F$69,5,FALSE),"")</f>
        <v>0.84150000000000003</v>
      </c>
      <c r="J6" s="204"/>
      <c r="L6" s="56" t="s">
        <v>73</v>
      </c>
      <c r="M6" s="114">
        <f>VLOOKUP(L6,$H$3:$J$220,3,FALSE)</f>
        <v>2.3209499999999998</v>
      </c>
      <c r="N6" s="115">
        <f t="shared" si="1"/>
        <v>9.792025718860288E-2</v>
      </c>
      <c r="T6" s="56" t="s">
        <v>36</v>
      </c>
      <c r="U6" s="87">
        <v>0.36880000000000002</v>
      </c>
      <c r="V6" s="116"/>
    </row>
    <row r="7" spans="2:22" s="1" customFormat="1" x14ac:dyDescent="0.3">
      <c r="B7" s="40" t="s">
        <v>9</v>
      </c>
      <c r="C7" s="41" t="s">
        <v>10</v>
      </c>
      <c r="D7" s="42">
        <v>0.20330000000000001</v>
      </c>
      <c r="E7" s="24" t="str">
        <f>IF(IF(B7="MDZ140R","",IFERROR((SUMIF($B$3:$B$74,"MDZ140R",$F$3:$F$74)*INDEX($Q$20:$Q$86,MATCH(B7,$N$20:$N$86,0))),""))=0,"",IF(B7="MDZ140R","",IFERROR((SUMIF($B$3:$B$74,"MDZ140R",$F$3:$F$74)*INDEX($Q$20:$Q$86,MATCH(B7,$N$20:$N$86,0))),"")))</f>
        <v/>
      </c>
      <c r="F7" s="42">
        <f t="shared" si="0"/>
        <v>0.20330000000000001</v>
      </c>
      <c r="H7" s="192" t="s">
        <v>87</v>
      </c>
      <c r="I7" s="211">
        <v>0.27944999999999998</v>
      </c>
      <c r="J7" s="204"/>
      <c r="L7" s="80" t="s">
        <v>74</v>
      </c>
      <c r="M7" s="114">
        <f>VLOOKUP(L7,$H$3:$J$220,3,FALSE)</f>
        <v>0.51744999999999997</v>
      </c>
      <c r="N7" s="115">
        <f t="shared" si="1"/>
        <v>2.1831076534282325E-2</v>
      </c>
      <c r="T7" s="56" t="s">
        <v>87</v>
      </c>
      <c r="U7" s="87">
        <v>0.55889999999999995</v>
      </c>
      <c r="V7" s="116"/>
    </row>
    <row r="8" spans="2:22" s="1" customFormat="1" x14ac:dyDescent="0.3">
      <c r="B8" s="40" t="s">
        <v>11</v>
      </c>
      <c r="C8" s="41" t="s">
        <v>190</v>
      </c>
      <c r="D8" s="42">
        <v>0.1191</v>
      </c>
      <c r="E8" s="24" t="str">
        <f>IF(IF(B8="MDZ140R","",IFERROR((SUMIF($B$3:$B$74,"MDZ140R",$F$3:$F$74)*INDEX($Q$20:$Q$86,MATCH(B8,$N$20:$N$86,0))),""))=0,"",IF(B8="MDZ140R","",IFERROR((SUMIF($B$3:$B$74,"MDZ140R",$F$3:$F$74)*INDEX($Q$20:$Q$86,MATCH(B8,$N$20:$N$86,0))),"")))</f>
        <v/>
      </c>
      <c r="F8" s="42">
        <f t="shared" si="0"/>
        <v>0.1191</v>
      </c>
      <c r="H8" s="192" t="s">
        <v>88</v>
      </c>
      <c r="I8" s="213" t="str">
        <f>IFERROR(VLOOKUP(H8,$B$3:$F$69,5,FALSE),"")</f>
        <v/>
      </c>
      <c r="J8" s="204"/>
      <c r="L8" s="56" t="s">
        <v>75</v>
      </c>
      <c r="M8" s="114">
        <f>VLOOKUP(L8,$H$3:$J$220,3,FALSE)</f>
        <v>0.93120000000000003</v>
      </c>
      <c r="N8" s="115">
        <f t="shared" si="1"/>
        <v>3.9287077918105519E-2</v>
      </c>
      <c r="T8" s="56" t="s">
        <v>88</v>
      </c>
      <c r="U8" s="87" t="str">
        <f>IFERROR(VLOOKUP(T8,$B$3:$F$73,5,FALSE),"")</f>
        <v/>
      </c>
      <c r="V8" s="116"/>
    </row>
    <row r="9" spans="2:22" s="1" customFormat="1" x14ac:dyDescent="0.3">
      <c r="B9" s="40" t="s">
        <v>13</v>
      </c>
      <c r="C9" s="41" t="s">
        <v>68</v>
      </c>
      <c r="D9" s="42">
        <v>0.81459999999999999</v>
      </c>
      <c r="E9" s="24" t="str">
        <f>IF(IF(B9="MDZ140R","",IFERROR((SUMIF($B$3:$B$74,"MDZ140R",$F$3:$F$74)*INDEX($Q$20:$Q$86,MATCH(B9,$N$20:$N$86,0))),""))=0,"",IF(B9="MDZ140R","",IFERROR((SUMIF($B$3:$B$74,"MDZ140R",$F$3:$F$74)*INDEX($Q$20:$Q$86,MATCH(B9,$N$20:$N$86,0))),"")))</f>
        <v/>
      </c>
      <c r="F9" s="42">
        <f t="shared" si="0"/>
        <v>0.81459999999999999</v>
      </c>
      <c r="H9" s="192" t="s">
        <v>89</v>
      </c>
      <c r="I9" s="213" t="str">
        <f>IFERROR(VLOOKUP(H9,$B$3:$F$69,5,FALSE),"")</f>
        <v/>
      </c>
      <c r="J9" s="204"/>
      <c r="L9" s="80" t="s">
        <v>76</v>
      </c>
      <c r="M9" s="114">
        <f>VLOOKUP(L9,$H$3:$J$220,3,FALSE)</f>
        <v>0</v>
      </c>
      <c r="N9" s="115">
        <f t="shared" si="1"/>
        <v>0</v>
      </c>
      <c r="T9" s="56" t="s">
        <v>89</v>
      </c>
      <c r="U9" s="87" t="str">
        <f>IFERROR(VLOOKUP(T9,$B$3:$F$73,5,FALSE),"")</f>
        <v/>
      </c>
      <c r="V9" s="116"/>
    </row>
    <row r="10" spans="2:22" s="1" customFormat="1" x14ac:dyDescent="0.3">
      <c r="B10" s="40" t="s">
        <v>14</v>
      </c>
      <c r="C10" s="41" t="s">
        <v>15</v>
      </c>
      <c r="D10" s="42">
        <v>0.93120000000000003</v>
      </c>
      <c r="E10" s="24" t="str">
        <f>IF(IF(B10="MDZ140R","",IFERROR((SUMIF($B$3:$B$74,"MDZ140R",$F$3:$F$74)*INDEX($Q$20:$Q$86,MATCH(B10,$N$20:$N$86,0))),""))=0,"",IF(B10="MDZ140R","",IFERROR((SUMIF($B$3:$B$74,"MDZ140R",$F$3:$F$74)*INDEX($Q$20:$Q$86,MATCH(B10,$N$20:$N$86,0))),"")))</f>
        <v/>
      </c>
      <c r="F10" s="42">
        <f t="shared" si="0"/>
        <v>0.93120000000000003</v>
      </c>
      <c r="H10" s="192" t="s">
        <v>13</v>
      </c>
      <c r="I10" s="213">
        <f>IFERROR(VLOOKUP(H10,$B$3:$F$69,5,FALSE),"")</f>
        <v>0.81459999999999999</v>
      </c>
      <c r="J10" s="204"/>
      <c r="L10" s="56" t="s">
        <v>77</v>
      </c>
      <c r="M10" s="114">
        <f>VLOOKUP(L10,$H$3:$J$220,3,FALSE)</f>
        <v>14.157099999999998</v>
      </c>
      <c r="N10" s="115">
        <f t="shared" si="1"/>
        <v>0.59728424698712579</v>
      </c>
      <c r="T10" s="56" t="s">
        <v>13</v>
      </c>
      <c r="U10" s="87">
        <f>IFERROR(VLOOKUP(T10,$B$3:$F$73,5,FALSE),"")</f>
        <v>0.81459999999999999</v>
      </c>
      <c r="V10" s="116"/>
    </row>
    <row r="11" spans="2:22" s="1" customFormat="1" x14ac:dyDescent="0.3">
      <c r="B11" s="40" t="s">
        <v>16</v>
      </c>
      <c r="C11" s="41" t="s">
        <v>17</v>
      </c>
      <c r="D11" s="42">
        <v>0.68889999999999996</v>
      </c>
      <c r="E11" s="24" t="str">
        <f>IF(IF(B11="MDZ140R","",IFERROR((SUMIF($B$3:$B$74,"MDZ140R",$F$3:$F$74)*INDEX($Q$20:$Q$86,MATCH(B11,$N$20:$N$86,0))),""))=0,"",IF(B11="MDZ140R","",IFERROR((SUMIF($B$3:$B$74,"MDZ140R",$F$3:$F$74)*INDEX($Q$20:$Q$86,MATCH(B11,$N$20:$N$86,0))),"")))</f>
        <v/>
      </c>
      <c r="F11" s="42">
        <f t="shared" si="0"/>
        <v>0.68889999999999996</v>
      </c>
      <c r="H11" s="192" t="s">
        <v>31</v>
      </c>
      <c r="I11" s="211">
        <v>7.3999999999999996E-2</v>
      </c>
      <c r="J11" s="204"/>
      <c r="L11" s="80" t="s">
        <v>78</v>
      </c>
      <c r="M11" s="114">
        <f>VLOOKUP(L11,$H$3:$J$220,3,FALSE)</f>
        <v>0</v>
      </c>
      <c r="N11" s="115">
        <f t="shared" si="1"/>
        <v>0</v>
      </c>
      <c r="T11" s="56" t="s">
        <v>31</v>
      </c>
      <c r="U11" s="87">
        <f>IFERROR(VLOOKUP(T11,$B$3:$F$73,5,FALSE),"")</f>
        <v>0.14799999999999999</v>
      </c>
      <c r="V11" s="116"/>
    </row>
    <row r="12" spans="2:22" s="1" customFormat="1" x14ac:dyDescent="0.3">
      <c r="B12" s="40" t="s">
        <v>18</v>
      </c>
      <c r="C12" s="41" t="s">
        <v>19</v>
      </c>
      <c r="D12" s="42">
        <v>0.43140000000000001</v>
      </c>
      <c r="E12" s="24" t="str">
        <f>IF(IF(B12="MDZ140R","",IFERROR((SUMIF($B$3:$B$74,"MDZ140R",$F$3:$F$74)*INDEX($Q$20:$Q$86,MATCH(B12,$N$20:$N$86,0))),""))=0,"",IF(B12="MDZ140R","",IFERROR((SUMIF($B$3:$B$74,"MDZ140R",$F$3:$F$74)*INDEX($Q$20:$Q$86,MATCH(B12,$N$20:$N$86,0))),"")))</f>
        <v/>
      </c>
      <c r="F12" s="42">
        <f t="shared" si="0"/>
        <v>0.43140000000000001</v>
      </c>
      <c r="H12" s="192" t="s">
        <v>90</v>
      </c>
      <c r="I12" s="213" t="str">
        <f>IFERROR(VLOOKUP(H12,$B$3:$F$69,5,FALSE),"")</f>
        <v/>
      </c>
      <c r="J12" s="204"/>
      <c r="L12" s="56" t="s">
        <v>79</v>
      </c>
      <c r="M12" s="114">
        <f>VLOOKUP(L12,$H$3:$J$220,3,FALSE)</f>
        <v>2.0034999999999998</v>
      </c>
      <c r="N12" s="115">
        <f t="shared" si="1"/>
        <v>8.4527126942573458E-2</v>
      </c>
      <c r="T12" s="56" t="s">
        <v>90</v>
      </c>
      <c r="U12" s="87" t="str">
        <f>IFERROR(VLOOKUP(T12,$B$3:$F$73,5,FALSE),"")</f>
        <v/>
      </c>
      <c r="V12" s="116"/>
    </row>
    <row r="13" spans="2:22" s="1" customFormat="1" x14ac:dyDescent="0.3">
      <c r="B13" s="40" t="s">
        <v>20</v>
      </c>
      <c r="C13" s="41" t="s">
        <v>21</v>
      </c>
      <c r="D13" s="42">
        <v>0.76990000000000003</v>
      </c>
      <c r="E13" s="24" t="str">
        <f>IF(IF(B13="MDZ140R","",IFERROR((SUMIF($B$3:$B$74,"MDZ140R",$F$3:$F$74)*INDEX($Q$20:$Q$86,MATCH(B13,$N$20:$N$86,0))),""))=0,"",IF(B13="MDZ140R","",IFERROR((SUMIF($B$3:$B$74,"MDZ140R",$F$3:$F$74)*INDEX($Q$20:$Q$86,MATCH(B13,$N$20:$N$86,0))),"")))</f>
        <v/>
      </c>
      <c r="F13" s="42">
        <f t="shared" si="0"/>
        <v>0.76990000000000003</v>
      </c>
      <c r="H13" s="192" t="s">
        <v>91</v>
      </c>
      <c r="I13" s="213" t="str">
        <f>IFERROR(VLOOKUP(H13,$B$3:$F$69,5,FALSE),"")</f>
        <v/>
      </c>
      <c r="J13" s="204"/>
      <c r="L13" s="80" t="s">
        <v>80</v>
      </c>
      <c r="M13" s="114">
        <f>VLOOKUP(L13,$H$3:$J$220,3,FALSE)</f>
        <v>0</v>
      </c>
      <c r="N13" s="115">
        <f t="shared" si="1"/>
        <v>0</v>
      </c>
      <c r="T13" s="56" t="s">
        <v>91</v>
      </c>
      <c r="U13" s="87" t="str">
        <f>IFERROR(VLOOKUP(T13,$B$3:$F$73,5,FALSE),"")</f>
        <v/>
      </c>
      <c r="V13" s="116"/>
    </row>
    <row r="14" spans="2:22" s="1" customFormat="1" x14ac:dyDescent="0.3">
      <c r="B14" s="40" t="s">
        <v>63</v>
      </c>
      <c r="C14" s="41" t="s">
        <v>23</v>
      </c>
      <c r="D14" s="42">
        <v>9.3600000000000003E-2</v>
      </c>
      <c r="E14" s="24" t="str">
        <f>IF(IF(B14="MDZ140R","",IFERROR((SUMIF($B$3:$B$74,"MDZ140R",$F$3:$F$74)*INDEX($Q$20:$Q$86,MATCH(B14,$N$20:$N$86,0))),""))=0,"",IF(B14="MDZ140R","",IFERROR((SUMIF($B$3:$B$74,"MDZ140R",$F$3:$F$74)*INDEX($Q$20:$Q$86,MATCH(B14,$N$20:$N$86,0))),"")))</f>
        <v/>
      </c>
      <c r="F14" s="42">
        <f t="shared" si="0"/>
        <v>9.3600000000000003E-2</v>
      </c>
      <c r="H14" s="192" t="s">
        <v>92</v>
      </c>
      <c r="I14" s="213" t="str">
        <f>IFERROR(VLOOKUP(H14,$B$3:$F$69,5,FALSE),"")</f>
        <v/>
      </c>
      <c r="J14" s="204"/>
      <c r="L14" s="119" t="s">
        <v>81</v>
      </c>
      <c r="M14" s="120">
        <f>SUM(M3:M13)</f>
        <v>23.702449999999995</v>
      </c>
      <c r="N14" s="121">
        <f>SUM(N3:N13)</f>
        <v>1</v>
      </c>
      <c r="T14" s="56" t="s">
        <v>92</v>
      </c>
      <c r="U14" s="87" t="str">
        <f>IFERROR(VLOOKUP(T14,$B$3:$F$73,5,FALSE),"")</f>
        <v/>
      </c>
      <c r="V14" s="116"/>
    </row>
    <row r="15" spans="2:22" s="1" customFormat="1" x14ac:dyDescent="0.3">
      <c r="B15" s="40" t="s">
        <v>64</v>
      </c>
      <c r="C15" s="41" t="s">
        <v>25</v>
      </c>
      <c r="D15" s="42">
        <v>0.77470000000000006</v>
      </c>
      <c r="E15" s="24" t="str">
        <f>IF(IF(B15="MDZ140R","",IFERROR((SUMIF($B$3:$B$74,"MDZ140R",$F$3:$F$74)*INDEX($Q$20:$Q$86,MATCH(B15,$N$20:$N$86,0))),""))=0,"",IF(B15="MDZ140R","",IFERROR((SUMIF($B$3:$B$74,"MDZ140R",$F$3:$F$74)*INDEX($Q$20:$Q$86,MATCH(B15,$N$20:$N$86,0))),"")))</f>
        <v/>
      </c>
      <c r="F15" s="42">
        <f t="shared" si="0"/>
        <v>0.77470000000000006</v>
      </c>
      <c r="H15" s="192" t="s">
        <v>93</v>
      </c>
      <c r="I15" s="213" t="str">
        <f>IFERROR(VLOOKUP(H15,$B$3:$F$69,5,FALSE),"")</f>
        <v/>
      </c>
      <c r="J15" s="204"/>
      <c r="L15" s="122" t="s">
        <v>82</v>
      </c>
      <c r="M15" s="120">
        <f>SUM(M3,M5,M7,M9,M11,M13)</f>
        <v>0.59144999999999992</v>
      </c>
      <c r="N15" s="123">
        <f>SUM(N13,N11,N9,N7,N5,N3)</f>
        <v>2.4953116660935901E-2</v>
      </c>
      <c r="T15" s="56" t="s">
        <v>93</v>
      </c>
      <c r="U15" s="87">
        <v>0.50300999999999996</v>
      </c>
      <c r="V15" s="116"/>
    </row>
    <row r="16" spans="2:22" s="1" customFormat="1" x14ac:dyDescent="0.3">
      <c r="B16" s="40" t="s">
        <v>24</v>
      </c>
      <c r="C16" s="41" t="s">
        <v>197</v>
      </c>
      <c r="D16" s="42">
        <v>0.41470000000000001</v>
      </c>
      <c r="E16" s="24" t="str">
        <f>IF(IF(B16="MDZ140R","",IFERROR((SUMIF($B$3:$B$74,"MDZ140R",$F$3:$F$74)*INDEX($Q$20:$Q$86,MATCH(B16,$N$20:$N$86,0))),""))=0,"",IF(B16="MDZ140R","",IFERROR((SUMIF($B$3:$B$74,"MDZ140R",$F$3:$F$74)*INDEX($Q$20:$Q$86,MATCH(B16,$N$20:$N$86,0))),"")))</f>
        <v/>
      </c>
      <c r="F16" s="42">
        <f t="shared" si="0"/>
        <v>0.41470000000000001</v>
      </c>
      <c r="H16" s="192" t="s">
        <v>94</v>
      </c>
      <c r="I16" s="211">
        <v>0.70540000000000003</v>
      </c>
      <c r="J16" s="204"/>
      <c r="T16" s="56" t="s">
        <v>94</v>
      </c>
      <c r="U16" s="87">
        <f>IFERROR(VLOOKUP(T16,$B$3:$F$73,5,FALSE),"")</f>
        <v>0.70540000000000003</v>
      </c>
      <c r="V16" s="116"/>
    </row>
    <row r="17" spans="2:22" s="1" customFormat="1" x14ac:dyDescent="0.3">
      <c r="B17" s="40" t="s">
        <v>27</v>
      </c>
      <c r="C17" s="41" t="s">
        <v>28</v>
      </c>
      <c r="D17" s="42">
        <v>0.3967</v>
      </c>
      <c r="E17" s="24" t="str">
        <f>IF(IF(B17="MDZ140R","",IFERROR((SUMIF($B$3:$B$74,"MDZ140R",$F$3:$F$74)*INDEX($Q$20:$Q$86,MATCH(B17,$N$20:$N$86,0))),""))=0,"",IF(B17="MDZ140R","",IFERROR((SUMIF($B$3:$B$74,"MDZ140R",$F$3:$F$74)*INDEX($Q$20:$Q$86,MATCH(B17,$N$20:$N$86,0))),"")))</f>
        <v/>
      </c>
      <c r="F17" s="42">
        <f t="shared" si="0"/>
        <v>0.3967</v>
      </c>
      <c r="H17" s="192" t="s">
        <v>95</v>
      </c>
      <c r="I17" s="213">
        <f>IFERROR(VLOOKUP(H17,$B$3:$F$69,5,FALSE),"")</f>
        <v>0.2908</v>
      </c>
      <c r="J17" s="204"/>
      <c r="T17" s="56" t="s">
        <v>95</v>
      </c>
      <c r="U17" s="87">
        <f>IFERROR(VLOOKUP(T17,$B$3:$F$73,5,FALSE),"")</f>
        <v>0.2908</v>
      </c>
      <c r="V17" s="116"/>
    </row>
    <row r="18" spans="2:22" s="1" customFormat="1" x14ac:dyDescent="0.3">
      <c r="B18" s="40" t="s">
        <v>29</v>
      </c>
      <c r="C18" s="41" t="s">
        <v>30</v>
      </c>
      <c r="D18" s="42">
        <v>0.82340000000000002</v>
      </c>
      <c r="E18" s="24" t="str">
        <f>IF(IF(B18="MDZ140R","",IFERROR((SUMIF($B$3:$B$74,"MDZ140R",$F$3:$F$74)*INDEX($Q$20:$Q$86,MATCH(B18,$N$20:$N$86,0))),""))=0,"",IF(B18="MDZ140R","",IFERROR((SUMIF($B$3:$B$74,"MDZ140R",$F$3:$F$74)*INDEX($Q$20:$Q$86,MATCH(B18,$N$20:$N$86,0))),"")))</f>
        <v/>
      </c>
      <c r="F18" s="42">
        <f t="shared" si="0"/>
        <v>0.82340000000000002</v>
      </c>
      <c r="H18" s="192" t="s">
        <v>96</v>
      </c>
      <c r="I18" s="213" t="str">
        <f>IFERROR(VLOOKUP(H18,$B$3:$F$69,5,FALSE),"")</f>
        <v/>
      </c>
      <c r="J18" s="198"/>
      <c r="T18" s="56" t="s">
        <v>96</v>
      </c>
      <c r="U18" s="87" t="str">
        <f>IFERROR(VLOOKUP(T18,$B$3:$F$73,5,FALSE),"")</f>
        <v/>
      </c>
      <c r="V18" s="113"/>
    </row>
    <row r="19" spans="2:22" s="1" customFormat="1" x14ac:dyDescent="0.3">
      <c r="B19" s="40" t="s">
        <v>31</v>
      </c>
      <c r="C19" s="41" t="s">
        <v>67</v>
      </c>
      <c r="D19" s="42">
        <v>0.14799999999999999</v>
      </c>
      <c r="E19" s="24" t="str">
        <f>IF(IF(B19="MDZ140R","",IFERROR((SUMIF($B$3:$B$74,"MDZ140R",$F$3:$F$74)*INDEX($Q$20:$Q$86,MATCH(B19,$N$20:$N$86,0))),""))=0,"",IF(B19="MDZ140R","",IFERROR((SUMIF($B$3:$B$74,"MDZ140R",$F$3:$F$74)*INDEX($Q$20:$Q$86,MATCH(B19,$N$20:$N$86,0))),"")))</f>
        <v/>
      </c>
      <c r="F19" s="42">
        <f t="shared" si="0"/>
        <v>0.14799999999999999</v>
      </c>
      <c r="H19" s="192" t="s">
        <v>97</v>
      </c>
      <c r="I19" s="213" t="str">
        <f>IFERROR(VLOOKUP(H19,$B$3:$F$69,5,FALSE),"")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  <c r="T19" s="56" t="s">
        <v>97</v>
      </c>
      <c r="U19" s="87" t="str">
        <f>IFERROR(VLOOKUP(T19,$B$3:$F$73,5,FALSE),"")</f>
        <v/>
      </c>
      <c r="V19" s="113"/>
    </row>
    <row r="20" spans="2:22" s="1" customFormat="1" x14ac:dyDescent="0.3">
      <c r="B20" s="40" t="s">
        <v>32</v>
      </c>
      <c r="C20" s="41" t="s">
        <v>33</v>
      </c>
      <c r="D20" s="42">
        <v>0.42849999999999999</v>
      </c>
      <c r="E20" s="24" t="str">
        <f>IF(IF(B20="MDZ140R","",IFERROR((SUMIF($B$3:$B$74,"MDZ140R",$F$3:$F$74)*INDEX($Q$20:$Q$86,MATCH(B20,$N$20:$N$86,0))),""))=0,"",IF(B20="MDZ140R","",IFERROR((SUMIF($B$3:$B$74,"MDZ140R",$F$3:$F$74)*INDEX($Q$20:$Q$86,MATCH(B20,$N$20:$N$86,0))),"")))</f>
        <v/>
      </c>
      <c r="F20" s="42">
        <f t="shared" si="0"/>
        <v>0.42849999999999999</v>
      </c>
      <c r="H20" s="192" t="s">
        <v>98</v>
      </c>
      <c r="I20" s="213" t="str">
        <f>IFERROR(VLOOKUP(H20,$B$3:$F$69,5,FALSE),"")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  <c r="T20" s="56" t="s">
        <v>98</v>
      </c>
      <c r="U20" s="87" t="str">
        <f>IFERROR(VLOOKUP(T20,$B$3:$F$73,5,FALSE),"")</f>
        <v/>
      </c>
      <c r="V20" s="113"/>
    </row>
    <row r="21" spans="2:22" s="1" customFormat="1" x14ac:dyDescent="0.3">
      <c r="B21" s="40" t="s">
        <v>34</v>
      </c>
      <c r="C21" s="41" t="s">
        <v>35</v>
      </c>
      <c r="D21" s="42">
        <v>0.52310000000000001</v>
      </c>
      <c r="E21" s="24" t="str">
        <f>IF(IF(B21="MDZ140R","",IFERROR((SUMIF($B$3:$B$74,"MDZ140R",$F$3:$F$74)*INDEX($Q$20:$Q$86,MATCH(B21,$N$20:$N$86,0))),""))=0,"",IF(B21="MDZ140R","",IFERROR((SUMIF($B$3:$B$74,"MDZ140R",$F$3:$F$74)*INDEX($Q$20:$Q$86,MATCH(B21,$N$20:$N$86,0))),"")))</f>
        <v/>
      </c>
      <c r="F21" s="42">
        <f t="shared" si="0"/>
        <v>0.52310000000000001</v>
      </c>
      <c r="H21" s="192" t="s">
        <v>99</v>
      </c>
      <c r="I21" s="213" t="str">
        <f>IFERROR(VLOOKUP(H21,$B$3:$F$69,5,FALSE),"")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  <c r="T21" s="56" t="s">
        <v>99</v>
      </c>
      <c r="U21" s="87" t="str">
        <f>IFERROR(VLOOKUP(T21,$B$3:$F$73,5,FALSE),"")</f>
        <v/>
      </c>
      <c r="V21" s="113"/>
    </row>
    <row r="22" spans="2:22" s="1" customFormat="1" x14ac:dyDescent="0.3">
      <c r="B22" s="40" t="s">
        <v>36</v>
      </c>
      <c r="C22" s="41" t="s">
        <v>37</v>
      </c>
      <c r="D22" s="42">
        <v>0.84150000000000003</v>
      </c>
      <c r="E22" s="24" t="str">
        <f>IF(IF(B22="MDZ140R","",IFERROR((SUMIF($B$3:$B$74,"MDZ140R",$F$3:$F$74)*INDEX($Q$20:$Q$86,MATCH(B22,$N$20:$N$86,0))),""))=0,"",IF(B22="MDZ140R","",IFERROR((SUMIF($B$3:$B$74,"MDZ140R",$F$3:$F$74)*INDEX($Q$20:$Q$86,MATCH(B22,$N$20:$N$86,0))),"")))</f>
        <v/>
      </c>
      <c r="F22" s="42">
        <f t="shared" si="0"/>
        <v>0.84150000000000003</v>
      </c>
      <c r="H22" s="197" t="s">
        <v>70</v>
      </c>
      <c r="I22" s="213" t="str">
        <f>IFERROR(VLOOKUP(H22,$B$3:$F$69,5,FALSE),"")</f>
        <v/>
      </c>
      <c r="J22" s="198">
        <f>SUM(I22:I36)</f>
        <v>0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  <c r="T22" s="60" t="s">
        <v>70</v>
      </c>
      <c r="U22" s="87" t="str">
        <f>IFERROR(VLOOKUP(T22,$B$3:$F$73,5,FALSE),"")</f>
        <v/>
      </c>
      <c r="V22" s="113">
        <f>SUM(U22:U40)</f>
        <v>0</v>
      </c>
    </row>
    <row r="23" spans="2:22" s="144" customFormat="1" x14ac:dyDescent="0.3">
      <c r="B23" s="179"/>
      <c r="C23" s="180"/>
      <c r="D23" s="181"/>
      <c r="E23" s="182"/>
      <c r="F23" s="181"/>
      <c r="H23" s="199"/>
      <c r="I23" s="214"/>
      <c r="J23" s="186"/>
      <c r="L23" s="183"/>
      <c r="M23" s="183"/>
      <c r="N23" s="183"/>
      <c r="O23" s="183"/>
      <c r="P23" s="185"/>
      <c r="Q23" s="186"/>
      <c r="R23" s="183"/>
      <c r="T23" s="199"/>
      <c r="U23" s="195"/>
      <c r="V23" s="186"/>
    </row>
    <row r="24" spans="2:22" s="144" customFormat="1" x14ac:dyDescent="0.3">
      <c r="B24" s="179"/>
      <c r="C24" s="180"/>
      <c r="D24" s="181"/>
      <c r="E24" s="182"/>
      <c r="F24" s="181"/>
      <c r="H24" s="199"/>
      <c r="I24" s="213"/>
      <c r="J24" s="186"/>
      <c r="L24" s="183"/>
      <c r="M24" s="183"/>
      <c r="N24" s="183"/>
      <c r="O24" s="183"/>
      <c r="P24" s="185"/>
      <c r="Q24" s="186"/>
      <c r="R24" s="183"/>
      <c r="T24" s="199"/>
      <c r="U24" s="195"/>
      <c r="V24" s="186"/>
    </row>
    <row r="25" spans="2:22" s="144" customFormat="1" x14ac:dyDescent="0.3">
      <c r="B25" s="179"/>
      <c r="C25" s="180"/>
      <c r="D25" s="181"/>
      <c r="E25" s="182"/>
      <c r="F25" s="181"/>
      <c r="H25" s="199"/>
      <c r="I25" s="213"/>
      <c r="J25" s="186"/>
      <c r="L25" s="183"/>
      <c r="M25" s="183"/>
      <c r="N25" s="183"/>
      <c r="O25" s="183"/>
      <c r="P25" s="185"/>
      <c r="Q25" s="186"/>
      <c r="R25" s="183"/>
      <c r="T25" s="199"/>
      <c r="U25" s="195"/>
      <c r="V25" s="186"/>
    </row>
    <row r="26" spans="2:22" s="144" customFormat="1" x14ac:dyDescent="0.3">
      <c r="B26" s="179"/>
      <c r="C26" s="180"/>
      <c r="D26" s="181"/>
      <c r="E26" s="182"/>
      <c r="F26" s="181"/>
      <c r="H26" s="199"/>
      <c r="I26" s="213"/>
      <c r="J26" s="186"/>
      <c r="L26" s="183"/>
      <c r="M26" s="183"/>
      <c r="N26" s="183"/>
      <c r="O26" s="183"/>
      <c r="P26" s="185"/>
      <c r="Q26" s="186"/>
      <c r="R26" s="183"/>
      <c r="T26" s="199"/>
      <c r="U26" s="195"/>
      <c r="V26" s="186"/>
    </row>
    <row r="27" spans="2:22" s="144" customFormat="1" x14ac:dyDescent="0.3">
      <c r="B27" s="179"/>
      <c r="C27" s="180"/>
      <c r="D27" s="181"/>
      <c r="E27" s="182"/>
      <c r="F27" s="181"/>
      <c r="H27" s="192"/>
      <c r="I27" s="213"/>
      <c r="J27" s="204"/>
      <c r="L27" s="183"/>
      <c r="M27" s="183"/>
      <c r="N27" s="183"/>
      <c r="O27" s="183"/>
      <c r="P27" s="185"/>
      <c r="Q27" s="186"/>
      <c r="R27" s="183"/>
      <c r="T27" s="199"/>
      <c r="U27" s="195"/>
      <c r="V27" s="186"/>
    </row>
    <row r="28" spans="2:22" s="144" customFormat="1" x14ac:dyDescent="0.3">
      <c r="B28" s="179"/>
      <c r="C28" s="180"/>
      <c r="D28" s="181"/>
      <c r="E28" s="182"/>
      <c r="F28" s="181"/>
      <c r="H28" s="192"/>
      <c r="I28" s="213" t="str">
        <f>IFERROR(VLOOKUP(H28,$B$3:$F$69,5,FALSE),"")</f>
        <v/>
      </c>
      <c r="J28" s="204"/>
      <c r="L28" s="183"/>
      <c r="M28" s="183"/>
      <c r="N28" s="183"/>
      <c r="O28" s="183"/>
      <c r="P28" s="185"/>
      <c r="Q28" s="186"/>
      <c r="R28" s="183"/>
      <c r="T28" s="199"/>
      <c r="U28" s="195"/>
      <c r="V28" s="186"/>
    </row>
    <row r="29" spans="2:22" s="1" customFormat="1" x14ac:dyDescent="0.3">
      <c r="B29" s="40" t="s">
        <v>38</v>
      </c>
      <c r="C29" s="41" t="s">
        <v>39</v>
      </c>
      <c r="D29" s="42">
        <v>0.85419999999999996</v>
      </c>
      <c r="E29" s="24" t="str">
        <f>IF(IF(B29="MDZ140R","",IFERROR((SUMIF($B$3:$B$74,"MDZ140R",$F$3:$F$74)*INDEX($Q$20:$Q$86,MATCH(B29,$N$20:$N$86,0))),""))=0,"",IF(B29="MDZ140R","",IFERROR((SUMIF($B$3:$B$74,"MDZ140R",$F$3:$F$74)*INDEX($Q$20:$Q$86,MATCH(B29,$N$20:$N$86,0))),"")))</f>
        <v/>
      </c>
      <c r="F29" s="42">
        <f t="shared" si="0"/>
        <v>0.85419999999999996</v>
      </c>
      <c r="H29" s="192"/>
      <c r="I29" s="213" t="str">
        <f>IFERROR(VLOOKUP(H29,$B$3:$F$69,5,FALSE),"")</f>
        <v/>
      </c>
      <c r="J29" s="204"/>
      <c r="L29" s="56"/>
      <c r="M29" s="56"/>
      <c r="N29" s="56" t="s">
        <v>14</v>
      </c>
      <c r="O29" s="56" t="s">
        <v>15</v>
      </c>
      <c r="P29" s="125">
        <v>5</v>
      </c>
      <c r="Q29" s="126">
        <v>2.7321999999999999E-2</v>
      </c>
      <c r="R29" s="56"/>
      <c r="T29" s="56"/>
      <c r="U29" s="87" t="str">
        <f>IFERROR(VLOOKUP(T29,$B$3:$F$73,5,FALSE),"")</f>
        <v/>
      </c>
      <c r="V29" s="116"/>
    </row>
    <row r="30" spans="2:22" s="1" customFormat="1" x14ac:dyDescent="0.3">
      <c r="B30" s="40" t="s">
        <v>65</v>
      </c>
      <c r="C30" s="41" t="s">
        <v>40</v>
      </c>
      <c r="D30" s="42">
        <v>0.7137</v>
      </c>
      <c r="E30" s="24" t="str">
        <f>IF(IF(B30="MDZ140R","",IFERROR((SUMIF($B$3:$B$74,"MDZ140R",$F$3:$F$74)*INDEX($Q$20:$Q$86,MATCH(B30,$N$20:$N$86,0))),""))=0,"",IF(B30="MDZ140R","",IFERROR((SUMIF($B$3:$B$74,"MDZ140R",$F$3:$F$74)*INDEX($Q$20:$Q$86,MATCH(B30,$N$20:$N$86,0))),"")))</f>
        <v/>
      </c>
      <c r="F30" s="42">
        <f t="shared" si="0"/>
        <v>0.7137</v>
      </c>
      <c r="H30" s="192"/>
      <c r="I30" s="213" t="str">
        <f>IFERROR(VLOOKUP(H30,$B$3:$F$69,5,FALSE),"")</f>
        <v/>
      </c>
      <c r="J30" s="204"/>
      <c r="L30" s="56"/>
      <c r="M30" s="56"/>
      <c r="N30" s="56" t="s">
        <v>60</v>
      </c>
      <c r="O30" s="56" t="s">
        <v>4</v>
      </c>
      <c r="P30" s="125">
        <v>2</v>
      </c>
      <c r="Q30" s="126">
        <v>1.0928999999999999E-2</v>
      </c>
      <c r="R30" s="56"/>
      <c r="T30" s="56"/>
      <c r="U30" s="87" t="str">
        <f>IFERROR(VLOOKUP(T30,$B$3:$F$73,5,FALSE),"")</f>
        <v/>
      </c>
      <c r="V30" s="116"/>
    </row>
    <row r="31" spans="2:22" s="1" customFormat="1" x14ac:dyDescent="0.3">
      <c r="B31" s="40" t="s">
        <v>41</v>
      </c>
      <c r="C31" s="41" t="s">
        <v>66</v>
      </c>
      <c r="D31" s="42">
        <v>0.84079999999999999</v>
      </c>
      <c r="E31" s="24" t="str">
        <f>IF(IF(B31="MDZ140R","",IFERROR((SUMIF($B$3:$B$74,"MDZ140R",$F$3:$F$74)*INDEX($Q$20:$Q$86,MATCH(B31,$N$20:$N$86,0))),""))=0,"",IF(B31="MDZ140R","",IFERROR((SUMIF($B$3:$B$74,"MDZ140R",$F$3:$F$74)*INDEX($Q$20:$Q$86,MATCH(B31,$N$20:$N$86,0))),"")))</f>
        <v/>
      </c>
      <c r="F31" s="42">
        <f t="shared" si="0"/>
        <v>0.84079999999999999</v>
      </c>
      <c r="H31" s="192"/>
      <c r="I31" s="213" t="str">
        <f>IFERROR(VLOOKUP(H31,$B$3:$F$69,5,FALSE),"")</f>
        <v/>
      </c>
      <c r="J31" s="204"/>
      <c r="L31" s="56"/>
      <c r="M31" s="56"/>
      <c r="N31" s="56" t="s">
        <v>61</v>
      </c>
      <c r="O31" s="56" t="s">
        <v>5</v>
      </c>
      <c r="P31" s="125">
        <v>2</v>
      </c>
      <c r="Q31" s="126">
        <v>1.0928999999999999E-2</v>
      </c>
      <c r="R31" s="56"/>
      <c r="T31" s="56"/>
      <c r="U31" s="87" t="str">
        <f>IFERROR(VLOOKUP(T31,$B$3:$F$73,5,FALSE),"")</f>
        <v/>
      </c>
      <c r="V31" s="116"/>
    </row>
    <row r="32" spans="2:22" s="1" customFormat="1" x14ac:dyDescent="0.3">
      <c r="B32" s="40" t="s">
        <v>42</v>
      </c>
      <c r="C32" s="41" t="s">
        <v>43</v>
      </c>
      <c r="D32" s="42">
        <v>0.77139999999999997</v>
      </c>
      <c r="E32" s="24" t="str">
        <f>IF(IF(B32="MDZ140R","",IFERROR((SUMIF($B$3:$B$74,"MDZ140R",$F$3:$F$74)*INDEX($Q$20:$Q$86,MATCH(B32,$N$20:$N$86,0))),""))=0,"",IF(B32="MDZ140R","",IFERROR((SUMIF($B$3:$B$74,"MDZ140R",$F$3:$F$74)*INDEX($Q$20:$Q$86,MATCH(B32,$N$20:$N$86,0))),"")))</f>
        <v/>
      </c>
      <c r="F32" s="42">
        <f t="shared" si="0"/>
        <v>0.77139999999999997</v>
      </c>
      <c r="H32" s="192"/>
      <c r="I32" s="213" t="str">
        <f>IFERROR(VLOOKUP(H32,$B$3:$F$69,5,FALSE),"")</f>
        <v/>
      </c>
      <c r="J32" s="204"/>
      <c r="L32" s="56"/>
      <c r="M32" s="56"/>
      <c r="N32" s="56" t="s">
        <v>18</v>
      </c>
      <c r="O32" s="56" t="s">
        <v>110</v>
      </c>
      <c r="P32" s="125">
        <v>4</v>
      </c>
      <c r="Q32" s="126">
        <v>2.1857999999999999E-2</v>
      </c>
      <c r="R32" s="56"/>
      <c r="T32" s="56"/>
      <c r="U32" s="87" t="str">
        <f>IFERROR(VLOOKUP(T32,$B$3:$F$73,5,FALSE),"")</f>
        <v/>
      </c>
      <c r="V32" s="116"/>
    </row>
    <row r="33" spans="2:22" s="1" customFormat="1" x14ac:dyDescent="0.3">
      <c r="B33" s="40" t="s">
        <v>44</v>
      </c>
      <c r="C33" s="41" t="s">
        <v>146</v>
      </c>
      <c r="D33" s="42">
        <v>0.3614</v>
      </c>
      <c r="E33" s="24" t="str">
        <f>IF(IF(B33="MDZ140R","",IFERROR((SUMIF($B$3:$B$74,"MDZ140R",$F$3:$F$74)*INDEX($Q$20:$Q$86,MATCH(B33,$N$20:$N$86,0))),""))=0,"",IF(B33="MDZ140R","",IFERROR((SUMIF($B$3:$B$74,"MDZ140R",$F$3:$F$74)*INDEX($Q$20:$Q$86,MATCH(B33,$N$20:$N$86,0))),"")))</f>
        <v/>
      </c>
      <c r="F33" s="42">
        <f t="shared" si="0"/>
        <v>0.3614</v>
      </c>
      <c r="H33" s="205"/>
      <c r="I33" s="213" t="str">
        <f>IFERROR(VLOOKUP(H33,$B$3:$F$69,5,FALSE),"")</f>
        <v/>
      </c>
      <c r="J33" s="204"/>
      <c r="L33" s="56"/>
      <c r="M33" s="56"/>
      <c r="N33" s="56" t="s">
        <v>24</v>
      </c>
      <c r="O33" s="56" t="s">
        <v>111</v>
      </c>
      <c r="P33" s="125">
        <v>1</v>
      </c>
      <c r="Q33" s="126">
        <v>5.4640000000000001E-3</v>
      </c>
      <c r="R33" s="56"/>
      <c r="T33" s="56"/>
      <c r="U33" s="87" t="str">
        <f>IFERROR(VLOOKUP(T33,$B$3:$F$73,5,FALSE),"")</f>
        <v/>
      </c>
      <c r="V33" s="116"/>
    </row>
    <row r="34" spans="2:22" s="1" customFormat="1" x14ac:dyDescent="0.3">
      <c r="B34" s="40" t="s">
        <v>45</v>
      </c>
      <c r="C34" s="41" t="s">
        <v>183</v>
      </c>
      <c r="D34" s="42">
        <v>0.80269999999999997</v>
      </c>
      <c r="E34" s="24" t="str">
        <f>IF(IF(B34="MDZ140R","",IFERROR((SUMIF($B$3:$B$74,"MDZ140R",$F$3:$F$74)*INDEX($Q$20:$Q$86,MATCH(B34,$N$20:$N$86,0))),""))=0,"",IF(B34="MDZ140R","",IFERROR((SUMIF($B$3:$B$74,"MDZ140R",$F$3:$F$74)*INDEX($Q$20:$Q$86,MATCH(B34,$N$20:$N$86,0))),"")))</f>
        <v/>
      </c>
      <c r="F34" s="42">
        <f t="shared" si="0"/>
        <v>0.80269999999999997</v>
      </c>
      <c r="H34" s="192"/>
      <c r="I34" s="213" t="str">
        <f>IFERROR(VLOOKUP(H34,$B$3:$F$69,5,FALSE),"")</f>
        <v/>
      </c>
      <c r="J34" s="198"/>
      <c r="L34" s="56"/>
      <c r="M34" s="56"/>
      <c r="N34" s="56" t="s">
        <v>64</v>
      </c>
      <c r="O34" s="127">
        <v>4020</v>
      </c>
      <c r="P34" s="125">
        <v>3</v>
      </c>
      <c r="Q34" s="126">
        <v>1.6393000000000001E-2</v>
      </c>
      <c r="R34" s="56"/>
      <c r="T34" s="56"/>
      <c r="U34" s="87" t="str">
        <f>IFERROR(VLOOKUP(T34,$B$3:$F$73,5,FALSE),"")</f>
        <v/>
      </c>
      <c r="V34" s="116"/>
    </row>
    <row r="35" spans="2:22" s="1" customFormat="1" x14ac:dyDescent="0.3">
      <c r="B35" s="40" t="s">
        <v>46</v>
      </c>
      <c r="C35" s="41" t="s">
        <v>47</v>
      </c>
      <c r="D35" s="42">
        <v>0.6925</v>
      </c>
      <c r="E35" s="24" t="str">
        <f>IF(IF(B35="MDZ140R","",IFERROR((SUMIF($B$3:$B$74,"MDZ140R",$F$3:$F$74)*INDEX($Q$20:$Q$86,MATCH(B35,$N$20:$N$86,0))),""))=0,"",IF(B35="MDZ140R","",IFERROR((SUMIF($B$3:$B$74,"MDZ140R",$F$3:$F$74)*INDEX($Q$20:$Q$86,MATCH(B35,$N$20:$N$86,0))),"")))</f>
        <v/>
      </c>
      <c r="F35" s="42">
        <f t="shared" si="0"/>
        <v>0.6925</v>
      </c>
      <c r="H35" s="192"/>
      <c r="I35" s="213" t="str">
        <f>IFERROR(VLOOKUP(H35,$B$3:$F$69,5,FALSE),"")</f>
        <v/>
      </c>
      <c r="J35" s="198"/>
      <c r="L35" s="56"/>
      <c r="M35" s="56"/>
      <c r="N35" s="56" t="s">
        <v>34</v>
      </c>
      <c r="O35" s="56" t="s">
        <v>112</v>
      </c>
      <c r="P35" s="125">
        <v>2</v>
      </c>
      <c r="Q35" s="126">
        <v>1.0928999999999999E-2</v>
      </c>
      <c r="R35" s="56"/>
      <c r="T35" s="117"/>
      <c r="U35" s="87" t="str">
        <f>IFERROR(VLOOKUP(T35,$B$3:$F$73,5,FALSE),"")</f>
        <v/>
      </c>
      <c r="V35" s="116"/>
    </row>
    <row r="36" spans="2:22" s="1" customFormat="1" x14ac:dyDescent="0.3">
      <c r="B36" s="40" t="s">
        <v>48</v>
      </c>
      <c r="C36" s="41" t="s">
        <v>49</v>
      </c>
      <c r="D36" s="42">
        <v>7.1800000000000003E-2</v>
      </c>
      <c r="E36" s="24" t="str">
        <f>IF(IF(B36="MDZ140R","",IFERROR((SUMIF($B$3:$B$74,"MDZ140R",$F$3:$F$74)*INDEX($Q$20:$Q$86,MATCH(B36,$N$20:$N$86,0))),""))=0,"",IF(B36="MDZ140R","",IFERROR((SUMIF($B$3:$B$74,"MDZ140R",$F$3:$F$74)*INDEX($Q$20:$Q$86,MATCH(B36,$N$20:$N$86,0))),"")))</f>
        <v/>
      </c>
      <c r="F36" s="42">
        <f t="shared" si="0"/>
        <v>7.1800000000000003E-2</v>
      </c>
      <c r="H36" s="189"/>
      <c r="I36" s="213" t="str">
        <f>IFERROR(VLOOKUP(H36,$B$3:$F$69,5,FALSE),"")</f>
        <v/>
      </c>
      <c r="J36" s="198"/>
      <c r="L36" s="56"/>
      <c r="M36" s="56"/>
      <c r="N36" s="56" t="s">
        <v>63</v>
      </c>
      <c r="O36" s="56" t="s">
        <v>23</v>
      </c>
      <c r="P36" s="125">
        <v>1</v>
      </c>
      <c r="Q36" s="126">
        <v>5.4640000000000001E-3</v>
      </c>
      <c r="R36" s="56"/>
      <c r="T36" s="56"/>
      <c r="U36" s="87" t="str">
        <f>IFERROR(VLOOKUP(T36,$B$3:$F$73,5,FALSE),"")</f>
        <v/>
      </c>
      <c r="V36" s="113"/>
    </row>
    <row r="37" spans="2:22" s="1" customFormat="1" x14ac:dyDescent="0.3">
      <c r="B37" s="40" t="s">
        <v>50</v>
      </c>
      <c r="C37" s="41" t="s">
        <v>51</v>
      </c>
      <c r="D37" s="42">
        <v>4.8500000000000001E-2</v>
      </c>
      <c r="E37" s="24" t="str">
        <f>IF(IF(B37="MDZ140R","",IFERROR((SUMIF($B$3:$B$74,"MDZ140R",$F$3:$F$74)*INDEX($Q$20:$Q$86,MATCH(B37,$N$20:$N$86,0))),""))=0,"",IF(B37="MDZ140R","",IFERROR((SUMIF($B$3:$B$74,"MDZ140R",$F$3:$F$74)*INDEX($Q$20:$Q$86,MATCH(B37,$N$20:$N$86,0))),"")))</f>
        <v/>
      </c>
      <c r="F37" s="42">
        <f t="shared" si="0"/>
        <v>4.8500000000000001E-2</v>
      </c>
      <c r="H37" s="189" t="s">
        <v>72</v>
      </c>
      <c r="I37" s="213" t="str">
        <f>IFERROR(VLOOKUP(H37,$B$3:$F$69,5,FALSE),"")</f>
        <v/>
      </c>
      <c r="J37" s="191">
        <f>SUM(I37:I82)</f>
        <v>7.3999999999999996E-2</v>
      </c>
      <c r="L37" s="56"/>
      <c r="M37" s="56"/>
      <c r="N37" s="56" t="s">
        <v>7</v>
      </c>
      <c r="O37" s="56" t="s">
        <v>8</v>
      </c>
      <c r="P37" s="125">
        <v>1</v>
      </c>
      <c r="Q37" s="126">
        <v>5.4640000000000001E-3</v>
      </c>
      <c r="R37" s="56"/>
      <c r="T37" s="56"/>
      <c r="U37" s="87" t="str">
        <f>IFERROR(VLOOKUP(T37,$B$3:$F$73,5,FALSE),"")</f>
        <v/>
      </c>
      <c r="V37" s="113"/>
    </row>
    <row r="38" spans="2:22" s="144" customFormat="1" x14ac:dyDescent="0.3">
      <c r="B38" s="179"/>
      <c r="C38" s="180"/>
      <c r="D38" s="181"/>
      <c r="E38" s="182"/>
      <c r="F38" s="181"/>
      <c r="H38" s="183" t="s">
        <v>386</v>
      </c>
      <c r="I38" s="214">
        <v>7.3999999999999996E-2</v>
      </c>
      <c r="J38" s="184"/>
      <c r="L38" s="183"/>
      <c r="M38" s="183"/>
      <c r="N38" s="183"/>
      <c r="O38" s="183"/>
      <c r="P38" s="185"/>
      <c r="Q38" s="186"/>
      <c r="R38" s="183"/>
      <c r="T38" s="183"/>
      <c r="U38" s="195"/>
      <c r="V38" s="186"/>
    </row>
    <row r="39" spans="2:22" s="144" customFormat="1" x14ac:dyDescent="0.3">
      <c r="B39" s="179"/>
      <c r="C39" s="180"/>
      <c r="D39" s="181"/>
      <c r="E39" s="182"/>
      <c r="F39" s="181"/>
      <c r="H39" s="183"/>
      <c r="I39" s="215"/>
      <c r="J39" s="184"/>
      <c r="L39" s="183"/>
      <c r="M39" s="183"/>
      <c r="N39" s="183"/>
      <c r="O39" s="183"/>
      <c r="P39" s="185"/>
      <c r="Q39" s="186"/>
      <c r="R39" s="183"/>
      <c r="T39" s="183"/>
      <c r="U39" s="195"/>
      <c r="V39" s="186"/>
    </row>
    <row r="40" spans="2:22" s="1" customFormat="1" x14ac:dyDescent="0.3">
      <c r="B40" s="40" t="s">
        <v>52</v>
      </c>
      <c r="C40" s="41" t="s">
        <v>184</v>
      </c>
      <c r="D40" s="42">
        <v>0.34699999999999998</v>
      </c>
      <c r="E40" s="24" t="str">
        <f>IF(IF(B40="MDZ140R","",IFERROR((SUMIF($B$3:$B$74,"MDZ140R",$F$3:$F$74)*INDEX($Q$20:$Q$86,MATCH(B40,$N$20:$N$86,0))),""))=0,"",IF(B40="MDZ140R","",IFERROR((SUMIF($B$3:$B$74,"MDZ140R",$F$3:$F$74)*INDEX($Q$20:$Q$86,MATCH(B40,$N$20:$N$86,0))),"")))</f>
        <v/>
      </c>
      <c r="F40" s="42">
        <f t="shared" si="0"/>
        <v>0.34699999999999998</v>
      </c>
      <c r="H40" s="183"/>
      <c r="I40" s="213"/>
      <c r="J40" s="184"/>
      <c r="L40" s="56"/>
      <c r="M40" s="56"/>
      <c r="N40" s="56" t="s">
        <v>27</v>
      </c>
      <c r="O40" s="56" t="s">
        <v>113</v>
      </c>
      <c r="P40" s="125">
        <v>1</v>
      </c>
      <c r="Q40" s="126">
        <v>5.4640000000000001E-3</v>
      </c>
      <c r="R40" s="56"/>
      <c r="T40" s="59"/>
      <c r="U40" s="87" t="str">
        <f>IFERROR(VLOOKUP(T40,$B$3:$F$73,5,FALSE),"")</f>
        <v/>
      </c>
      <c r="V40" s="113"/>
    </row>
    <row r="41" spans="2:22" s="144" customFormat="1" x14ac:dyDescent="0.3">
      <c r="B41" s="179"/>
      <c r="C41" s="180"/>
      <c r="D41" s="181"/>
      <c r="E41" s="182"/>
      <c r="F41" s="181"/>
      <c r="H41" s="183"/>
      <c r="I41" s="213"/>
      <c r="J41" s="184"/>
      <c r="L41" s="183"/>
      <c r="M41" s="183"/>
      <c r="N41" s="183"/>
      <c r="O41" s="183"/>
      <c r="P41" s="185"/>
      <c r="Q41" s="186"/>
      <c r="R41" s="183"/>
      <c r="T41" s="183"/>
      <c r="U41" s="195"/>
      <c r="V41" s="186"/>
    </row>
    <row r="42" spans="2:22" s="144" customFormat="1" x14ac:dyDescent="0.3">
      <c r="B42" s="179"/>
      <c r="C42" s="180"/>
      <c r="D42" s="181"/>
      <c r="E42" s="182"/>
      <c r="F42" s="181"/>
      <c r="H42" s="189"/>
      <c r="I42" s="213"/>
      <c r="J42" s="191"/>
      <c r="L42" s="183"/>
      <c r="M42" s="183"/>
      <c r="N42" s="183"/>
      <c r="O42" s="183"/>
      <c r="P42" s="185"/>
      <c r="Q42" s="186"/>
      <c r="R42" s="183"/>
      <c r="T42" s="183"/>
      <c r="U42" s="195"/>
      <c r="V42" s="184"/>
    </row>
    <row r="43" spans="2:22" s="144" customFormat="1" x14ac:dyDescent="0.3">
      <c r="B43" s="179"/>
      <c r="C43" s="180"/>
      <c r="D43" s="181"/>
      <c r="E43" s="182"/>
      <c r="F43" s="181"/>
      <c r="H43" s="192"/>
      <c r="I43" s="213"/>
      <c r="J43" s="206"/>
      <c r="L43" s="183"/>
      <c r="M43" s="183"/>
      <c r="N43" s="183"/>
      <c r="O43" s="183"/>
      <c r="P43" s="185"/>
      <c r="Q43" s="186"/>
      <c r="R43" s="183"/>
      <c r="T43" s="183"/>
      <c r="U43" s="195"/>
      <c r="V43" s="184"/>
    </row>
    <row r="44" spans="2:22" s="144" customFormat="1" x14ac:dyDescent="0.3">
      <c r="B44" s="179"/>
      <c r="C44" s="180"/>
      <c r="D44" s="181"/>
      <c r="E44" s="182"/>
      <c r="F44" s="181"/>
      <c r="H44" s="192"/>
      <c r="I44" s="213" t="str">
        <f>IFERROR(VLOOKUP(H44,$B$3:$F$69,5,FALSE),"")</f>
        <v/>
      </c>
      <c r="J44" s="206"/>
      <c r="L44" s="183"/>
      <c r="M44" s="183"/>
      <c r="N44" s="183"/>
      <c r="O44" s="183"/>
      <c r="P44" s="185"/>
      <c r="Q44" s="186"/>
      <c r="R44" s="183"/>
      <c r="T44" s="183"/>
      <c r="U44" s="195"/>
      <c r="V44" s="184"/>
    </row>
    <row r="45" spans="2:22" s="144" customFormat="1" x14ac:dyDescent="0.3">
      <c r="B45" s="179"/>
      <c r="C45" s="180"/>
      <c r="D45" s="181"/>
      <c r="E45" s="182"/>
      <c r="F45" s="181"/>
      <c r="H45" s="192"/>
      <c r="I45" s="213" t="str">
        <f>IFERROR(VLOOKUP(H45,$B$3:$F$69,5,FALSE),"")</f>
        <v/>
      </c>
      <c r="J45" s="206"/>
      <c r="L45" s="183"/>
      <c r="M45" s="183"/>
      <c r="N45" s="183"/>
      <c r="O45" s="183"/>
      <c r="P45" s="185"/>
      <c r="Q45" s="186"/>
      <c r="R45" s="183"/>
      <c r="T45" s="183"/>
      <c r="U45" s="195"/>
      <c r="V45" s="184"/>
    </row>
    <row r="46" spans="2:22" s="144" customFormat="1" x14ac:dyDescent="0.3">
      <c r="B46" s="179"/>
      <c r="C46" s="180"/>
      <c r="D46" s="181"/>
      <c r="E46" s="182"/>
      <c r="F46" s="181"/>
      <c r="H46" s="192"/>
      <c r="I46" s="213" t="str">
        <f>IFERROR(VLOOKUP(H46,$B$3:$F$69,5,FALSE),"")</f>
        <v/>
      </c>
      <c r="J46" s="206"/>
      <c r="L46" s="183"/>
      <c r="M46" s="183"/>
      <c r="N46" s="183"/>
      <c r="O46" s="183"/>
      <c r="P46" s="185"/>
      <c r="Q46" s="186"/>
      <c r="R46" s="183"/>
      <c r="T46" s="183"/>
      <c r="U46" s="195"/>
      <c r="V46" s="184"/>
    </row>
    <row r="47" spans="2:22" s="144" customFormat="1" x14ac:dyDescent="0.3">
      <c r="B47" s="179"/>
      <c r="C47" s="180"/>
      <c r="D47" s="181"/>
      <c r="E47" s="182"/>
      <c r="F47" s="181"/>
      <c r="H47" s="192"/>
      <c r="I47" s="213" t="str">
        <f>IFERROR(VLOOKUP(H47,$B$3:$F$69,5,FALSE),"")</f>
        <v/>
      </c>
      <c r="J47" s="206"/>
      <c r="L47" s="183"/>
      <c r="M47" s="183"/>
      <c r="N47" s="183"/>
      <c r="O47" s="183"/>
      <c r="P47" s="185"/>
      <c r="Q47" s="186"/>
      <c r="R47" s="183"/>
      <c r="T47" s="189"/>
      <c r="U47" s="190"/>
      <c r="V47" s="191"/>
    </row>
    <row r="48" spans="2:22" s="144" customFormat="1" x14ac:dyDescent="0.3">
      <c r="B48" s="179"/>
      <c r="C48" s="180"/>
      <c r="D48" s="181"/>
      <c r="E48" s="182"/>
      <c r="F48" s="181"/>
      <c r="H48" s="192"/>
      <c r="I48" s="213" t="str">
        <f>IFERROR(VLOOKUP(H48,$B$3:$F$69,5,FALSE),"")</f>
        <v/>
      </c>
      <c r="J48" s="206"/>
      <c r="L48" s="183"/>
      <c r="M48" s="183"/>
      <c r="N48" s="183"/>
      <c r="O48" s="183"/>
      <c r="P48" s="185"/>
      <c r="Q48" s="186"/>
      <c r="R48" s="183"/>
      <c r="T48" s="183"/>
      <c r="U48" s="87"/>
      <c r="V48" s="184"/>
    </row>
    <row r="49" spans="2:22" s="144" customFormat="1" x14ac:dyDescent="0.3">
      <c r="B49" s="40" t="s">
        <v>55</v>
      </c>
      <c r="C49" s="89" t="s">
        <v>56</v>
      </c>
      <c r="D49" s="42">
        <v>0.61050000000000004</v>
      </c>
      <c r="E49" s="24" t="str">
        <f>IF(IF(B49="MDZ140R","",IFERROR((SUMIF($B$3:$B$74,"MDZ140R",$F$3:$F$74)*INDEX($Q$20:$Q$86,MATCH(B49,$N$20:$N$86,0))),""))=0,"",IF(B49="MDZ140R","",IFERROR((SUMIF($B$3:$B$74,"MDZ140R",$F$3:$F$74)*INDEX($Q$20:$Q$86,MATCH(B49,$N$20:$N$86,0))),"")))</f>
        <v/>
      </c>
      <c r="F49" s="42">
        <f t="shared" ref="F49:F69" si="2">IF(D49="","",D49+ IF(E49="",0,E49))</f>
        <v>0.61050000000000004</v>
      </c>
      <c r="H49" s="192"/>
      <c r="I49" s="213" t="str">
        <f>IFERROR(VLOOKUP(H49,$B$3:$F$69,5,FALSE),"")</f>
        <v/>
      </c>
      <c r="J49" s="206"/>
      <c r="L49" s="145"/>
      <c r="M49" s="145"/>
      <c r="N49" s="145"/>
      <c r="O49" s="145"/>
      <c r="P49" s="147"/>
      <c r="Q49" s="148"/>
      <c r="R49" s="145"/>
      <c r="T49" s="145"/>
      <c r="U49" s="87"/>
      <c r="V49" s="146"/>
    </row>
    <row r="50" spans="2:22" s="1" customFormat="1" x14ac:dyDescent="0.3">
      <c r="B50" s="89" t="s">
        <v>114</v>
      </c>
      <c r="C50" s="141" t="s">
        <v>115</v>
      </c>
      <c r="D50" s="42">
        <v>0.80359999999999998</v>
      </c>
      <c r="E50" s="24" t="str">
        <f>IF(IF(B50="MDZ140R","",IFERROR((SUMIF($B$3:$B$74,"MDZ140R",$F$3:$F$74)*INDEX($Q$20:$Q$86,MATCH(B50,$N$20:$N$86,0))),""))=0,"",IF(B50="MDZ140R","",IFERROR((SUMIF($B$3:$B$74,"MDZ140R",$F$3:$F$74)*INDEX($Q$20:$Q$86,MATCH(B50,$N$20:$N$86,0))),"")))</f>
        <v/>
      </c>
      <c r="F50" s="42">
        <f t="shared" si="2"/>
        <v>0.80359999999999998</v>
      </c>
      <c r="H50" s="192"/>
      <c r="I50" s="213" t="str">
        <f>IFERROR(VLOOKUP(H50,$B$3:$F$69,5,FALSE),"")</f>
        <v/>
      </c>
      <c r="J50" s="206"/>
      <c r="L50" s="56"/>
      <c r="M50" s="56"/>
      <c r="N50" s="56"/>
      <c r="O50" s="56"/>
      <c r="P50" s="125"/>
      <c r="Q50" s="126"/>
      <c r="R50" s="56"/>
      <c r="T50" s="56"/>
      <c r="U50" s="87" t="str">
        <f>IFERROR(VLOOKUP(T50,$B$3:$F$73,5,FALSE),"")</f>
        <v/>
      </c>
      <c r="V50" s="129"/>
    </row>
    <row r="51" spans="2:22" s="1" customFormat="1" x14ac:dyDescent="0.3">
      <c r="B51" s="89" t="s">
        <v>116</v>
      </c>
      <c r="C51" s="89" t="s">
        <v>117</v>
      </c>
      <c r="D51" s="42">
        <v>0.89659999999999995</v>
      </c>
      <c r="E51" s="24" t="str">
        <f>IF(IF(B51="MDZ140R","",IFERROR((SUMIF($B$3:$B$74,"MDZ140R",$F$3:$F$74)*INDEX($Q$20:$Q$86,MATCH(B51,$N$20:$N$86,0))),""))=0,"",IF(B51="MDZ140R","",IFERROR((SUMIF($B$3:$B$74,"MDZ140R",$F$3:$F$74)*INDEX($Q$20:$Q$86,MATCH(B51,$N$20:$N$86,0))),"")))</f>
        <v/>
      </c>
      <c r="F51" s="42">
        <f t="shared" si="2"/>
        <v>0.89659999999999995</v>
      </c>
      <c r="H51" s="192"/>
      <c r="I51" s="213" t="str">
        <f>IFERROR(VLOOKUP(H51,$B$3:$F$69,5,FALSE),"")</f>
        <v/>
      </c>
      <c r="J51" s="206"/>
      <c r="L51" s="56"/>
      <c r="M51" s="56"/>
      <c r="N51" s="56"/>
      <c r="O51" s="56"/>
      <c r="P51" s="125"/>
      <c r="Q51" s="126"/>
      <c r="R51" s="56"/>
      <c r="T51" s="56"/>
      <c r="U51" s="87" t="str">
        <f>IFERROR(VLOOKUP(T51,$B$3:$F$73,5,FALSE),"")</f>
        <v/>
      </c>
      <c r="V51" s="129"/>
    </row>
    <row r="52" spans="2:22" s="1" customFormat="1" x14ac:dyDescent="0.3">
      <c r="B52" s="89" t="s">
        <v>87</v>
      </c>
      <c r="C52" s="89" t="s">
        <v>118</v>
      </c>
      <c r="D52" s="42">
        <v>0.55889999999999995</v>
      </c>
      <c r="E52" s="24" t="str">
        <f>IF(IF(B52="MDZ140R","",IFERROR((SUMIF($B$3:$B$74,"MDZ140R",$F$3:$F$74)*INDEX($Q$20:$Q$86,MATCH(B52,$N$20:$N$86,0))),""))=0,"",IF(B52="MDZ140R","",IFERROR((SUMIF($B$3:$B$74,"MDZ140R",$F$3:$F$74)*INDEX($Q$20:$Q$86,MATCH(B52,$N$20:$N$86,0))),"")))</f>
        <v/>
      </c>
      <c r="F52" s="42">
        <f t="shared" si="2"/>
        <v>0.55889999999999995</v>
      </c>
      <c r="H52" s="192"/>
      <c r="I52" s="213" t="str">
        <f>IFERROR(VLOOKUP(H52,$B$3:$F$69,5,FALSE),"")</f>
        <v/>
      </c>
      <c r="J52" s="206"/>
      <c r="L52" s="56"/>
      <c r="M52" s="56"/>
      <c r="N52" s="56"/>
      <c r="O52" s="56"/>
      <c r="P52" s="125"/>
      <c r="Q52" s="126"/>
      <c r="R52" s="56"/>
      <c r="T52" s="56"/>
      <c r="U52" s="87" t="str">
        <f>IFERROR(VLOOKUP(T52,$B$3:$F$73,5,FALSE),"")</f>
        <v/>
      </c>
      <c r="V52" s="129"/>
    </row>
    <row r="53" spans="2:22" s="1" customFormat="1" x14ac:dyDescent="0.3">
      <c r="B53" s="89" t="s">
        <v>119</v>
      </c>
      <c r="C53" s="89" t="s">
        <v>120</v>
      </c>
      <c r="D53" s="42">
        <v>0.46700000000000003</v>
      </c>
      <c r="E53" s="24" t="str">
        <f>IF(IF(B53="MDZ140R","",IFERROR((SUMIF($B$3:$B$74,"MDZ140R",$F$3:$F$74)*INDEX($Q$20:$Q$86,MATCH(B53,$N$20:$N$86,0))),""))=0,"",IF(B53="MDZ140R","",IFERROR((SUMIF($B$3:$B$74,"MDZ140R",$F$3:$F$74)*INDEX($Q$20:$Q$86,MATCH(B53,$N$20:$N$86,0))),"")))</f>
        <v/>
      </c>
      <c r="F53" s="42">
        <f t="shared" si="2"/>
        <v>0.46700000000000003</v>
      </c>
      <c r="H53" s="192"/>
      <c r="I53" s="213" t="str">
        <f>IFERROR(VLOOKUP(H53,$B$3:$F$69,5,FALSE),"")</f>
        <v/>
      </c>
      <c r="J53" s="206"/>
      <c r="L53" s="56"/>
      <c r="M53" s="56"/>
      <c r="N53" s="56"/>
      <c r="O53" s="56"/>
      <c r="P53" s="125"/>
      <c r="Q53" s="126"/>
      <c r="R53" s="56"/>
      <c r="T53" s="56"/>
      <c r="U53" s="87" t="str">
        <f>IFERROR(VLOOKUP(T53,$B$3:$F$73,5,FALSE),"")</f>
        <v/>
      </c>
      <c r="V53" s="129"/>
    </row>
    <row r="54" spans="2:22" s="1" customFormat="1" x14ac:dyDescent="0.3">
      <c r="B54" s="89" t="s">
        <v>121</v>
      </c>
      <c r="C54" s="89" t="s">
        <v>122</v>
      </c>
      <c r="D54" s="42">
        <v>0.36759999999999998</v>
      </c>
      <c r="E54" s="24" t="str">
        <f>IF(IF(B54="MDZ140R","",IFERROR((SUMIF($B$3:$B$74,"MDZ140R",$F$3:$F$74)*INDEX($Q$20:$Q$86,MATCH(B54,$N$20:$N$86,0))),""))=0,"",IF(B54="MDZ140R","",IFERROR((SUMIF($B$3:$B$74,"MDZ140R",$F$3:$F$74)*INDEX($Q$20:$Q$86,MATCH(B54,$N$20:$N$86,0))),"")))</f>
        <v/>
      </c>
      <c r="F54" s="42">
        <f t="shared" si="2"/>
        <v>0.36759999999999998</v>
      </c>
      <c r="H54" s="192"/>
      <c r="I54" s="213" t="str">
        <f>IFERROR(VLOOKUP(H54,$B$3:$F$69,5,FALSE),"")</f>
        <v/>
      </c>
      <c r="J54" s="206"/>
      <c r="L54" s="56"/>
      <c r="M54" s="56"/>
      <c r="N54" s="56"/>
      <c r="O54" s="56"/>
      <c r="P54" s="125"/>
      <c r="Q54" s="126"/>
      <c r="R54" s="56"/>
      <c r="T54" s="56"/>
      <c r="U54" s="87" t="str">
        <f>IFERROR(VLOOKUP(T54,$B$3:$F$73,5,FALSE),"")</f>
        <v/>
      </c>
      <c r="V54" s="129"/>
    </row>
    <row r="55" spans="2:22" s="1" customFormat="1" x14ac:dyDescent="0.3">
      <c r="B55" s="89" t="s">
        <v>123</v>
      </c>
      <c r="C55" s="89" t="s">
        <v>124</v>
      </c>
      <c r="D55" s="42">
        <v>0.37890000000000001</v>
      </c>
      <c r="E55" s="24" t="str">
        <f>IF(IF(B55="MDZ140R","",IFERROR((SUMIF($B$3:$B$74,"MDZ140R",$F$3:$F$74)*INDEX($Q$20:$Q$86,MATCH(B55,$N$20:$N$86,0))),""))=0,"",IF(B55="MDZ140R","",IFERROR((SUMIF($B$3:$B$74,"MDZ140R",$F$3:$F$74)*INDEX($Q$20:$Q$86,MATCH(B55,$N$20:$N$86,0))),"")))</f>
        <v/>
      </c>
      <c r="F55" s="42">
        <f t="shared" si="2"/>
        <v>0.37890000000000001</v>
      </c>
      <c r="H55" s="192"/>
      <c r="I55" s="213" t="str">
        <f>IFERROR(VLOOKUP(H55,$B$3:$F$69,5,FALSE),"")</f>
        <v/>
      </c>
      <c r="J55" s="206"/>
      <c r="L55" s="56"/>
      <c r="M55" s="56"/>
      <c r="N55" s="56"/>
      <c r="O55" s="56"/>
      <c r="P55" s="125"/>
      <c r="Q55" s="126"/>
      <c r="R55" s="56"/>
      <c r="T55" s="56"/>
      <c r="U55" s="87" t="str">
        <f>IFERROR(VLOOKUP(T55,$B$3:$F$73,5,FALSE),"")</f>
        <v/>
      </c>
      <c r="V55" s="129"/>
    </row>
    <row r="56" spans="2:22" s="1" customFormat="1" x14ac:dyDescent="0.3">
      <c r="B56" s="89" t="s">
        <v>125</v>
      </c>
      <c r="C56" s="89" t="s">
        <v>126</v>
      </c>
      <c r="D56" s="42">
        <v>0.90859999999999996</v>
      </c>
      <c r="E56" s="24" t="str">
        <f>IF(IF(B56="MDZ140R","",IFERROR((SUMIF($B$3:$B$74,"MDZ140R",$F$3:$F$74)*INDEX($Q$20:$Q$86,MATCH(B56,$N$20:$N$86,0))),""))=0,"",IF(B56="MDZ140R","",IFERROR((SUMIF($B$3:$B$74,"MDZ140R",$F$3:$F$74)*INDEX($Q$20:$Q$86,MATCH(B56,$N$20:$N$86,0))),"")))</f>
        <v/>
      </c>
      <c r="F56" s="42">
        <f t="shared" si="2"/>
        <v>0.90859999999999996</v>
      </c>
      <c r="H56" s="192"/>
      <c r="I56" s="213" t="str">
        <f>IFERROR(VLOOKUP(H56,$B$3:$F$69,5,FALSE),"")</f>
        <v/>
      </c>
      <c r="J56" s="206"/>
      <c r="L56" s="56"/>
      <c r="M56" s="56"/>
      <c r="N56" s="56"/>
      <c r="O56" s="56"/>
      <c r="P56" s="125"/>
      <c r="Q56" s="126"/>
      <c r="R56" s="56"/>
      <c r="T56" s="56"/>
      <c r="U56" s="87" t="str">
        <f>IFERROR(VLOOKUP(T56,$B$3:$F$73,5,FALSE),"")</f>
        <v/>
      </c>
      <c r="V56" s="129"/>
    </row>
    <row r="57" spans="2:22" s="1" customFormat="1" x14ac:dyDescent="0.3">
      <c r="B57" s="89" t="s">
        <v>94</v>
      </c>
      <c r="C57" s="89" t="s">
        <v>127</v>
      </c>
      <c r="D57" s="42">
        <v>0.70540000000000003</v>
      </c>
      <c r="E57" s="24" t="str">
        <f>IF(IF(B57="MDZ140R","",IFERROR((SUMIF($B$3:$B$74,"MDZ140R",$F$3:$F$74)*INDEX($Q$20:$Q$86,MATCH(B57,$N$20:$N$86,0))),""))=0,"",IF(B57="MDZ140R","",IFERROR((SUMIF($B$3:$B$74,"MDZ140R",$F$3:$F$74)*INDEX($Q$20:$Q$86,MATCH(B57,$N$20:$N$86,0))),"")))</f>
        <v/>
      </c>
      <c r="F57" s="42">
        <f t="shared" si="2"/>
        <v>0.70540000000000003</v>
      </c>
      <c r="H57" s="192"/>
      <c r="I57" s="213" t="str">
        <f>IFERROR(VLOOKUP(H57,$B$3:$F$69,5,FALSE),"")</f>
        <v/>
      </c>
      <c r="J57" s="206"/>
      <c r="L57" s="56"/>
      <c r="M57" s="56"/>
      <c r="N57" s="56"/>
      <c r="O57" s="56"/>
      <c r="P57" s="125"/>
      <c r="Q57" s="126"/>
      <c r="R57" s="56"/>
      <c r="T57" s="56"/>
      <c r="U57" s="87" t="str">
        <f>IFERROR(VLOOKUP(T57,$B$3:$F$73,5,FALSE),"")</f>
        <v/>
      </c>
      <c r="V57" s="129"/>
    </row>
    <row r="58" spans="2:22" s="1" customFormat="1" x14ac:dyDescent="0.3">
      <c r="B58" s="89" t="s">
        <v>95</v>
      </c>
      <c r="C58" s="89" t="s">
        <v>128</v>
      </c>
      <c r="D58" s="11">
        <v>0.2908</v>
      </c>
      <c r="E58" s="24" t="str">
        <f>IF(IF(B58="MDZ140R","",IFERROR((SUMIF($B$3:$B$74,"MDZ140R",$F$3:$F$74)*INDEX($Q$20:$Q$86,MATCH(B58,$N$20:$N$86,0))),""))=0,"",IF(B58="MDZ140R","",IFERROR((SUMIF($B$3:$B$74,"MDZ140R",$F$3:$F$74)*INDEX($Q$20:$Q$86,MATCH(B58,$N$20:$N$86,0))),"")))</f>
        <v/>
      </c>
      <c r="F58" s="42">
        <f t="shared" si="2"/>
        <v>0.2908</v>
      </c>
      <c r="H58" s="192"/>
      <c r="I58" s="213" t="str">
        <f>IFERROR(VLOOKUP(H58,$B$3:$F$69,5,FALSE),"")</f>
        <v/>
      </c>
      <c r="J58" s="206"/>
      <c r="L58" s="56"/>
      <c r="M58" s="56"/>
      <c r="N58" s="56"/>
      <c r="O58" s="56"/>
      <c r="P58" s="125"/>
      <c r="Q58" s="126"/>
      <c r="R58" s="56"/>
      <c r="T58" s="56"/>
      <c r="U58" s="87" t="str">
        <f>IFERROR(VLOOKUP(T58,$B$3:$F$73,5,FALSE),"")</f>
        <v/>
      </c>
      <c r="V58" s="129"/>
    </row>
    <row r="59" spans="2:22" s="1" customFormat="1" x14ac:dyDescent="0.3">
      <c r="B59" s="89" t="s">
        <v>129</v>
      </c>
      <c r="C59" s="89" t="s">
        <v>130</v>
      </c>
      <c r="D59" s="42">
        <v>0.3241</v>
      </c>
      <c r="E59" s="24" t="str">
        <f>IF(IF(B59="MDZ140R","",IFERROR((SUMIF($B$3:$B$74,"MDZ140R",$F$3:$F$74)*INDEX($Q$20:$Q$86,MATCH(B59,$N$20:$N$86,0))),""))=0,"",IF(B59="MDZ140R","",IFERROR((SUMIF($B$3:$B$74,"MDZ140R",$F$3:$F$74)*INDEX($Q$20:$Q$86,MATCH(B59,$N$20:$N$86,0))),"")))</f>
        <v/>
      </c>
      <c r="F59" s="42">
        <f t="shared" si="2"/>
        <v>0.3241</v>
      </c>
      <c r="H59" s="192"/>
      <c r="I59" s="213" t="str">
        <f>IFERROR(VLOOKUP(H59,$B$3:$F$69,5,FALSE),"")</f>
        <v/>
      </c>
      <c r="J59" s="206"/>
      <c r="L59" s="56"/>
      <c r="M59" s="56"/>
      <c r="N59" s="56"/>
      <c r="O59" s="56"/>
      <c r="P59" s="125"/>
      <c r="Q59" s="126"/>
      <c r="R59" s="56"/>
      <c r="T59" s="56"/>
      <c r="U59" s="87" t="str">
        <f>IFERROR(VLOOKUP(T59,$B$3:$F$73,5,FALSE),"")</f>
        <v/>
      </c>
      <c r="V59" s="129"/>
    </row>
    <row r="60" spans="2:22" s="1" customFormat="1" x14ac:dyDescent="0.3">
      <c r="B60" s="89" t="s">
        <v>131</v>
      </c>
      <c r="C60" s="89" t="s">
        <v>132</v>
      </c>
      <c r="D60" s="42">
        <v>0.98089999999999999</v>
      </c>
      <c r="E60" s="24" t="str">
        <f>IF(IF(B60="MDZ140R","",IFERROR((SUMIF($B$3:$B$74,"MDZ140R",$F$3:$F$74)*INDEX($Q$20:$Q$86,MATCH(B60,$N$20:$N$86,0))),""))=0,"",IF(B60="MDZ140R","",IFERROR((SUMIF($B$3:$B$74,"MDZ140R",$F$3:$F$74)*INDEX($Q$20:$Q$86,MATCH(B60,$N$20:$N$86,0))),"")))</f>
        <v/>
      </c>
      <c r="F60" s="42">
        <f t="shared" si="2"/>
        <v>0.98089999999999999</v>
      </c>
      <c r="H60" s="192"/>
      <c r="I60" s="213" t="str">
        <f>IFERROR(VLOOKUP(H60,$B$3:$F$69,5,FALSE),"")</f>
        <v/>
      </c>
      <c r="J60" s="206"/>
      <c r="L60" s="56"/>
      <c r="M60" s="56"/>
      <c r="N60" s="56"/>
      <c r="O60" s="56"/>
      <c r="P60" s="125"/>
      <c r="Q60" s="126"/>
      <c r="R60" s="56"/>
      <c r="T60" s="56"/>
      <c r="U60" s="87" t="str">
        <f>IFERROR(VLOOKUP(T60,$B$3:$F$73,5,FALSE),"")</f>
        <v/>
      </c>
      <c r="V60" s="129"/>
    </row>
    <row r="61" spans="2:22" s="1" customFormat="1" x14ac:dyDescent="0.3">
      <c r="B61" s="89" t="s">
        <v>133</v>
      </c>
      <c r="C61" s="89" t="s">
        <v>134</v>
      </c>
      <c r="D61" s="42">
        <v>0.64649999999999996</v>
      </c>
      <c r="E61" s="24" t="str">
        <f>IF(IF(B61="MDZ140R","",IFERROR((SUMIF($B$3:$B$74,"MDZ140R",$F$3:$F$74)*INDEX($Q$20:$Q$86,MATCH(B61,$N$20:$N$86,0))),""))=0,"",IF(B61="MDZ140R","",IFERROR((SUMIF($B$3:$B$74,"MDZ140R",$F$3:$F$74)*INDEX($Q$20:$Q$86,MATCH(B61,$N$20:$N$86,0))),"")))</f>
        <v/>
      </c>
      <c r="F61" s="42">
        <f t="shared" si="2"/>
        <v>0.64649999999999996</v>
      </c>
      <c r="H61" s="192"/>
      <c r="I61" s="213" t="str">
        <f>IFERROR(VLOOKUP(H61,$B$3:$F$69,5,FALSE),"")</f>
        <v/>
      </c>
      <c r="J61" s="206"/>
      <c r="L61" s="56"/>
      <c r="M61" s="56"/>
      <c r="N61" s="56"/>
      <c r="O61" s="56"/>
      <c r="P61" s="125"/>
      <c r="Q61" s="126"/>
      <c r="R61" s="56"/>
      <c r="T61" s="56"/>
      <c r="U61" s="87" t="str">
        <f>IFERROR(VLOOKUP(T61,$B$3:$F$73,5,FALSE),"")</f>
        <v/>
      </c>
      <c r="V61" s="129"/>
    </row>
    <row r="62" spans="2:22" s="1" customFormat="1" x14ac:dyDescent="0.3">
      <c r="B62" s="89" t="s">
        <v>135</v>
      </c>
      <c r="C62" s="89" t="s">
        <v>136</v>
      </c>
      <c r="D62" s="42">
        <v>0.90029999999999999</v>
      </c>
      <c r="E62" s="24" t="str">
        <f>IF(IF(B62="MDZ140R","",IFERROR((SUMIF($B$3:$B$74,"MDZ140R",$F$3:$F$74)*INDEX($Q$20:$Q$86,MATCH(B62,$N$20:$N$86,0))),""))=0,"",IF(B62="MDZ140R","",IFERROR((SUMIF($B$3:$B$74,"MDZ140R",$F$3:$F$74)*INDEX($Q$20:$Q$86,MATCH(B62,$N$20:$N$86,0))),"")))</f>
        <v/>
      </c>
      <c r="F62" s="42">
        <f t="shared" si="2"/>
        <v>0.90029999999999999</v>
      </c>
      <c r="H62" s="192"/>
      <c r="I62" s="213" t="str">
        <f>IFERROR(VLOOKUP(H62,$B$3:$F$69,5,FALSE),"")</f>
        <v/>
      </c>
      <c r="J62" s="206"/>
      <c r="L62" s="56"/>
      <c r="M62" s="56"/>
      <c r="N62" s="56"/>
      <c r="O62" s="56"/>
      <c r="P62" s="125"/>
      <c r="Q62" s="126"/>
      <c r="R62" s="56"/>
      <c r="T62" s="56"/>
      <c r="U62" s="87" t="str">
        <f>IFERROR(VLOOKUP(T62,$B$3:$F$73,5,FALSE),"")</f>
        <v/>
      </c>
      <c r="V62" s="129"/>
    </row>
    <row r="63" spans="2:22" s="1" customFormat="1" x14ac:dyDescent="0.3">
      <c r="B63" s="89" t="s">
        <v>137</v>
      </c>
      <c r="C63" s="89" t="s">
        <v>138</v>
      </c>
      <c r="D63" s="42">
        <v>0.98670000000000002</v>
      </c>
      <c r="E63" s="24" t="str">
        <f>IF(IF(B63="MDZ140R","",IFERROR((SUMIF($B$3:$B$74,"MDZ140R",$F$3:$F$74)*INDEX($Q$20:$Q$86,MATCH(B63,$N$20:$N$86,0))),""))=0,"",IF(B63="MDZ140R","",IFERROR((SUMIF($B$3:$B$74,"MDZ140R",$F$3:$F$74)*INDEX($Q$20:$Q$86,MATCH(B63,$N$20:$N$86,0))),"")))</f>
        <v/>
      </c>
      <c r="F63" s="42">
        <f t="shared" si="2"/>
        <v>0.98670000000000002</v>
      </c>
      <c r="H63" s="192"/>
      <c r="I63" s="213" t="str">
        <f>IFERROR(VLOOKUP(H63,$B$3:$F$69,5,FALSE),"")</f>
        <v/>
      </c>
      <c r="J63" s="206"/>
      <c r="L63" s="56"/>
      <c r="M63" s="56"/>
      <c r="N63" s="56"/>
      <c r="O63" s="56"/>
      <c r="P63" s="125"/>
      <c r="Q63" s="126"/>
      <c r="R63" s="56"/>
      <c r="T63" s="56"/>
      <c r="U63" s="87" t="str">
        <f>IFERROR(VLOOKUP(T63,$B$3:$F$73,5,FALSE),"")</f>
        <v/>
      </c>
      <c r="V63" s="129"/>
    </row>
    <row r="64" spans="2:22" s="1" customFormat="1" x14ac:dyDescent="0.3">
      <c r="B64" s="89" t="s">
        <v>139</v>
      </c>
      <c r="C64" s="89" t="s">
        <v>188</v>
      </c>
      <c r="D64" s="42">
        <v>0.45850000000000002</v>
      </c>
      <c r="E64" s="24" t="str">
        <f>IF(IF(B64="MDZ140R","",IFERROR((SUMIF($B$3:$B$74,"MDZ140R",$F$3:$F$74)*INDEX($Q$20:$Q$86,MATCH(B64,$N$20:$N$86,0))),""))=0,"",IF(B64="MDZ140R","",IFERROR((SUMIF($B$3:$B$74,"MDZ140R",$F$3:$F$74)*INDEX($Q$20:$Q$86,MATCH(B64,$N$20:$N$86,0))),"")))</f>
        <v/>
      </c>
      <c r="F64" s="42">
        <f t="shared" si="2"/>
        <v>0.45850000000000002</v>
      </c>
      <c r="H64" s="192"/>
      <c r="I64" s="213" t="str">
        <f>IFERROR(VLOOKUP(H64,$B$3:$F$69,5,FALSE),"")</f>
        <v/>
      </c>
      <c r="J64" s="206"/>
      <c r="L64" s="56"/>
      <c r="M64" s="56"/>
      <c r="N64" s="56"/>
      <c r="O64" s="56"/>
      <c r="P64" s="125"/>
      <c r="Q64" s="126"/>
      <c r="R64" s="56"/>
      <c r="T64" s="56"/>
      <c r="U64" s="87" t="str">
        <f>IFERROR(VLOOKUP(T64,$B$3:$F$73,5,FALSE),"")</f>
        <v/>
      </c>
      <c r="V64" s="129"/>
    </row>
    <row r="65" spans="2:22" s="1" customFormat="1" x14ac:dyDescent="0.3">
      <c r="B65" s="89" t="s">
        <v>141</v>
      </c>
      <c r="C65" s="89" t="s">
        <v>142</v>
      </c>
      <c r="D65" s="42">
        <v>0.55830000000000002</v>
      </c>
      <c r="E65" s="24" t="str">
        <f>IF(IF(B65="MDZ140R","",IFERROR((SUMIF($B$3:$B$74,"MDZ140R",$F$3:$F$74)*INDEX($Q$20:$Q$86,MATCH(B65,$N$20:$N$86,0))),""))=0,"",IF(B65="MDZ140R","",IFERROR((SUMIF($B$3:$B$74,"MDZ140R",$F$3:$F$74)*INDEX($Q$20:$Q$86,MATCH(B65,$N$20:$N$86,0))),"")))</f>
        <v/>
      </c>
      <c r="F65" s="42">
        <f t="shared" si="2"/>
        <v>0.55830000000000002</v>
      </c>
      <c r="H65" s="192"/>
      <c r="I65" s="213" t="str">
        <f>IFERROR(VLOOKUP(H65,$B$3:$F$69,5,FALSE),"")</f>
        <v/>
      </c>
      <c r="J65" s="206"/>
      <c r="L65" s="56"/>
      <c r="M65" s="56"/>
      <c r="N65" s="56"/>
      <c r="O65" s="56"/>
      <c r="P65" s="125"/>
      <c r="Q65" s="126"/>
      <c r="R65" s="56"/>
      <c r="T65" s="56"/>
      <c r="U65" s="87" t="str">
        <f>IFERROR(VLOOKUP(T65,$B$3:$F$73,5,FALSE),"")</f>
        <v/>
      </c>
      <c r="V65" s="129"/>
    </row>
    <row r="66" spans="2:22" s="1" customFormat="1" x14ac:dyDescent="0.3">
      <c r="B66" s="89"/>
      <c r="C66" s="89"/>
      <c r="D66" s="42"/>
      <c r="E66" s="24" t="str">
        <f>IF(IF(B66="MDZ140R","",IFERROR((SUMIF($B$3:$B$74,"MDZ140R",$F$3:$F$74)*INDEX($Q$20:$Q$86,MATCH(B66,$N$20:$N$86,0))),""))=0,"",IF(B66="MDZ140R","",IFERROR((SUMIF($B$3:$B$74,"MDZ140R",$F$3:$F$74)*INDEX($Q$20:$Q$86,MATCH(B66,$N$20:$N$86,0))),"")))</f>
        <v/>
      </c>
      <c r="F66" s="42" t="str">
        <f t="shared" si="2"/>
        <v/>
      </c>
      <c r="H66" s="192"/>
      <c r="I66" s="213" t="str">
        <f>IFERROR(VLOOKUP(H66,$B$3:$F$69,5,FALSE),"")</f>
        <v/>
      </c>
      <c r="J66" s="206"/>
      <c r="L66" s="56"/>
      <c r="M66" s="56"/>
      <c r="N66" s="56"/>
      <c r="O66" s="56"/>
      <c r="P66" s="125"/>
      <c r="Q66" s="126"/>
      <c r="R66" s="56"/>
      <c r="T66" s="56"/>
      <c r="U66" s="87" t="str">
        <f>IFERROR(VLOOKUP(T66,$B$3:$F$73,5,FALSE),"")</f>
        <v/>
      </c>
      <c r="V66" s="129"/>
    </row>
    <row r="67" spans="2:22" s="1" customFormat="1" x14ac:dyDescent="0.3">
      <c r="B67" s="89"/>
      <c r="C67" s="89"/>
      <c r="D67" s="42"/>
      <c r="E67" s="24" t="str">
        <f>IF(IF(B67="MDZ140R","",IFERROR((SUMIF($B$3:$B$74,"MDZ140R",$F$3:$F$74)*INDEX($Q$20:$Q$86,MATCH(B67,$N$20:$N$86,0))),""))=0,"",IF(B67="MDZ140R","",IFERROR((SUMIF($B$3:$B$74,"MDZ140R",$F$3:$F$74)*INDEX($Q$20:$Q$86,MATCH(B67,$N$20:$N$86,0))),"")))</f>
        <v/>
      </c>
      <c r="F67" s="42" t="str">
        <f t="shared" si="2"/>
        <v/>
      </c>
      <c r="H67" s="192"/>
      <c r="I67" s="213" t="str">
        <f>IFERROR(VLOOKUP(H67,$B$3:$F$69,5,FALSE),"")</f>
        <v/>
      </c>
      <c r="J67" s="206"/>
      <c r="L67" s="56"/>
      <c r="M67" s="56"/>
      <c r="N67" s="56"/>
      <c r="O67" s="56"/>
      <c r="P67" s="125"/>
      <c r="Q67" s="126"/>
      <c r="R67" s="56"/>
      <c r="T67" s="56"/>
      <c r="U67" s="87" t="str">
        <f>IFERROR(VLOOKUP(T67,$B$3:$F$73,5,FALSE),"")</f>
        <v/>
      </c>
      <c r="V67" s="129"/>
    </row>
    <row r="68" spans="2:22" s="1" customFormat="1" x14ac:dyDescent="0.3">
      <c r="B68" s="89"/>
      <c r="C68" s="89"/>
      <c r="D68" s="42"/>
      <c r="E68" s="24" t="str">
        <f>IF(IF(B68="MDZ140R","",IFERROR((SUMIF($B$3:$B$74,"MDZ140R",$F$3:$F$74)*INDEX($Q$20:$Q$86,MATCH(B68,$N$20:$N$86,0))),""))=0,"",IF(B68="MDZ140R","",IFERROR((SUMIF($B$3:$B$74,"MDZ140R",$F$3:$F$74)*INDEX($Q$20:$Q$86,MATCH(B68,$N$20:$N$86,0))),"")))</f>
        <v/>
      </c>
      <c r="F68" s="42" t="str">
        <f t="shared" si="2"/>
        <v/>
      </c>
      <c r="H68" s="192"/>
      <c r="I68" s="213" t="str">
        <f>IFERROR(VLOOKUP(H68,$B$3:$F$69,5,FALSE),"")</f>
        <v/>
      </c>
      <c r="J68" s="206"/>
      <c r="L68" s="56"/>
      <c r="M68" s="56"/>
      <c r="N68" s="56"/>
      <c r="O68" s="56"/>
      <c r="P68" s="125"/>
      <c r="Q68" s="126"/>
      <c r="R68" s="56"/>
      <c r="T68" s="56"/>
      <c r="U68" s="87" t="str">
        <f>IFERROR(VLOOKUP(T68,$B$3:$F$73,5,FALSE),"")</f>
        <v/>
      </c>
      <c r="V68" s="129"/>
    </row>
    <row r="69" spans="2:22" s="1" customFormat="1" x14ac:dyDescent="0.3">
      <c r="B69" s="89"/>
      <c r="C69" s="89"/>
      <c r="D69" s="42"/>
      <c r="E69" s="24" t="str">
        <f>IF(IF(B69="MDZ140R","",IFERROR((SUMIF($B$3:$B$74,"MDZ140R",$F$3:$F$74)*INDEX($Q$20:$Q$86,MATCH(B69,$N$20:$N$86,0))),""))=0,"",IF(B69="MDZ140R","",IFERROR((SUMIF($B$3:$B$74,"MDZ140R",$F$3:$F$74)*INDEX($Q$20:$Q$86,MATCH(B69,$N$20:$N$86,0))),"")))</f>
        <v/>
      </c>
      <c r="F69" s="42" t="str">
        <f t="shared" si="2"/>
        <v/>
      </c>
      <c r="H69" s="192"/>
      <c r="I69" s="213" t="str">
        <f>IFERROR(VLOOKUP(H69,$B$3:$F$69,5,FALSE),"")</f>
        <v/>
      </c>
      <c r="J69" s="206"/>
      <c r="L69" s="56"/>
      <c r="M69" s="56"/>
      <c r="N69" s="56"/>
      <c r="O69" s="56"/>
      <c r="P69" s="125"/>
      <c r="Q69" s="126"/>
      <c r="R69" s="56"/>
      <c r="T69" s="56"/>
      <c r="U69" s="87" t="str">
        <f>IFERROR(VLOOKUP(T69,$B$3:$F$73,5,FALSE),"")</f>
        <v/>
      </c>
      <c r="V69" s="129"/>
    </row>
    <row r="70" spans="2:22" s="1" customFormat="1" x14ac:dyDescent="0.3">
      <c r="B70" s="89"/>
      <c r="C70" s="89"/>
      <c r="D70" s="42"/>
      <c r="E70" s="24"/>
      <c r="F70" s="42"/>
      <c r="H70" s="192"/>
      <c r="I70" s="213" t="str">
        <f>IFERROR(VLOOKUP(H70,$B$3:$F$69,5,FALSE),"")</f>
        <v/>
      </c>
      <c r="J70" s="206"/>
      <c r="L70" s="56"/>
      <c r="M70" s="56"/>
      <c r="N70" s="56"/>
      <c r="O70" s="56"/>
      <c r="P70" s="125"/>
      <c r="Q70" s="126"/>
      <c r="R70" s="56"/>
      <c r="T70" s="56"/>
      <c r="U70" s="87" t="str">
        <f>IFERROR(VLOOKUP(T70,$B$3:$F$73,5,FALSE),"")</f>
        <v/>
      </c>
      <c r="V70" s="129"/>
    </row>
    <row r="71" spans="2:22" s="1" customFormat="1" x14ac:dyDescent="0.3">
      <c r="B71" s="89"/>
      <c r="C71" s="89"/>
      <c r="D71" s="42"/>
      <c r="E71" s="24" t="str">
        <f>IF(IF(B71="MDZ140R","",IFERROR((SUMIF($B$3:$B$74,"MDZ140R",$F$3:$F$74)*INDEX($Q$20:$Q$86,MATCH(B71,$N$20:$N$86,0))),""))=0,"",IF(B71="MDZ140R","",IFERROR((SUMIF($B$3:$B$74,"MDZ140R",$F$3:$F$74)*INDEX($Q$20:$Q$86,MATCH(B71,$N$20:$N$86,0))),"")))</f>
        <v/>
      </c>
      <c r="F71" s="42" t="str">
        <f>IF(D71="","",D71+ IF(E71="",0,E71))</f>
        <v/>
      </c>
      <c r="H71" s="192"/>
      <c r="I71" s="213" t="str">
        <f>IFERROR(VLOOKUP(H71,$B$3:$F$69,5,FALSE),"")</f>
        <v/>
      </c>
      <c r="J71" s="206"/>
      <c r="L71" s="56"/>
      <c r="M71" s="56"/>
      <c r="N71" s="56"/>
      <c r="O71" s="56"/>
      <c r="P71" s="125"/>
      <c r="Q71" s="126"/>
      <c r="R71" s="56"/>
      <c r="T71" s="56"/>
      <c r="U71" s="87" t="str">
        <f>IFERROR(VLOOKUP(T71,$B$3:$F$73,5,FALSE),"")</f>
        <v/>
      </c>
      <c r="V71" s="129"/>
    </row>
    <row r="72" spans="2:22" s="1" customFormat="1" x14ac:dyDescent="0.3">
      <c r="B72" s="89"/>
      <c r="C72" s="89"/>
      <c r="D72" s="42"/>
      <c r="E72" s="24" t="str">
        <f>IF(IF(B72="MDZ140R","",IFERROR((SUMIF($B$3:$B$74,"MDZ140R",$F$3:$F$74)*INDEX($Q$20:$Q$86,MATCH(B72,$N$20:$N$86,0))),""))=0,"",IF(B72="MDZ140R","",IFERROR((SUMIF($B$3:$B$74,"MDZ140R",$F$3:$F$74)*INDEX($Q$20:$Q$86,MATCH(B72,$N$20:$N$86,0))),"")))</f>
        <v/>
      </c>
      <c r="F72" s="42" t="str">
        <f>IF(D72="","",D72+ IF(E72="",0,E72))</f>
        <v/>
      </c>
      <c r="H72" s="192"/>
      <c r="I72" s="213" t="str">
        <f>IFERROR(VLOOKUP(H72,$B$3:$F$69,5,FALSE),"")</f>
        <v/>
      </c>
      <c r="J72" s="206"/>
      <c r="L72" s="56"/>
      <c r="M72" s="56"/>
      <c r="N72" s="56"/>
      <c r="O72" s="56"/>
      <c r="P72" s="125"/>
      <c r="Q72" s="126"/>
      <c r="R72" s="56"/>
      <c r="T72" s="56"/>
      <c r="U72" s="87" t="str">
        <f>IFERROR(VLOOKUP(T72,$B$3:$F$73,5,FALSE),"")</f>
        <v/>
      </c>
      <c r="V72" s="129"/>
    </row>
    <row r="73" spans="2:22" s="1" customFormat="1" x14ac:dyDescent="0.3">
      <c r="B73" s="89" t="s">
        <v>143</v>
      </c>
      <c r="C73" s="89" t="s">
        <v>144</v>
      </c>
      <c r="D73" s="42">
        <v>0.55089999999999995</v>
      </c>
      <c r="E73" s="24" t="str">
        <f>IF(IF(B73="MDZ140R","",IFERROR((SUMIF($B$3:$B$74,"MDZ140R",$F$3:$F$74)*INDEX($Q$20:$Q$86,MATCH(B73,$N$20:$N$86,0))),""))=0,"",IF(B73="MDZ140R","",IFERROR((SUMIF($B$3:$B$74,"MDZ140R",$F$3:$F$74)*INDEX($Q$20:$Q$86,MATCH(B73,$N$20:$N$86,0))),"")))</f>
        <v/>
      </c>
      <c r="F73" s="42">
        <f>IF(D73="","",D73+ IF(E73="",0,E73))</f>
        <v>0.55089999999999995</v>
      </c>
      <c r="H73" s="192"/>
      <c r="I73" s="213" t="str">
        <f>IFERROR(VLOOKUP(H73,$B$3:$F$69,5,FALSE),"")</f>
        <v/>
      </c>
      <c r="J73" s="206"/>
      <c r="L73" s="56"/>
      <c r="M73" s="56"/>
      <c r="N73" s="56"/>
      <c r="O73" s="56"/>
      <c r="P73" s="125"/>
      <c r="Q73" s="126"/>
      <c r="R73" s="56"/>
      <c r="T73" s="56"/>
      <c r="U73" s="87" t="str">
        <f>IFERROR(VLOOKUP(T73,$B$3:$F$73,5,FALSE),"")</f>
        <v/>
      </c>
      <c r="V73" s="129"/>
    </row>
    <row r="74" spans="2:22" s="1" customFormat="1" x14ac:dyDescent="0.3">
      <c r="B74" s="127"/>
      <c r="C74" s="60" t="s">
        <v>145</v>
      </c>
      <c r="D74" s="133">
        <f>SUM(D3:D73)</f>
        <v>27.097099999999998</v>
      </c>
      <c r="E74" s="134"/>
      <c r="F74" s="135">
        <f>D74+E74</f>
        <v>27.097099999999998</v>
      </c>
      <c r="H74" s="192"/>
      <c r="I74" s="213" t="str">
        <f>IFERROR(VLOOKUP(H74,$B$3:$F$69,5,FALSE),"")</f>
        <v/>
      </c>
      <c r="J74" s="206"/>
      <c r="L74" s="56"/>
      <c r="M74" s="56"/>
      <c r="N74" s="56"/>
      <c r="O74" s="56"/>
      <c r="P74" s="125"/>
      <c r="Q74" s="126"/>
      <c r="R74" s="56"/>
      <c r="T74" s="56"/>
      <c r="U74" s="87" t="str">
        <f>IFERROR(VLOOKUP(T74,$B$3:$F$73,5,FALSE),"")</f>
        <v/>
      </c>
      <c r="V74" s="129"/>
    </row>
    <row r="75" spans="2:22" s="1" customFormat="1" x14ac:dyDescent="0.3">
      <c r="B75" s="127"/>
      <c r="C75" s="60"/>
      <c r="D75" s="133"/>
      <c r="E75" s="134"/>
      <c r="F75" s="135"/>
      <c r="H75" s="192"/>
      <c r="I75" s="213" t="str">
        <f>IFERROR(VLOOKUP(H75,$B$3:$F$69,5,FALSE),"")</f>
        <v/>
      </c>
      <c r="J75" s="206"/>
      <c r="L75" s="56"/>
      <c r="M75" s="56"/>
      <c r="N75" s="56"/>
      <c r="O75" s="56"/>
      <c r="P75" s="125"/>
      <c r="Q75" s="126"/>
      <c r="R75" s="56"/>
      <c r="T75" s="56"/>
      <c r="U75" s="87" t="str">
        <f>IFERROR(VLOOKUP(T75,$B$3:$F$73,5,FALSE),"")</f>
        <v/>
      </c>
      <c r="V75" s="129"/>
    </row>
    <row r="76" spans="2:22" s="1" customFormat="1" x14ac:dyDescent="0.3">
      <c r="B76" s="136"/>
      <c r="C76" s="136"/>
      <c r="D76" s="133">
        <v>0</v>
      </c>
      <c r="E76" s="134"/>
      <c r="F76" s="135">
        <f>D76+E76</f>
        <v>0</v>
      </c>
      <c r="H76" s="192"/>
      <c r="I76" s="213" t="str">
        <f>IFERROR(VLOOKUP(H76,$B$3:$F$69,5,FALSE),"")</f>
        <v/>
      </c>
      <c r="J76" s="191"/>
      <c r="L76" s="56"/>
      <c r="M76" s="56"/>
      <c r="N76" s="56"/>
      <c r="O76" s="56"/>
      <c r="P76" s="125"/>
      <c r="Q76" s="126"/>
      <c r="R76" s="56"/>
      <c r="T76" s="56"/>
      <c r="U76" s="87" t="str">
        <f>IFERROR(VLOOKUP(T76,$B$3:$F$73,5,FALSE),"")</f>
        <v/>
      </c>
      <c r="V76" s="129"/>
    </row>
    <row r="77" spans="2:22" s="1" customFormat="1" x14ac:dyDescent="0.3">
      <c r="B77" s="136"/>
      <c r="C77" s="136"/>
      <c r="D77" s="133">
        <v>0</v>
      </c>
      <c r="E77" s="134"/>
      <c r="F77" s="135">
        <f>D77+E77</f>
        <v>0</v>
      </c>
      <c r="H77" s="192"/>
      <c r="I77" s="213" t="str">
        <f>IFERROR(VLOOKUP(H77,$B$3:$F$69,5,FALSE),"")</f>
        <v/>
      </c>
      <c r="J77" s="191"/>
      <c r="L77" s="56"/>
      <c r="M77" s="56"/>
      <c r="N77" s="56"/>
      <c r="O77" s="56"/>
      <c r="P77" s="125"/>
      <c r="Q77" s="126"/>
      <c r="R77" s="56"/>
      <c r="T77" s="56"/>
      <c r="U77" s="87" t="str">
        <f>IFERROR(VLOOKUP(T77,$B$3:$F$73,5,FALSE),"")</f>
        <v/>
      </c>
      <c r="V77" s="129"/>
    </row>
    <row r="78" spans="2:22" s="1" customFormat="1" x14ac:dyDescent="0.3">
      <c r="B78" s="40"/>
      <c r="C78" s="41"/>
      <c r="D78" s="42"/>
      <c r="E78" s="24"/>
      <c r="F78" s="42"/>
      <c r="H78" s="192"/>
      <c r="I78" s="213" t="str">
        <f>IFERROR(VLOOKUP(H78,$B$3:$F$69,5,FALSE),"")</f>
        <v/>
      </c>
      <c r="J78" s="191"/>
      <c r="L78" s="56"/>
      <c r="M78" s="56"/>
      <c r="N78" s="56"/>
      <c r="O78" s="56"/>
      <c r="P78" s="125"/>
      <c r="Q78" s="126"/>
      <c r="R78" s="56"/>
      <c r="T78" s="56"/>
      <c r="U78" s="87" t="str">
        <f>IFERROR(VLOOKUP(T78,$B$3:$F$73,5,FALSE),"")</f>
        <v/>
      </c>
      <c r="V78" s="129"/>
    </row>
    <row r="79" spans="2:22" s="1" customFormat="1" x14ac:dyDescent="0.3">
      <c r="B79" s="40"/>
      <c r="C79" s="41"/>
      <c r="D79" s="42"/>
      <c r="E79" s="24"/>
      <c r="F79" s="42"/>
      <c r="H79" s="192"/>
      <c r="I79" s="213" t="str">
        <f>IFERROR(VLOOKUP(H79,$B$3:$F$69,5,FALSE),"")</f>
        <v/>
      </c>
      <c r="J79" s="191"/>
      <c r="L79" s="56"/>
      <c r="M79" s="56"/>
      <c r="N79" s="56"/>
      <c r="O79" s="56"/>
      <c r="P79" s="125"/>
      <c r="Q79" s="126"/>
      <c r="R79" s="56"/>
      <c r="T79" s="56"/>
      <c r="U79" s="87" t="str">
        <f>IFERROR(VLOOKUP(T79,$B$3:$F$73,5,FALSE),"")</f>
        <v/>
      </c>
      <c r="V79" s="129"/>
    </row>
    <row r="80" spans="2:22" s="1" customFormat="1" x14ac:dyDescent="0.3">
      <c r="B80" s="40"/>
      <c r="C80" s="41"/>
      <c r="D80" s="42"/>
      <c r="E80" s="24" t="str">
        <f>IF(IF(B80="MDZ140R","",IFERROR((SUMIF($B$3:$B$74,"MDZ140R",$F$3:$F$74)*INDEX($Q$20:$Q$86,MATCH(B80,$N$20:$N$86,0))),""))=0,"",IF(B80="MDZ140R","",IFERROR((SUMIF($B$3:$B$74,"MDZ140R",$F$3:$F$74)*INDEX($Q$20:$Q$86,MATCH(B80,$N$20:$N$86,0))),"")))</f>
        <v/>
      </c>
      <c r="F80" s="42" t="str">
        <f t="shared" si="0"/>
        <v/>
      </c>
      <c r="H80" s="192"/>
      <c r="I80" s="213" t="str">
        <f>IFERROR(VLOOKUP(H80,$B$3:$F$69,5,FALSE),"")</f>
        <v/>
      </c>
      <c r="J80" s="191"/>
      <c r="L80" s="56"/>
      <c r="M80" s="56"/>
      <c r="N80" s="56"/>
      <c r="O80" s="56"/>
      <c r="P80" s="125"/>
      <c r="Q80" s="126"/>
      <c r="R80" s="56"/>
      <c r="T80" s="56"/>
      <c r="U80" s="87" t="str">
        <f>IFERROR(VLOOKUP(T80,$B$3:$F$73,5,FALSE),"")</f>
        <v/>
      </c>
      <c r="V80" s="129"/>
    </row>
    <row r="81" spans="2:22" s="1" customFormat="1" x14ac:dyDescent="0.3">
      <c r="B81" s="40"/>
      <c r="C81" s="41"/>
      <c r="D81" s="42"/>
      <c r="E81" s="24" t="str">
        <f>IF(IF(B81="MDZ140R","",IFERROR((SUMIF($B$3:$B$74,"MDZ140R",$F$3:$F$74)*INDEX($Q$20:$Q$86,MATCH(B81,$N$20:$N$86,0))),""))=0,"",IF(B81="MDZ140R","",IFERROR((SUMIF($B$3:$B$74,"MDZ140R",$F$3:$F$74)*INDEX($Q$20:$Q$86,MATCH(B81,$N$20:$N$86,0))),"")))</f>
        <v/>
      </c>
      <c r="F81" s="42" t="str">
        <f t="shared" si="0"/>
        <v/>
      </c>
      <c r="H81" s="192"/>
      <c r="I81" s="213" t="str">
        <f>IFERROR(VLOOKUP(H81,$B$3:$F$69,5,FALSE),"")</f>
        <v/>
      </c>
      <c r="J81" s="191"/>
      <c r="L81" s="56"/>
      <c r="M81" s="56"/>
      <c r="N81" s="56"/>
      <c r="O81" s="56"/>
      <c r="P81" s="125"/>
      <c r="Q81" s="126"/>
      <c r="R81" s="56"/>
      <c r="T81" s="56"/>
      <c r="U81" s="87" t="str">
        <f>IFERROR(VLOOKUP(T81,$B$3:$F$73,5,FALSE),"")</f>
        <v/>
      </c>
      <c r="V81" s="128"/>
    </row>
    <row r="82" spans="2:22" s="1" customFormat="1" x14ac:dyDescent="0.3">
      <c r="B82" s="40"/>
      <c r="C82" s="41"/>
      <c r="D82" s="42"/>
      <c r="E82" s="24" t="str">
        <f>IF(IF(B82="MDZ140R","",IFERROR((SUMIF($B$3:$B$74,"MDZ140R",$F$3:$F$74)*INDEX($Q$20:$Q$86,MATCH(B82,$N$20:$N$86,0))),""))=0,"",IF(B82="MDZ140R","",IFERROR((SUMIF($B$3:$B$74,"MDZ140R",$F$3:$F$74)*INDEX($Q$20:$Q$86,MATCH(B82,$N$20:$N$86,0))),"")))</f>
        <v/>
      </c>
      <c r="F82" s="42" t="str">
        <f t="shared" si="0"/>
        <v/>
      </c>
      <c r="H82" s="192"/>
      <c r="I82" s="213" t="str">
        <f>IFERROR(VLOOKUP(H82,$B$3:$F$69,5,FALSE),"")</f>
        <v/>
      </c>
      <c r="J82" s="207"/>
      <c r="L82" s="56"/>
      <c r="M82" s="56"/>
      <c r="N82" s="56"/>
      <c r="O82" s="56"/>
      <c r="P82" s="125"/>
      <c r="Q82" s="126"/>
      <c r="R82" s="56"/>
      <c r="T82" s="56"/>
      <c r="U82" s="87" t="str">
        <f>IFERROR(VLOOKUP(T82,$B$3:$F$73,5,FALSE),"")</f>
        <v/>
      </c>
      <c r="V82" s="128"/>
    </row>
    <row r="83" spans="2:22" s="1" customFormat="1" x14ac:dyDescent="0.3">
      <c r="B83" s="40"/>
      <c r="C83" s="41"/>
      <c r="D83" s="42"/>
      <c r="E83" s="24" t="str">
        <f>IF(IF(B83="MDZ140R","",IFERROR((SUMIF($B$3:$B$74,"MDZ140R",$F$3:$F$74)*INDEX($Q$20:$Q$86,MATCH(B83,$N$20:$N$86,0))),""))=0,"",IF(B83="MDZ140R","",IFERROR((SUMIF($B$3:$B$74,"MDZ140R",$F$3:$F$74)*INDEX($Q$20:$Q$86,MATCH(B83,$N$20:$N$86,0))),"")))</f>
        <v/>
      </c>
      <c r="F83" s="42" t="str">
        <f t="shared" si="0"/>
        <v/>
      </c>
      <c r="H83" s="189" t="s">
        <v>73</v>
      </c>
      <c r="I83" s="213" t="str">
        <f>IFERROR(VLOOKUP(H83,$B$3:$F$69,5,FALSE),"")</f>
        <v/>
      </c>
      <c r="J83" s="191">
        <f>SUM(I83:I97)</f>
        <v>2.3209499999999998</v>
      </c>
      <c r="L83" s="56"/>
      <c r="M83" s="56"/>
      <c r="N83" s="56"/>
      <c r="O83" s="56"/>
      <c r="P83" s="125"/>
      <c r="Q83" s="126"/>
      <c r="R83" s="56"/>
      <c r="T83" s="56"/>
      <c r="U83" s="87" t="str">
        <f>IFERROR(VLOOKUP(T83,$B$3:$F$73,5,FALSE),"")</f>
        <v/>
      </c>
      <c r="V83" s="128"/>
    </row>
    <row r="84" spans="2:22" s="1" customFormat="1" x14ac:dyDescent="0.3">
      <c r="B84" s="40"/>
      <c r="C84" s="41"/>
      <c r="D84" s="42"/>
      <c r="E84" s="24" t="str">
        <f>IF(IF(B84="MDZ140R","",IFERROR((SUMIF($B$3:$B$74,"MDZ140R",$F$3:$F$74)*INDEX($Q$20:$Q$86,MATCH(B84,$N$20:$N$86,0))),""))=0,"",IF(B84="MDZ140R","",IFERROR((SUMIF($B$3:$B$74,"MDZ140R",$F$3:$F$74)*INDEX($Q$20:$Q$86,MATCH(B84,$N$20:$N$86,0))),"")))</f>
        <v/>
      </c>
      <c r="F84" s="42" t="str">
        <f t="shared" si="0"/>
        <v/>
      </c>
      <c r="H84" s="196" t="s">
        <v>44</v>
      </c>
      <c r="I84" s="211">
        <v>9.035E-2</v>
      </c>
      <c r="J84" s="201"/>
      <c r="K84" s="1">
        <v>0.1807</v>
      </c>
      <c r="L84" s="56"/>
      <c r="M84" s="56"/>
      <c r="N84" s="56"/>
      <c r="O84" s="56"/>
      <c r="P84" s="125"/>
      <c r="Q84" s="126"/>
      <c r="R84" s="56"/>
      <c r="T84" s="56"/>
      <c r="U84" s="87" t="str">
        <f>IFERROR(VLOOKUP(T84,$B$3:$F$73,5,FALSE),"")</f>
        <v/>
      </c>
      <c r="V84" s="128"/>
    </row>
    <row r="85" spans="2:22" s="1" customFormat="1" x14ac:dyDescent="0.3">
      <c r="B85" s="40"/>
      <c r="C85" s="41"/>
      <c r="D85" s="42"/>
      <c r="E85" s="24" t="str">
        <f>IF(IF(B85="MDZ140R","",IFERROR((SUMIF($B$3:$B$74,"MDZ140R",$F$3:$F$74)*INDEX($Q$20:$Q$86,MATCH(B85,$N$20:$N$86,0))),""))=0,"",IF(B85="MDZ140R","",IFERROR((SUMIF($B$3:$B$74,"MDZ140R",$F$3:$F$74)*INDEX($Q$20:$Q$86,MATCH(B85,$N$20:$N$86,0))),"")))</f>
        <v/>
      </c>
      <c r="F85" s="42" t="str">
        <f t="shared" si="0"/>
        <v/>
      </c>
      <c r="H85" s="196" t="s">
        <v>38</v>
      </c>
      <c r="I85" s="211">
        <v>0.42709999999999998</v>
      </c>
      <c r="J85" s="201"/>
      <c r="K85" s="1">
        <v>0.85419999999999996</v>
      </c>
      <c r="L85" s="56"/>
      <c r="M85" s="56"/>
      <c r="N85" s="56"/>
      <c r="O85" s="56"/>
      <c r="P85" s="125"/>
      <c r="Q85" s="126"/>
      <c r="R85" s="56"/>
      <c r="T85" s="56"/>
      <c r="U85" s="87" t="str">
        <f>IFERROR(VLOOKUP(T85,$B$3:$F$73,5,FALSE),"")</f>
        <v/>
      </c>
      <c r="V85" s="128"/>
    </row>
    <row r="86" spans="2:22" s="1" customFormat="1" x14ac:dyDescent="0.3">
      <c r="B86" s="40"/>
      <c r="C86" s="41"/>
      <c r="D86" s="42"/>
      <c r="E86" s="24" t="str">
        <f>IF(IF(B86="MDZ140R","",IFERROR((SUMIF($B$3:$B$74,"MDZ140R",$F$3:$F$74)*INDEX($Q$20:$Q$86,MATCH(B86,$N$20:$N$86,0))),""))=0,"",IF(B86="MDZ140R","",IFERROR((SUMIF($B$3:$B$74,"MDZ140R",$F$3:$F$74)*INDEX($Q$20:$Q$86,MATCH(B86,$N$20:$N$86,0))),"")))</f>
        <v/>
      </c>
      <c r="F86" s="42" t="str">
        <f t="shared" si="0"/>
        <v/>
      </c>
      <c r="H86" s="196" t="s">
        <v>9</v>
      </c>
      <c r="I86" s="213">
        <f>IFERROR(VLOOKUP(H86,$B$3:$F$69,5,FALSE),"")</f>
        <v>0.20330000000000001</v>
      </c>
      <c r="J86" s="201"/>
      <c r="L86" s="56"/>
      <c r="M86" s="56"/>
      <c r="N86" s="56"/>
      <c r="O86" s="56"/>
      <c r="P86" s="125"/>
      <c r="Q86" s="126"/>
      <c r="R86" s="56"/>
      <c r="T86" s="56"/>
      <c r="U86" s="87" t="str">
        <f>IFERROR(VLOOKUP(T86,$B$3:$F$73,5,FALSE),"")</f>
        <v/>
      </c>
      <c r="V86" s="128"/>
    </row>
    <row r="87" spans="2:22" s="1" customFormat="1" x14ac:dyDescent="0.3">
      <c r="H87" s="196" t="s">
        <v>119</v>
      </c>
      <c r="I87" s="213">
        <f>IFERROR(VLOOKUP(H87,$B$3:$F$69,5,FALSE),"")</f>
        <v>0.46700000000000003</v>
      </c>
      <c r="J87" s="201"/>
      <c r="L87" s="56"/>
      <c r="M87" s="56"/>
      <c r="N87" s="56"/>
      <c r="O87" s="59" t="s">
        <v>3</v>
      </c>
      <c r="P87" s="131">
        <f>SUM(P20:P40)</f>
        <v>182</v>
      </c>
      <c r="Q87" s="131">
        <f>SUM(Q20:Q40)</f>
        <v>0.994533</v>
      </c>
      <c r="R87" s="59">
        <v>0</v>
      </c>
      <c r="T87" s="56"/>
      <c r="U87" s="87" t="str">
        <f>IFERROR(VLOOKUP(T87,$B$3:$F$73,5,FALSE),"")</f>
        <v/>
      </c>
      <c r="V87" s="130"/>
    </row>
    <row r="88" spans="2:22" x14ac:dyDescent="0.3">
      <c r="H88" s="196" t="s">
        <v>133</v>
      </c>
      <c r="I88" s="213">
        <f>IFERROR(VLOOKUP(H88,$B$3:$F$69,5,FALSE),"")</f>
        <v>0.64649999999999996</v>
      </c>
      <c r="J88" s="201"/>
      <c r="T88" s="59" t="s">
        <v>73</v>
      </c>
      <c r="U88" s="87"/>
      <c r="V88" s="128">
        <f>SUM(U88:U108)</f>
        <v>2.2511412499999999</v>
      </c>
    </row>
    <row r="89" spans="2:22" x14ac:dyDescent="0.3">
      <c r="H89" s="196" t="s">
        <v>147</v>
      </c>
      <c r="I89" s="213" t="str">
        <f>IFERROR(VLOOKUP(H89,$B$3:$F$69,5,FALSE),"")</f>
        <v/>
      </c>
      <c r="J89" s="201"/>
      <c r="T89" s="43" t="s">
        <v>44</v>
      </c>
      <c r="U89" s="87">
        <v>2.25875E-2</v>
      </c>
      <c r="V89" s="88"/>
    </row>
    <row r="90" spans="2:22" x14ac:dyDescent="0.3">
      <c r="H90" s="196" t="s">
        <v>148</v>
      </c>
      <c r="I90" s="213" t="str">
        <f>IFERROR(VLOOKUP(H90,$B$3:$F$69,5,FALSE),"")</f>
        <v/>
      </c>
      <c r="J90" s="201"/>
      <c r="T90" s="43" t="s">
        <v>38</v>
      </c>
      <c r="U90" s="87">
        <v>1.129375E-2</v>
      </c>
      <c r="V90" s="88"/>
    </row>
    <row r="91" spans="2:22" x14ac:dyDescent="0.3">
      <c r="H91" s="196" t="s">
        <v>11</v>
      </c>
      <c r="I91" s="213">
        <f>IFERROR(VLOOKUP(H91,$B$3:$F$69,5,FALSE),"")</f>
        <v>0.1191</v>
      </c>
      <c r="J91" s="201"/>
      <c r="T91" s="43" t="s">
        <v>9</v>
      </c>
      <c r="U91" s="87">
        <f>IFERROR(VLOOKUP(T91,$B$3:$F$73,5,FALSE),"")</f>
        <v>0.20330000000000001</v>
      </c>
      <c r="V91" s="88"/>
    </row>
    <row r="92" spans="2:22" x14ac:dyDescent="0.3">
      <c r="H92" s="196" t="s">
        <v>149</v>
      </c>
      <c r="I92" s="213" t="str">
        <f>IFERROR(VLOOKUP(H92,$B$3:$F$69,5,FALSE),"")</f>
        <v/>
      </c>
      <c r="J92" s="201"/>
      <c r="T92" s="43" t="s">
        <v>119</v>
      </c>
      <c r="U92" s="87">
        <f>IFERROR(VLOOKUP(T92,$B$3:$F$73,5,FALSE),"")</f>
        <v>0.46700000000000003</v>
      </c>
      <c r="V92" s="88"/>
    </row>
    <row r="93" spans="2:22" x14ac:dyDescent="0.3">
      <c r="H93" s="196" t="s">
        <v>121</v>
      </c>
      <c r="I93" s="213">
        <f>IFERROR(VLOOKUP(H93,$B$3:$F$69,5,FALSE),"")</f>
        <v>0.36759999999999998</v>
      </c>
      <c r="J93" s="201"/>
      <c r="T93" s="43" t="s">
        <v>133</v>
      </c>
      <c r="U93" s="87">
        <f>IFERROR(VLOOKUP(T93,$B$3:$F$73,5,FALSE),"")</f>
        <v>0.64649999999999996</v>
      </c>
      <c r="V93" s="88"/>
    </row>
    <row r="94" spans="2:22" x14ac:dyDescent="0.3">
      <c r="H94" s="196" t="s">
        <v>150</v>
      </c>
      <c r="I94" s="213" t="str">
        <f>IFERROR(VLOOKUP(H94,$B$3:$F$69,5,FALSE),"")</f>
        <v/>
      </c>
      <c r="J94" s="191"/>
      <c r="T94" s="43" t="s">
        <v>147</v>
      </c>
      <c r="U94" s="87">
        <v>0.41376000000000002</v>
      </c>
      <c r="V94" s="88"/>
    </row>
    <row r="95" spans="2:22" x14ac:dyDescent="0.3">
      <c r="H95" s="196"/>
      <c r="I95" s="213" t="str">
        <f>IFERROR(VLOOKUP(H95,$B$3:$F$69,5,FALSE),"")</f>
        <v/>
      </c>
      <c r="J95" s="201"/>
      <c r="T95" s="43" t="s">
        <v>148</v>
      </c>
      <c r="U95" s="87" t="str">
        <f>IFERROR(VLOOKUP(T95,$B$3:$F$73,5,FALSE),"")</f>
        <v/>
      </c>
      <c r="V95" s="88"/>
    </row>
    <row r="96" spans="2:22" x14ac:dyDescent="0.3">
      <c r="H96" s="196"/>
      <c r="I96" s="213" t="str">
        <f>IFERROR(VLOOKUP(H96,$B$3:$F$69,5,FALSE),"")</f>
        <v/>
      </c>
      <c r="J96" s="201"/>
      <c r="T96" s="43" t="s">
        <v>11</v>
      </c>
      <c r="U96" s="87">
        <f>IFERROR(VLOOKUP(T96,$B$3:$F$73,5,FALSE),"")</f>
        <v>0.1191</v>
      </c>
      <c r="V96" s="88"/>
    </row>
    <row r="97" spans="8:22" x14ac:dyDescent="0.3">
      <c r="H97" s="196"/>
      <c r="I97" s="213" t="str">
        <f>IFERROR(VLOOKUP(H97,$B$3:$F$69,5,FALSE),"")</f>
        <v/>
      </c>
      <c r="J97" s="201"/>
      <c r="T97" s="43" t="s">
        <v>149</v>
      </c>
      <c r="U97" s="87" t="str">
        <f>IFERROR(VLOOKUP(T97,$B$3:$F$73,5,FALSE),"")</f>
        <v/>
      </c>
      <c r="V97" s="88"/>
    </row>
    <row r="98" spans="8:22" x14ac:dyDescent="0.3">
      <c r="H98" s="200" t="s">
        <v>74</v>
      </c>
      <c r="I98" s="213" t="str">
        <f>IFERROR(VLOOKUP(H98,$B$3:$F$69,5,FALSE),"")</f>
        <v/>
      </c>
      <c r="J98" s="201">
        <f>SUM(I98:I107)</f>
        <v>0.51744999999999997</v>
      </c>
      <c r="T98" s="43" t="s">
        <v>121</v>
      </c>
      <c r="U98" s="87">
        <f>IFERROR(VLOOKUP(T98,$B$3:$F$73,5,FALSE),"")</f>
        <v>0.36759999999999998</v>
      </c>
      <c r="V98" s="88"/>
    </row>
    <row r="99" spans="8:22" s="175" customFormat="1" x14ac:dyDescent="0.3">
      <c r="H99" s="176" t="s">
        <v>429</v>
      </c>
      <c r="I99" s="214">
        <v>0.42709999999999998</v>
      </c>
      <c r="J99" s="177"/>
      <c r="T99" s="176"/>
      <c r="U99" s="195"/>
      <c r="V99" s="177"/>
    </row>
    <row r="100" spans="8:22" s="175" customFormat="1" x14ac:dyDescent="0.3">
      <c r="H100" s="176" t="s">
        <v>461</v>
      </c>
      <c r="I100" s="214">
        <v>9.035E-2</v>
      </c>
      <c r="J100" s="177"/>
      <c r="T100" s="176"/>
      <c r="U100" s="195"/>
      <c r="V100" s="177"/>
    </row>
    <row r="101" spans="8:22" x14ac:dyDescent="0.3">
      <c r="H101" s="176"/>
      <c r="I101" s="213" t="str">
        <f>IFERROR(VLOOKUP(H101,$B$3:$F$69,5,FALSE),"")</f>
        <v/>
      </c>
      <c r="J101" s="177"/>
      <c r="T101" s="43" t="s">
        <v>150</v>
      </c>
      <c r="U101" s="87" t="str">
        <f>IFERROR(VLOOKUP(T101,$B$3:$F$73,5,FALSE),"")</f>
        <v/>
      </c>
      <c r="V101" s="128"/>
    </row>
    <row r="102" spans="8:22" x14ac:dyDescent="0.3">
      <c r="H102" s="176"/>
      <c r="I102" s="213" t="str">
        <f>IFERROR(VLOOKUP(H102,$B$3:$F$69,5,FALSE),"")</f>
        <v/>
      </c>
      <c r="J102" s="177"/>
      <c r="T102" s="43"/>
      <c r="U102" s="87" t="str">
        <f>IFERROR(VLOOKUP(T102,$B$3:$F$73,5,FALSE),"")</f>
        <v/>
      </c>
      <c r="V102" s="88"/>
    </row>
    <row r="103" spans="8:22" s="175" customFormat="1" x14ac:dyDescent="0.3">
      <c r="H103" s="176"/>
      <c r="I103" s="213" t="str">
        <f>IFERROR(VLOOKUP(H103,$B$3:$F$69,5,FALSE),"")</f>
        <v/>
      </c>
      <c r="J103" s="177"/>
      <c r="T103" s="176"/>
      <c r="U103" s="195"/>
      <c r="V103" s="177"/>
    </row>
    <row r="104" spans="8:22" s="175" customFormat="1" x14ac:dyDescent="0.3">
      <c r="H104" s="176"/>
      <c r="I104" s="213" t="str">
        <f>IFERROR(VLOOKUP(H104,$B$3:$F$69,5,FALSE),"")</f>
        <v/>
      </c>
      <c r="J104" s="177"/>
      <c r="T104" s="176"/>
      <c r="U104" s="195"/>
      <c r="V104" s="177"/>
    </row>
    <row r="105" spans="8:22" s="175" customFormat="1" x14ac:dyDescent="0.3">
      <c r="H105" s="196"/>
      <c r="I105" s="213" t="str">
        <f>IFERROR(VLOOKUP(H105,$B$3:$F$69,5,FALSE),"")</f>
        <v/>
      </c>
      <c r="J105" s="208"/>
      <c r="T105" s="176"/>
      <c r="U105" s="195"/>
      <c r="V105" s="177"/>
    </row>
    <row r="106" spans="8:22" x14ac:dyDescent="0.3">
      <c r="H106" s="196"/>
      <c r="I106" s="213" t="str">
        <f>IFERROR(VLOOKUP(H106,$B$3:$F$69,5,FALSE),"")</f>
        <v/>
      </c>
      <c r="J106" s="201"/>
      <c r="T106" s="43"/>
      <c r="U106" s="87" t="str">
        <f>IFERROR(VLOOKUP(T106,$B$3:$F$73,5,FALSE),"")</f>
        <v/>
      </c>
      <c r="V106" s="88"/>
    </row>
    <row r="107" spans="8:22" s="175" customFormat="1" x14ac:dyDescent="0.3">
      <c r="H107" s="196"/>
      <c r="I107" s="213" t="str">
        <f>IFERROR(VLOOKUP(H107,$B$3:$F$69,5,FALSE),"")</f>
        <v/>
      </c>
      <c r="J107" s="201"/>
      <c r="T107" s="176"/>
      <c r="U107" s="195"/>
      <c r="V107" s="177"/>
    </row>
    <row r="108" spans="8:22" x14ac:dyDescent="0.3">
      <c r="H108" s="200" t="s">
        <v>75</v>
      </c>
      <c r="I108" s="213" t="str">
        <f>IFERROR(VLOOKUP(H108,$B$3:$F$69,5,FALSE),"")</f>
        <v/>
      </c>
      <c r="J108" s="201">
        <f>SUM(I108:I114)</f>
        <v>0.93120000000000003</v>
      </c>
      <c r="T108" s="43"/>
      <c r="U108" s="87" t="str">
        <f>IFERROR(VLOOKUP(T108,$B$3:$F$73,5,FALSE),"")</f>
        <v/>
      </c>
      <c r="V108" s="88"/>
    </row>
    <row r="109" spans="8:22" x14ac:dyDescent="0.3">
      <c r="H109" s="196" t="s">
        <v>215</v>
      </c>
      <c r="I109" s="213" t="str">
        <f>IFERROR(VLOOKUP(H109,$B$3:$F$69,5,FALSE),"")</f>
        <v/>
      </c>
      <c r="J109" s="201"/>
      <c r="T109" s="46" t="s">
        <v>74</v>
      </c>
      <c r="U109" s="87" t="str">
        <f>IFERROR(VLOOKUP(T109,$B$3:$F$73,5,FALSE),"")</f>
        <v/>
      </c>
      <c r="V109" s="88">
        <f>SUM(U109:U112)</f>
        <v>0</v>
      </c>
    </row>
    <row r="110" spans="8:22" s="175" customFormat="1" x14ac:dyDescent="0.3">
      <c r="H110" s="196" t="s">
        <v>151</v>
      </c>
      <c r="I110" s="213" t="str">
        <f>IFERROR(VLOOKUP(H110,$B$3:$F$69,5,FALSE),"")</f>
        <v/>
      </c>
      <c r="J110" s="201"/>
      <c r="T110" s="176"/>
      <c r="U110" s="195"/>
      <c r="V110" s="177"/>
    </row>
    <row r="111" spans="8:22" x14ac:dyDescent="0.3">
      <c r="H111" s="196" t="s">
        <v>14</v>
      </c>
      <c r="I111" s="211">
        <v>0.93120000000000003</v>
      </c>
      <c r="J111" s="201"/>
      <c r="T111" s="43"/>
      <c r="U111" s="87"/>
      <c r="V111" s="88"/>
    </row>
    <row r="112" spans="8:22" x14ac:dyDescent="0.3">
      <c r="H112" s="196" t="s">
        <v>152</v>
      </c>
      <c r="I112" s="213" t="str">
        <f>IFERROR(VLOOKUP(H112,$B$3:$F$69,5,FALSE),"")</f>
        <v/>
      </c>
      <c r="J112" s="201"/>
      <c r="T112" s="43"/>
      <c r="U112" s="87" t="str">
        <f>IFERROR(VLOOKUP(T112,$B$3:$F$73,5,FALSE),"")</f>
        <v/>
      </c>
      <c r="V112" s="88"/>
    </row>
    <row r="113" spans="8:22" x14ac:dyDescent="0.3">
      <c r="H113" s="196" t="s">
        <v>211</v>
      </c>
      <c r="I113" s="213" t="str">
        <f>IFERROR(VLOOKUP(H113,$B$3:$F$69,5,FALSE),"")</f>
        <v/>
      </c>
      <c r="J113" s="201"/>
      <c r="T113" s="46" t="s">
        <v>75</v>
      </c>
      <c r="U113" s="87" t="str">
        <f>IFERROR(VLOOKUP(T113,$B$3:$F$73,5,FALSE),"")</f>
        <v/>
      </c>
      <c r="V113" s="88">
        <f>SUM(U113:U119)</f>
        <v>0.69840000000000002</v>
      </c>
    </row>
    <row r="114" spans="8:22" x14ac:dyDescent="0.3">
      <c r="H114" s="196" t="s">
        <v>212</v>
      </c>
      <c r="I114" s="213" t="str">
        <f>IFERROR(VLOOKUP(H114,$B$3:$F$69,5,FALSE),"")</f>
        <v/>
      </c>
      <c r="J114" s="201"/>
      <c r="T114" s="43" t="s">
        <v>215</v>
      </c>
      <c r="U114" s="87" t="str">
        <f>IFERROR(VLOOKUP(T114,$B$3:$F$73,5,FALSE),"")</f>
        <v/>
      </c>
      <c r="V114" s="88"/>
    </row>
    <row r="115" spans="8:22" x14ac:dyDescent="0.3">
      <c r="H115" s="200" t="s">
        <v>76</v>
      </c>
      <c r="I115" s="213" t="str">
        <f>IFERROR(VLOOKUP(H115,$B$3:$F$69,5,FALSE),"")</f>
        <v/>
      </c>
      <c r="J115" s="201">
        <f>SUM(I115:I119)</f>
        <v>0</v>
      </c>
      <c r="T115" s="43" t="s">
        <v>151</v>
      </c>
      <c r="U115" s="87">
        <v>0.46560000000000001</v>
      </c>
      <c r="V115" s="88"/>
    </row>
    <row r="116" spans="8:22" x14ac:dyDescent="0.3">
      <c r="H116" s="196"/>
      <c r="I116" s="213" t="str">
        <f>IFERROR(VLOOKUP(H116,$B$3:$F$69,5,FALSE),"")</f>
        <v/>
      </c>
      <c r="J116" s="208"/>
      <c r="T116" s="43" t="s">
        <v>14</v>
      </c>
      <c r="U116" s="87">
        <v>0.23280000000000001</v>
      </c>
      <c r="V116" s="88"/>
    </row>
    <row r="117" spans="8:22" x14ac:dyDescent="0.3">
      <c r="H117" s="196"/>
      <c r="I117" s="213" t="str">
        <f>IFERROR(VLOOKUP(H117,$B$3:$F$69,5,FALSE),"")</f>
        <v/>
      </c>
      <c r="J117" s="201"/>
      <c r="T117" s="43" t="s">
        <v>152</v>
      </c>
      <c r="U117" s="87" t="str">
        <f>IFERROR(VLOOKUP(T117,$B$3:$F$73,5,FALSE),"")</f>
        <v/>
      </c>
      <c r="V117" s="88"/>
    </row>
    <row r="118" spans="8:22" x14ac:dyDescent="0.3">
      <c r="H118" s="196"/>
      <c r="I118" s="213" t="str">
        <f>IFERROR(VLOOKUP(H118,$B$3:$F$69,5,FALSE),"")</f>
        <v/>
      </c>
      <c r="J118" s="201"/>
      <c r="T118" s="43" t="s">
        <v>211</v>
      </c>
      <c r="U118" s="87" t="str">
        <f>IFERROR(VLOOKUP(T118,$B$3:$F$73,5,FALSE),"")</f>
        <v/>
      </c>
      <c r="V118" s="88"/>
    </row>
    <row r="119" spans="8:22" x14ac:dyDescent="0.3">
      <c r="H119" s="196"/>
      <c r="I119" s="213" t="str">
        <f>IFERROR(VLOOKUP(H119,$B$3:$F$69,5,FALSE),"")</f>
        <v/>
      </c>
      <c r="J119" s="201"/>
      <c r="T119" s="43" t="s">
        <v>212</v>
      </c>
      <c r="U119" s="87" t="str">
        <f>IFERROR(VLOOKUP(T119,$B$3:$F$73,5,FALSE),"")</f>
        <v/>
      </c>
      <c r="V119" s="88"/>
    </row>
    <row r="120" spans="8:22" x14ac:dyDescent="0.3">
      <c r="H120" s="200" t="s">
        <v>78</v>
      </c>
      <c r="I120" s="213" t="str">
        <f>IFERROR(VLOOKUP(H120,$B$3:$F$69,5,FALSE),"")</f>
        <v/>
      </c>
      <c r="J120" s="201">
        <f>SUM(I120:I126)</f>
        <v>0</v>
      </c>
      <c r="T120" s="46" t="s">
        <v>76</v>
      </c>
      <c r="U120" s="87" t="str">
        <f>IFERROR(VLOOKUP(T120,$B$3:$F$73,5,FALSE),"")</f>
        <v/>
      </c>
      <c r="V120" s="88">
        <f>SUM(U120:U125)</f>
        <v>0</v>
      </c>
    </row>
    <row r="121" spans="8:22" s="175" customFormat="1" x14ac:dyDescent="0.3">
      <c r="H121" s="176"/>
      <c r="I121" s="213" t="str">
        <f>IFERROR(VLOOKUP(H121,$B$3:$F$69,5,FALSE),"")</f>
        <v/>
      </c>
      <c r="J121" s="177"/>
      <c r="T121" s="176"/>
      <c r="U121" s="195"/>
      <c r="V121" s="177"/>
    </row>
    <row r="122" spans="8:22" x14ac:dyDescent="0.3">
      <c r="H122" s="196"/>
      <c r="I122" s="213" t="str">
        <f>IFERROR(VLOOKUP(H122,$B$3:$F$69,5,FALSE),"")</f>
        <v/>
      </c>
      <c r="J122" s="208"/>
      <c r="T122" s="43"/>
      <c r="U122" s="87"/>
      <c r="V122" s="88"/>
    </row>
    <row r="123" spans="8:22" x14ac:dyDescent="0.3">
      <c r="H123" s="196"/>
      <c r="I123" s="213" t="str">
        <f>IFERROR(VLOOKUP(H123,$B$3:$F$69,5,FALSE),"")</f>
        <v/>
      </c>
      <c r="J123" s="208"/>
      <c r="T123" s="43"/>
      <c r="U123" s="87"/>
      <c r="V123" s="88"/>
    </row>
    <row r="124" spans="8:22" s="175" customFormat="1" x14ac:dyDescent="0.3">
      <c r="H124" s="196"/>
      <c r="I124" s="213" t="str">
        <f>IFERROR(VLOOKUP(H124,$B$3:$F$69,5,FALSE),"")</f>
        <v/>
      </c>
      <c r="J124" s="208"/>
      <c r="T124" s="176"/>
      <c r="U124" s="195"/>
      <c r="V124" s="177"/>
    </row>
    <row r="125" spans="8:22" x14ac:dyDescent="0.3">
      <c r="H125" s="196"/>
      <c r="I125" s="213" t="str">
        <f>IFERROR(VLOOKUP(H125,$B$3:$F$69,5,FALSE),"")</f>
        <v/>
      </c>
      <c r="J125" s="201"/>
      <c r="T125" s="43"/>
      <c r="U125" s="87" t="str">
        <f>IFERROR(VLOOKUP(T125,$B$3:$F$73,5,FALSE),"")</f>
        <v/>
      </c>
      <c r="V125" s="88"/>
    </row>
    <row r="126" spans="8:22" x14ac:dyDescent="0.3">
      <c r="H126" s="196"/>
      <c r="I126" s="213" t="str">
        <f>IFERROR(VLOOKUP(H126,$B$3:$F$69,5,FALSE),"")</f>
        <v/>
      </c>
      <c r="J126" s="201"/>
      <c r="T126" s="46" t="s">
        <v>78</v>
      </c>
      <c r="U126" s="87" t="str">
        <f>IFERROR(VLOOKUP(T126,$B$3:$F$73,5,FALSE),"")</f>
        <v/>
      </c>
      <c r="V126" s="88">
        <f>SUM(U126:U131)</f>
        <v>0</v>
      </c>
    </row>
    <row r="127" spans="8:22" x14ac:dyDescent="0.3">
      <c r="H127" s="200" t="s">
        <v>77</v>
      </c>
      <c r="I127" s="213" t="str">
        <f>IFERROR(VLOOKUP(H127,$B$3:$F$69,5,FALSE),"")</f>
        <v/>
      </c>
      <c r="J127" s="201">
        <f>SUM(I127:I175)</f>
        <v>14.157099999999998</v>
      </c>
      <c r="T127" s="176"/>
      <c r="U127" s="87" t="str">
        <f>IFERROR(VLOOKUP(T127,$B$3:$F$73,5,FALSE),"")</f>
        <v/>
      </c>
      <c r="V127" s="177"/>
    </row>
    <row r="128" spans="8:22" s="175" customFormat="1" x14ac:dyDescent="0.3">
      <c r="H128" s="196" t="s">
        <v>60</v>
      </c>
      <c r="I128" s="213">
        <f>IFERROR(VLOOKUP(H128,$B$3:$F$69,5,FALSE),"")</f>
        <v>0.57220000000000004</v>
      </c>
      <c r="J128" s="201"/>
      <c r="T128" s="43"/>
      <c r="U128" s="87"/>
      <c r="V128" s="132"/>
    </row>
    <row r="129" spans="8:22" x14ac:dyDescent="0.3">
      <c r="H129" s="196" t="s">
        <v>153</v>
      </c>
      <c r="I129" s="213" t="str">
        <f>IFERROR(VLOOKUP(H129,$B$3:$F$69,5,FALSE),"")</f>
        <v/>
      </c>
      <c r="J129" s="201"/>
      <c r="T129" s="43"/>
      <c r="U129" s="87" t="str">
        <f>IFERROR(VLOOKUP(T129,$B$3:$F$73,5,FALSE),"")</f>
        <v/>
      </c>
      <c r="V129" s="132"/>
    </row>
    <row r="130" spans="8:22" x14ac:dyDescent="0.3">
      <c r="H130" s="196" t="s">
        <v>154</v>
      </c>
      <c r="I130" s="213" t="str">
        <f>IFERROR(VLOOKUP(H130,$B$3:$F$69,5,FALSE),"")</f>
        <v/>
      </c>
      <c r="J130" s="201"/>
      <c r="T130" s="43"/>
      <c r="U130" s="87" t="str">
        <f>IFERROR(VLOOKUP(T130,$B$3:$F$73,5,FALSE),"")</f>
        <v/>
      </c>
      <c r="V130" s="88"/>
    </row>
    <row r="131" spans="8:22" x14ac:dyDescent="0.3">
      <c r="H131" s="196" t="s">
        <v>114</v>
      </c>
      <c r="I131" s="213">
        <f>IFERROR(VLOOKUP(H131,$B$3:$F$69,5,FALSE),"")</f>
        <v>0.80359999999999998</v>
      </c>
      <c r="J131" s="201"/>
      <c r="T131" s="43"/>
      <c r="U131" s="87" t="str">
        <f>IFERROR(VLOOKUP(T131,$B$3:$F$73,5,FALSE),"")</f>
        <v/>
      </c>
      <c r="V131" s="88"/>
    </row>
    <row r="132" spans="8:22" x14ac:dyDescent="0.3">
      <c r="H132" s="196" t="s">
        <v>116</v>
      </c>
      <c r="I132" s="213">
        <f>IFERROR(VLOOKUP(H132,$B$3:$F$69,5,FALSE),"")</f>
        <v>0.89659999999999995</v>
      </c>
      <c r="J132" s="200"/>
      <c r="L132" s="211"/>
      <c r="T132" s="46" t="s">
        <v>77</v>
      </c>
      <c r="U132" s="87" t="str">
        <f>IFERROR(VLOOKUP(T132,$B$3:$F$73,5,FALSE),"")</f>
        <v/>
      </c>
      <c r="V132" s="88">
        <f>SUM(U132:U180)</f>
        <v>14.157099999999998</v>
      </c>
    </row>
    <row r="133" spans="8:22" x14ac:dyDescent="0.3">
      <c r="H133" s="196" t="s">
        <v>62</v>
      </c>
      <c r="I133" s="213">
        <f>IFERROR(VLOOKUP(H133,$B$3:$F$69,5,FALSE),"")</f>
        <v>0.29099999999999998</v>
      </c>
      <c r="J133" s="200"/>
      <c r="T133" s="43" t="s">
        <v>60</v>
      </c>
      <c r="U133" s="87">
        <f>IFERROR(VLOOKUP(T133,$B$3:$F$73,5,FALSE),"")</f>
        <v>0.57220000000000004</v>
      </c>
      <c r="V133" s="88"/>
    </row>
    <row r="134" spans="8:22" x14ac:dyDescent="0.3">
      <c r="H134" s="196" t="s">
        <v>48</v>
      </c>
      <c r="I134" s="213">
        <f>IFERROR(VLOOKUP(H134,$B$3:$F$69,5,FALSE),"")</f>
        <v>7.1800000000000003E-2</v>
      </c>
      <c r="J134" s="200"/>
      <c r="T134" s="43" t="s">
        <v>153</v>
      </c>
      <c r="U134" s="87" t="str">
        <f>IFERROR(VLOOKUP(T134,$B$3:$F$73,5,FALSE),"")</f>
        <v/>
      </c>
      <c r="V134" s="88"/>
    </row>
    <row r="135" spans="8:22" x14ac:dyDescent="0.3">
      <c r="H135" s="196" t="s">
        <v>63</v>
      </c>
      <c r="I135" s="213">
        <f>IFERROR(VLOOKUP(H135,$B$3:$F$69,5,FALSE),"")</f>
        <v>9.3600000000000003E-2</v>
      </c>
      <c r="J135" s="200"/>
      <c r="T135" s="43" t="s">
        <v>154</v>
      </c>
      <c r="U135" s="87" t="str">
        <f>IFERROR(VLOOKUP(T135,$B$3:$F$73,5,FALSE),"")</f>
        <v/>
      </c>
      <c r="V135" s="88"/>
    </row>
    <row r="136" spans="8:22" x14ac:dyDescent="0.3">
      <c r="H136" s="196" t="s">
        <v>131</v>
      </c>
      <c r="I136" s="213">
        <f>IFERROR(VLOOKUP(H136,$B$3:$F$69,5,FALSE),"")</f>
        <v>0.98089999999999999</v>
      </c>
      <c r="J136" s="200"/>
      <c r="T136" s="43" t="s">
        <v>114</v>
      </c>
      <c r="U136" s="87">
        <f>IFERROR(VLOOKUP(T136,$B$3:$F$73,5,FALSE),"")</f>
        <v>0.80359999999999998</v>
      </c>
      <c r="V136" s="88"/>
    </row>
    <row r="137" spans="8:22" x14ac:dyDescent="0.3">
      <c r="H137" s="196" t="s">
        <v>155</v>
      </c>
      <c r="I137" s="213" t="str">
        <f>IFERROR(VLOOKUP(H137,$B$3:$F$69,5,FALSE),"")</f>
        <v/>
      </c>
      <c r="J137" s="200"/>
      <c r="T137" s="43" t="s">
        <v>116</v>
      </c>
      <c r="U137" s="87">
        <f>IFERROR(VLOOKUP(T137,$B$3:$F$73,5,FALSE),"")</f>
        <v>0.89659999999999995</v>
      </c>
      <c r="V137" s="46"/>
    </row>
    <row r="138" spans="8:22" x14ac:dyDescent="0.3">
      <c r="H138" s="196" t="s">
        <v>156</v>
      </c>
      <c r="I138" s="213" t="str">
        <f>IFERROR(VLOOKUP(H138,$B$3:$F$69,5,FALSE),"")</f>
        <v/>
      </c>
      <c r="J138" s="200"/>
      <c r="T138" s="43" t="s">
        <v>62</v>
      </c>
      <c r="U138" s="87">
        <f>IFERROR(VLOOKUP(T138,$B$3:$F$73,5,FALSE),"")</f>
        <v>0.29099999999999998</v>
      </c>
      <c r="V138" s="46"/>
    </row>
    <row r="139" spans="8:22" x14ac:dyDescent="0.3">
      <c r="H139" s="196" t="s">
        <v>64</v>
      </c>
      <c r="I139" s="213">
        <f>IFERROR(VLOOKUP(H139,$B$3:$F$69,5,FALSE),"")</f>
        <v>0.77470000000000006</v>
      </c>
      <c r="J139" s="200"/>
      <c r="T139" s="43" t="s">
        <v>48</v>
      </c>
      <c r="U139" s="87">
        <f>IFERROR(VLOOKUP(T139,$B$3:$F$73,5,FALSE),"")</f>
        <v>7.1800000000000003E-2</v>
      </c>
      <c r="V139" s="46"/>
    </row>
    <row r="140" spans="8:22" x14ac:dyDescent="0.3">
      <c r="H140" s="196" t="s">
        <v>24</v>
      </c>
      <c r="I140" s="213">
        <f>IFERROR(VLOOKUP(H140,$B$3:$F$69,5,FALSE),"")</f>
        <v>0.41470000000000001</v>
      </c>
      <c r="J140" s="200"/>
      <c r="T140" s="43" t="s">
        <v>63</v>
      </c>
      <c r="U140" s="87">
        <f>IFERROR(VLOOKUP(T140,$B$3:$F$73,5,FALSE),"")</f>
        <v>9.3600000000000003E-2</v>
      </c>
      <c r="V140" s="46"/>
    </row>
    <row r="141" spans="8:22" x14ac:dyDescent="0.3">
      <c r="H141" s="196" t="s">
        <v>34</v>
      </c>
      <c r="I141" s="213">
        <f>IFERROR(VLOOKUP(H141,$B$3:$F$69,5,FALSE),"")</f>
        <v>0.52310000000000001</v>
      </c>
      <c r="J141" s="200"/>
      <c r="T141" s="43" t="s">
        <v>131</v>
      </c>
      <c r="U141" s="87">
        <f>IFERROR(VLOOKUP(T141,$B$3:$F$73,5,FALSE),"")</f>
        <v>0.98089999999999999</v>
      </c>
      <c r="V141" s="46"/>
    </row>
    <row r="142" spans="8:22" x14ac:dyDescent="0.3">
      <c r="H142" s="196" t="s">
        <v>157</v>
      </c>
      <c r="I142" s="213" t="str">
        <f>IFERROR(VLOOKUP(H142,$B$3:$F$69,5,FALSE),"")</f>
        <v/>
      </c>
      <c r="J142" s="200"/>
      <c r="T142" s="43" t="s">
        <v>155</v>
      </c>
      <c r="U142" s="87" t="str">
        <f>IFERROR(VLOOKUP(T142,$B$3:$F$73,5,FALSE),"")</f>
        <v/>
      </c>
      <c r="V142" s="46"/>
    </row>
    <row r="143" spans="8:22" x14ac:dyDescent="0.3">
      <c r="H143" s="196" t="s">
        <v>158</v>
      </c>
      <c r="I143" s="213" t="str">
        <f>IFERROR(VLOOKUP(H143,$B$3:$F$69,5,FALSE),"")</f>
        <v/>
      </c>
      <c r="J143" s="200"/>
      <c r="T143" s="43" t="s">
        <v>156</v>
      </c>
      <c r="U143" s="87" t="str">
        <f>IFERROR(VLOOKUP(T143,$B$3:$F$73,5,FALSE),"")</f>
        <v/>
      </c>
      <c r="V143" s="46"/>
    </row>
    <row r="144" spans="8:22" x14ac:dyDescent="0.3">
      <c r="H144" s="196" t="s">
        <v>159</v>
      </c>
      <c r="I144" s="213" t="str">
        <f>IFERROR(VLOOKUP(H144,$B$3:$F$69,5,FALSE),"")</f>
        <v/>
      </c>
      <c r="J144" s="200"/>
      <c r="T144" s="43" t="s">
        <v>64</v>
      </c>
      <c r="U144" s="87">
        <f>IFERROR(VLOOKUP(T144,$B$3:$F$73,5,FALSE),"")</f>
        <v>0.77470000000000006</v>
      </c>
      <c r="V144" s="46"/>
    </row>
    <row r="145" spans="8:22" x14ac:dyDescent="0.3">
      <c r="H145" s="196" t="s">
        <v>160</v>
      </c>
      <c r="I145" s="213" t="str">
        <f>IFERROR(VLOOKUP(H145,$B$3:$F$69,5,FALSE),"")</f>
        <v/>
      </c>
      <c r="J145" s="200"/>
      <c r="T145" s="43" t="s">
        <v>24</v>
      </c>
      <c r="U145" s="87">
        <f>IFERROR(VLOOKUP(T145,$B$3:$F$73,5,FALSE),"")</f>
        <v>0.41470000000000001</v>
      </c>
      <c r="V145" s="46"/>
    </row>
    <row r="146" spans="8:22" x14ac:dyDescent="0.3">
      <c r="H146" s="196" t="s">
        <v>50</v>
      </c>
      <c r="I146" s="213">
        <f>IFERROR(VLOOKUP(H146,$B$3:$F$69,5,FALSE),"")</f>
        <v>4.8500000000000001E-2</v>
      </c>
      <c r="J146" s="200"/>
      <c r="T146" s="43" t="s">
        <v>34</v>
      </c>
      <c r="U146" s="87">
        <f>IFERROR(VLOOKUP(T146,$B$3:$F$73,5,FALSE),"")</f>
        <v>0.52310000000000001</v>
      </c>
      <c r="V146" s="46"/>
    </row>
    <row r="147" spans="8:22" x14ac:dyDescent="0.3">
      <c r="H147" s="196" t="s">
        <v>161</v>
      </c>
      <c r="I147" s="213" t="str">
        <f>IFERROR(VLOOKUP(H147,$B$3:$F$69,5,FALSE),"")</f>
        <v/>
      </c>
      <c r="J147" s="200"/>
      <c r="T147" s="43" t="s">
        <v>157</v>
      </c>
      <c r="U147" s="87" t="str">
        <f>IFERROR(VLOOKUP(T147,$B$3:$F$73,5,FALSE),"")</f>
        <v/>
      </c>
      <c r="V147" s="46"/>
    </row>
    <row r="148" spans="8:22" x14ac:dyDescent="0.3">
      <c r="H148" s="196" t="s">
        <v>162</v>
      </c>
      <c r="I148" s="213" t="str">
        <f>IFERROR(VLOOKUP(H148,$B$3:$F$69,5,FALSE),"")</f>
        <v/>
      </c>
      <c r="J148" s="200"/>
      <c r="T148" s="43" t="s">
        <v>158</v>
      </c>
      <c r="U148" s="87" t="str">
        <f>IFERROR(VLOOKUP(T148,$B$3:$F$73,5,FALSE),"")</f>
        <v/>
      </c>
      <c r="V148" s="46"/>
    </row>
    <row r="149" spans="8:22" x14ac:dyDescent="0.3">
      <c r="H149" s="196" t="s">
        <v>7</v>
      </c>
      <c r="I149" s="213">
        <f>IFERROR(VLOOKUP(H149,$B$3:$F$69,5,FALSE),"")</f>
        <v>7.2099999999999997E-2</v>
      </c>
      <c r="J149" s="200"/>
      <c r="T149" s="43" t="s">
        <v>159</v>
      </c>
      <c r="U149" s="87" t="str">
        <f>IFERROR(VLOOKUP(T149,$B$3:$F$73,5,FALSE),"")</f>
        <v/>
      </c>
      <c r="V149" s="46"/>
    </row>
    <row r="150" spans="8:22" x14ac:dyDescent="0.3">
      <c r="H150" s="196" t="s">
        <v>27</v>
      </c>
      <c r="I150" s="213">
        <f>IFERROR(VLOOKUP(H150,$B$3:$F$69,5,FALSE),"")</f>
        <v>0.3967</v>
      </c>
      <c r="J150" s="200"/>
      <c r="T150" s="43" t="s">
        <v>160</v>
      </c>
      <c r="U150" s="87" t="str">
        <f>IFERROR(VLOOKUP(T150,$B$3:$F$73,5,FALSE),"")</f>
        <v/>
      </c>
      <c r="V150" s="46"/>
    </row>
    <row r="151" spans="8:22" x14ac:dyDescent="0.3">
      <c r="H151" s="196" t="s">
        <v>163</v>
      </c>
      <c r="I151" s="213" t="str">
        <f>IFERROR(VLOOKUP(H151,$B$3:$F$69,5,FALSE),"")</f>
        <v/>
      </c>
      <c r="J151" s="200"/>
      <c r="T151" s="43" t="s">
        <v>50</v>
      </c>
      <c r="U151" s="87">
        <f>IFERROR(VLOOKUP(T151,$B$3:$F$73,5,FALSE),"")</f>
        <v>4.8500000000000001E-2</v>
      </c>
      <c r="V151" s="46"/>
    </row>
    <row r="152" spans="8:22" x14ac:dyDescent="0.3">
      <c r="H152" s="196" t="s">
        <v>164</v>
      </c>
      <c r="I152" s="213" t="str">
        <f>IFERROR(VLOOKUP(H152,$B$3:$F$69,5,FALSE),"")</f>
        <v/>
      </c>
      <c r="J152" s="200"/>
      <c r="T152" s="43" t="s">
        <v>161</v>
      </c>
      <c r="U152" s="87" t="str">
        <f>IFERROR(VLOOKUP(T152,$B$3:$F$73,5,FALSE),"")</f>
        <v/>
      </c>
      <c r="V152" s="46"/>
    </row>
    <row r="153" spans="8:22" x14ac:dyDescent="0.3">
      <c r="H153" s="196" t="s">
        <v>165</v>
      </c>
      <c r="I153" s="213" t="str">
        <f>IFERROR(VLOOKUP(H153,$B$3:$F$69,5,FALSE),"")</f>
        <v/>
      </c>
      <c r="J153" s="200"/>
      <c r="T153" s="43" t="s">
        <v>162</v>
      </c>
      <c r="U153" s="87" t="str">
        <f>IFERROR(VLOOKUP(T153,$B$3:$F$73,5,FALSE),"")</f>
        <v/>
      </c>
      <c r="V153" s="46"/>
    </row>
    <row r="154" spans="8:22" x14ac:dyDescent="0.3">
      <c r="H154" s="196" t="s">
        <v>166</v>
      </c>
      <c r="I154" s="213" t="str">
        <f>IFERROR(VLOOKUP(H154,$B$3:$F$69,5,FALSE),"")</f>
        <v/>
      </c>
      <c r="J154" s="200"/>
      <c r="T154" s="43" t="s">
        <v>7</v>
      </c>
      <c r="U154" s="87">
        <f>IFERROR(VLOOKUP(T154,$B$3:$F$73,5,FALSE),"")</f>
        <v>7.2099999999999997E-2</v>
      </c>
      <c r="V154" s="46"/>
    </row>
    <row r="155" spans="8:22" x14ac:dyDescent="0.3">
      <c r="H155" s="196" t="s">
        <v>135</v>
      </c>
      <c r="I155" s="213">
        <f>IFERROR(VLOOKUP(H155,$B$3:$F$69,5,FALSE),"")</f>
        <v>0.90029999999999999</v>
      </c>
      <c r="J155" s="200"/>
      <c r="T155" s="43" t="s">
        <v>27</v>
      </c>
      <c r="U155" s="87">
        <f>IFERROR(VLOOKUP(T155,$B$3:$F$73,5,FALSE),"")</f>
        <v>0.3967</v>
      </c>
      <c r="V155" s="46"/>
    </row>
    <row r="156" spans="8:22" x14ac:dyDescent="0.3">
      <c r="H156" s="196" t="s">
        <v>123</v>
      </c>
      <c r="I156" s="213">
        <f>IFERROR(VLOOKUP(H156,$B$3:$F$69,5,FALSE),"")</f>
        <v>0.37890000000000001</v>
      </c>
      <c r="J156" s="200"/>
      <c r="T156" s="43" t="s">
        <v>163</v>
      </c>
      <c r="U156" s="87" t="str">
        <f>IFERROR(VLOOKUP(T156,$B$3:$F$73,5,FALSE),"")</f>
        <v/>
      </c>
      <c r="V156" s="46"/>
    </row>
    <row r="157" spans="8:22" x14ac:dyDescent="0.3">
      <c r="H157" s="196" t="s">
        <v>125</v>
      </c>
      <c r="I157" s="213">
        <f>IFERROR(VLOOKUP(H157,$B$3:$F$69,5,FALSE),"")</f>
        <v>0.90859999999999996</v>
      </c>
      <c r="J157" s="200"/>
      <c r="T157" s="43" t="s">
        <v>164</v>
      </c>
      <c r="U157" s="87" t="str">
        <f>IFERROR(VLOOKUP(T157,$B$3:$F$73,5,FALSE),"")</f>
        <v/>
      </c>
      <c r="V157" s="46"/>
    </row>
    <row r="158" spans="8:22" x14ac:dyDescent="0.3">
      <c r="H158" s="196" t="s">
        <v>167</v>
      </c>
      <c r="I158" s="213" t="str">
        <f>IFERROR(VLOOKUP(H158,$B$3:$F$69,5,FALSE),"")</f>
        <v/>
      </c>
      <c r="J158" s="200"/>
      <c r="T158" s="43" t="s">
        <v>165</v>
      </c>
      <c r="U158" s="87" t="str">
        <f>IFERROR(VLOOKUP(T158,$B$3:$F$73,5,FALSE),"")</f>
        <v/>
      </c>
      <c r="V158" s="46"/>
    </row>
    <row r="159" spans="8:22" x14ac:dyDescent="0.3">
      <c r="H159" s="196" t="s">
        <v>65</v>
      </c>
      <c r="I159" s="213">
        <f>IFERROR(VLOOKUP(H159,$B$3:$F$69,5,FALSE),"")</f>
        <v>0.7137</v>
      </c>
      <c r="J159" s="200"/>
      <c r="T159" s="43" t="s">
        <v>166</v>
      </c>
      <c r="U159" s="87" t="str">
        <f>IFERROR(VLOOKUP(T159,$B$3:$F$73,5,FALSE),"")</f>
        <v/>
      </c>
      <c r="V159" s="46"/>
    </row>
    <row r="160" spans="8:22" x14ac:dyDescent="0.3">
      <c r="H160" s="196" t="s">
        <v>41</v>
      </c>
      <c r="I160" s="213">
        <f>IFERROR(VLOOKUP(H160,$B$3:$F$69,5,FALSE),"")</f>
        <v>0.84079999999999999</v>
      </c>
      <c r="J160" s="200"/>
      <c r="T160" s="43" t="s">
        <v>135</v>
      </c>
      <c r="U160" s="87">
        <f>IFERROR(VLOOKUP(T160,$B$3:$F$73,5,FALSE),"")</f>
        <v>0.90029999999999999</v>
      </c>
      <c r="V160" s="46"/>
    </row>
    <row r="161" spans="8:22" x14ac:dyDescent="0.3">
      <c r="H161" s="196" t="s">
        <v>42</v>
      </c>
      <c r="I161" s="213">
        <f>IFERROR(VLOOKUP(H161,$B$3:$F$69,5,FALSE),"")</f>
        <v>0.77139999999999997</v>
      </c>
      <c r="J161" s="200"/>
      <c r="T161" s="43" t="s">
        <v>123</v>
      </c>
      <c r="U161" s="87">
        <f>IFERROR(VLOOKUP(T161,$B$3:$F$73,5,FALSE),"")</f>
        <v>0.37890000000000001</v>
      </c>
      <c r="V161" s="46"/>
    </row>
    <row r="162" spans="8:22" x14ac:dyDescent="0.3">
      <c r="H162" s="196" t="s">
        <v>29</v>
      </c>
      <c r="I162" s="213">
        <f>IFERROR(VLOOKUP(H162,$B$3:$F$69,5,FALSE),"")</f>
        <v>0.82340000000000002</v>
      </c>
      <c r="J162" s="200"/>
      <c r="T162" s="43" t="s">
        <v>125</v>
      </c>
      <c r="U162" s="87">
        <f>IFERROR(VLOOKUP(T162,$B$3:$F$73,5,FALSE),"")</f>
        <v>0.90859999999999996</v>
      </c>
      <c r="V162" s="46"/>
    </row>
    <row r="163" spans="8:22" x14ac:dyDescent="0.3">
      <c r="H163" s="196" t="s">
        <v>16</v>
      </c>
      <c r="I163" s="213">
        <f>IFERROR(VLOOKUP(H163,$B$3:$F$69,5,FALSE),"")</f>
        <v>0.68889999999999996</v>
      </c>
      <c r="J163" s="200"/>
      <c r="T163" s="43" t="s">
        <v>167</v>
      </c>
      <c r="U163" s="87" t="str">
        <f>IFERROR(VLOOKUP(T163,$B$3:$F$73,5,FALSE),"")</f>
        <v/>
      </c>
      <c r="V163" s="46"/>
    </row>
    <row r="164" spans="8:22" x14ac:dyDescent="0.3">
      <c r="H164" s="196" t="s">
        <v>168</v>
      </c>
      <c r="I164" s="213" t="str">
        <f>IFERROR(VLOOKUP(H164,$B$3:$F$69,5,FALSE),"")</f>
        <v/>
      </c>
      <c r="J164" s="200"/>
      <c r="T164" s="43" t="s">
        <v>65</v>
      </c>
      <c r="U164" s="87">
        <f>IFERROR(VLOOKUP(T164,$B$3:$F$73,5,FALSE),"")</f>
        <v>0.7137</v>
      </c>
      <c r="V164" s="46"/>
    </row>
    <row r="165" spans="8:22" x14ac:dyDescent="0.3">
      <c r="H165" s="196" t="s">
        <v>18</v>
      </c>
      <c r="I165" s="213">
        <f>IFERROR(VLOOKUP(H165,$B$3:$F$69,5,FALSE),"")</f>
        <v>0.43140000000000001</v>
      </c>
      <c r="J165" s="200"/>
      <c r="T165" s="43" t="s">
        <v>41</v>
      </c>
      <c r="U165" s="87">
        <f>IFERROR(VLOOKUP(T165,$B$3:$F$73,5,FALSE),"")</f>
        <v>0.84079999999999999</v>
      </c>
      <c r="V165" s="46"/>
    </row>
    <row r="166" spans="8:22" x14ac:dyDescent="0.3">
      <c r="H166" s="196" t="s">
        <v>45</v>
      </c>
      <c r="I166" s="213">
        <f>IFERROR(VLOOKUP(H166,$B$3:$F$69,5,FALSE),"")</f>
        <v>0.80269999999999997</v>
      </c>
      <c r="J166" s="200"/>
      <c r="T166" s="43" t="s">
        <v>42</v>
      </c>
      <c r="U166" s="87">
        <f>IFERROR(VLOOKUP(T166,$B$3:$F$73,5,FALSE),"")</f>
        <v>0.77139999999999997</v>
      </c>
      <c r="V166" s="46"/>
    </row>
    <row r="167" spans="8:22" x14ac:dyDescent="0.3">
      <c r="H167" s="196" t="s">
        <v>53</v>
      </c>
      <c r="I167" s="213" t="str">
        <f>IFERROR(VLOOKUP(H167,$B$3:$F$69,5,FALSE),"")</f>
        <v/>
      </c>
      <c r="J167" s="200"/>
      <c r="T167" s="43" t="s">
        <v>29</v>
      </c>
      <c r="U167" s="87">
        <f>IFERROR(VLOOKUP(T167,$B$3:$F$73,5,FALSE),"")</f>
        <v>0.82340000000000002</v>
      </c>
      <c r="V167" s="46"/>
    </row>
    <row r="168" spans="8:22" x14ac:dyDescent="0.3">
      <c r="H168" s="196" t="s">
        <v>187</v>
      </c>
      <c r="I168" s="213" t="str">
        <f>IFERROR(VLOOKUP(H168,$B$3:$F$69,5,FALSE),"")</f>
        <v/>
      </c>
      <c r="J168" s="200"/>
      <c r="T168" s="43" t="s">
        <v>16</v>
      </c>
      <c r="U168" s="87">
        <f>IFERROR(VLOOKUP(T168,$B$3:$F$73,5,FALSE),"")</f>
        <v>0.68889999999999996</v>
      </c>
      <c r="V168" s="46"/>
    </row>
    <row r="169" spans="8:22" x14ac:dyDescent="0.3">
      <c r="H169" s="196" t="s">
        <v>52</v>
      </c>
      <c r="I169" s="213">
        <f>IFERROR(VLOOKUP(H169,$B$3:$F$69,5,FALSE),"")</f>
        <v>0.34699999999999998</v>
      </c>
      <c r="J169" s="200"/>
      <c r="T169" s="43" t="s">
        <v>168</v>
      </c>
      <c r="U169" s="87" t="str">
        <f>IFERROR(VLOOKUP(T169,$B$3:$F$73,5,FALSE),"")</f>
        <v/>
      </c>
      <c r="V169" s="46"/>
    </row>
    <row r="170" spans="8:22" x14ac:dyDescent="0.3">
      <c r="H170" s="196" t="s">
        <v>55</v>
      </c>
      <c r="I170" s="213">
        <f>IFERROR(VLOOKUP(H170,$B$3:$F$69,5,FALSE),"")</f>
        <v>0.61050000000000004</v>
      </c>
      <c r="J170" s="200"/>
      <c r="T170" s="43" t="s">
        <v>18</v>
      </c>
      <c r="U170" s="87">
        <f>IFERROR(VLOOKUP(T170,$B$3:$F$73,5,FALSE),"")</f>
        <v>0.43140000000000001</v>
      </c>
      <c r="V170" s="46"/>
    </row>
    <row r="171" spans="8:22" x14ac:dyDescent="0.3">
      <c r="H171" s="196" t="s">
        <v>169</v>
      </c>
      <c r="I171" s="213" t="str">
        <f>IFERROR(VLOOKUP(H171,$B$3:$F$69,5,FALSE),"")</f>
        <v/>
      </c>
      <c r="J171" s="200"/>
      <c r="T171" s="43" t="s">
        <v>45</v>
      </c>
      <c r="U171" s="87">
        <f>IFERROR(VLOOKUP(T171,$B$3:$F$73,5,FALSE),"")</f>
        <v>0.80269999999999997</v>
      </c>
      <c r="V171" s="46"/>
    </row>
    <row r="172" spans="8:22" x14ac:dyDescent="0.3">
      <c r="H172" s="196" t="s">
        <v>213</v>
      </c>
      <c r="I172" s="213" t="str">
        <f>IFERROR(VLOOKUP(H172,$B$3:$F$69,5,FALSE),"")</f>
        <v/>
      </c>
      <c r="J172" s="200"/>
      <c r="T172" s="43" t="s">
        <v>53</v>
      </c>
      <c r="U172" s="87" t="str">
        <f>IFERROR(VLOOKUP(T172,$B$3:$F$73,5,FALSE),"")</f>
        <v/>
      </c>
      <c r="V172" s="46"/>
    </row>
    <row r="173" spans="8:22" x14ac:dyDescent="0.3">
      <c r="H173" s="196" t="s">
        <v>214</v>
      </c>
      <c r="I173" s="213" t="str">
        <f>IFERROR(VLOOKUP(H173,$B$3:$F$69,5,FALSE),"")</f>
        <v/>
      </c>
      <c r="J173" s="200"/>
      <c r="T173" s="43" t="s">
        <v>187</v>
      </c>
      <c r="U173" s="87" t="str">
        <f>IFERROR(VLOOKUP(T173,$B$3:$F$73,5,FALSE),"")</f>
        <v/>
      </c>
      <c r="V173" s="46"/>
    </row>
    <row r="174" spans="8:22" x14ac:dyDescent="0.3">
      <c r="H174" s="196"/>
      <c r="I174" s="213" t="str">
        <f>IFERROR(VLOOKUP(H174,$B$3:$F$69,5,FALSE),"")</f>
        <v/>
      </c>
      <c r="J174" s="200"/>
      <c r="T174" s="43" t="s">
        <v>52</v>
      </c>
      <c r="U174" s="87">
        <f>IFERROR(VLOOKUP(T174,$B$3:$F$73,5,FALSE),"")</f>
        <v>0.34699999999999998</v>
      </c>
      <c r="V174" s="46"/>
    </row>
    <row r="175" spans="8:22" x14ac:dyDescent="0.3">
      <c r="H175" s="196"/>
      <c r="I175" s="213" t="str">
        <f>IFERROR(VLOOKUP(H175,$B$3:$F$69,5,FALSE),"")</f>
        <v/>
      </c>
      <c r="J175" s="200"/>
      <c r="T175" s="43" t="s">
        <v>55</v>
      </c>
      <c r="U175" s="87">
        <f>IFERROR(VLOOKUP(T175,$B$3:$F$73,5,FALSE),"")</f>
        <v>0.61050000000000004</v>
      </c>
      <c r="V175" s="46"/>
    </row>
    <row r="176" spans="8:22" x14ac:dyDescent="0.3">
      <c r="H176" s="200" t="s">
        <v>79</v>
      </c>
      <c r="I176" s="213" t="str">
        <f>IFERROR(VLOOKUP(H176,$B$3:$F$69,5,FALSE),"")</f>
        <v/>
      </c>
      <c r="J176" s="209">
        <f>SUM(I176:I205)</f>
        <v>2.0034999999999998</v>
      </c>
      <c r="T176" s="43" t="s">
        <v>169</v>
      </c>
      <c r="U176" s="87" t="str">
        <f>IFERROR(VLOOKUP(T176,$B$3:$F$73,5,FALSE),"")</f>
        <v/>
      </c>
      <c r="V176" s="46"/>
    </row>
    <row r="177" spans="8:22" x14ac:dyDescent="0.3">
      <c r="H177" s="196" t="s">
        <v>170</v>
      </c>
      <c r="I177" s="213" t="str">
        <f>IFERROR(VLOOKUP(H177,$B$3:$F$69,5,FALSE),"")</f>
        <v/>
      </c>
      <c r="J177" s="200"/>
      <c r="T177" s="43" t="s">
        <v>213</v>
      </c>
      <c r="U177" s="87" t="str">
        <f>IFERROR(VLOOKUP(T177,$B$3:$F$73,5,FALSE),"")</f>
        <v/>
      </c>
      <c r="V177" s="46"/>
    </row>
    <row r="178" spans="8:22" x14ac:dyDescent="0.3">
      <c r="H178" s="196" t="s">
        <v>143</v>
      </c>
      <c r="I178" s="213" t="str">
        <f>IFERROR(VLOOKUP(H178,$B$3:$F$69,5,FALSE),"")</f>
        <v/>
      </c>
      <c r="J178" s="200"/>
      <c r="T178" s="43" t="s">
        <v>214</v>
      </c>
      <c r="U178" s="87" t="str">
        <f>IFERROR(VLOOKUP(T178,$B$3:$F$73,5,FALSE),"")</f>
        <v/>
      </c>
      <c r="V178" s="46"/>
    </row>
    <row r="179" spans="8:22" x14ac:dyDescent="0.3">
      <c r="H179" s="196" t="s">
        <v>171</v>
      </c>
      <c r="I179" s="213" t="str">
        <f>IFERROR(VLOOKUP(H179,$B$3:$F$69,5,FALSE),"")</f>
        <v/>
      </c>
      <c r="J179" s="200"/>
      <c r="T179" s="43"/>
      <c r="U179" s="87" t="str">
        <f>IFERROR(VLOOKUP(T179,$B$3:$F$73,5,FALSE),"")</f>
        <v/>
      </c>
      <c r="V179" s="46"/>
    </row>
    <row r="180" spans="8:22" x14ac:dyDescent="0.3">
      <c r="H180" s="196" t="s">
        <v>141</v>
      </c>
      <c r="I180" s="213">
        <f>IFERROR(VLOOKUP(H180,$B$3:$F$69,5,FALSE),"")</f>
        <v>0.55830000000000002</v>
      </c>
      <c r="J180" s="200"/>
      <c r="T180" s="43"/>
      <c r="U180" s="87" t="str">
        <f>IFERROR(VLOOKUP(T180,$B$3:$F$73,5,FALSE),"")</f>
        <v/>
      </c>
      <c r="V180" s="46"/>
    </row>
    <row r="181" spans="8:22" x14ac:dyDescent="0.3">
      <c r="H181" s="196" t="s">
        <v>172</v>
      </c>
      <c r="I181" s="213" t="str">
        <f>IFERROR(VLOOKUP(H181,$B$3:$F$69,5,FALSE),"")</f>
        <v/>
      </c>
      <c r="J181" s="200"/>
      <c r="T181" s="46" t="s">
        <v>79</v>
      </c>
      <c r="U181" s="87" t="str">
        <f>IFERROR(VLOOKUP(T181,$B$3:$F$73,5,FALSE),"")</f>
        <v/>
      </c>
      <c r="V181" s="137">
        <f>SUM(U181:U210)</f>
        <v>2.5543999999999998</v>
      </c>
    </row>
    <row r="182" spans="8:22" x14ac:dyDescent="0.3">
      <c r="H182" s="196" t="s">
        <v>173</v>
      </c>
      <c r="I182" s="213" t="str">
        <f>IFERROR(VLOOKUP(H182,$B$3:$F$69,5,FALSE),"")</f>
        <v/>
      </c>
      <c r="J182" s="200"/>
      <c r="T182" s="43" t="s">
        <v>170</v>
      </c>
      <c r="U182" s="87" t="str">
        <f>IFERROR(VLOOKUP(T182,$B$3:$F$73,5,FALSE),"")</f>
        <v/>
      </c>
      <c r="V182" s="46"/>
    </row>
    <row r="183" spans="8:22" x14ac:dyDescent="0.3">
      <c r="H183" s="196" t="s">
        <v>174</v>
      </c>
      <c r="I183" s="213" t="str">
        <f>IFERROR(VLOOKUP(H183,$B$3:$F$69,5,FALSE),"")</f>
        <v/>
      </c>
      <c r="J183" s="200"/>
      <c r="T183" s="43" t="s">
        <v>143</v>
      </c>
      <c r="U183" s="87">
        <f>IFERROR(VLOOKUP(T183,$B$3:$F$73,5,FALSE),"")</f>
        <v>0.55089999999999995</v>
      </c>
      <c r="V183" s="46"/>
    </row>
    <row r="184" spans="8:22" x14ac:dyDescent="0.3">
      <c r="H184" s="196" t="s">
        <v>175</v>
      </c>
      <c r="I184" s="213" t="str">
        <f>IFERROR(VLOOKUP(H184,$B$3:$F$69,5,FALSE),"")</f>
        <v/>
      </c>
      <c r="J184" s="200"/>
      <c r="T184" s="43" t="s">
        <v>171</v>
      </c>
      <c r="U184" s="87" t="str">
        <f>IFERROR(VLOOKUP(T184,$B$3:$F$73,5,FALSE),"")</f>
        <v/>
      </c>
      <c r="V184" s="46"/>
    </row>
    <row r="185" spans="8:22" x14ac:dyDescent="0.3">
      <c r="H185" s="196" t="s">
        <v>176</v>
      </c>
      <c r="I185" s="213" t="str">
        <f>IFERROR(VLOOKUP(H185,$B$3:$F$69,5,FALSE),"")</f>
        <v/>
      </c>
      <c r="J185" s="200"/>
      <c r="T185" s="43" t="s">
        <v>141</v>
      </c>
      <c r="U185" s="87">
        <f>IFERROR(VLOOKUP(T185,$B$3:$F$73,5,FALSE),"")</f>
        <v>0.55830000000000002</v>
      </c>
      <c r="V185" s="46"/>
    </row>
    <row r="186" spans="8:22" x14ac:dyDescent="0.3">
      <c r="H186" s="196" t="s">
        <v>186</v>
      </c>
      <c r="I186" s="213" t="str">
        <f>IFERROR(VLOOKUP(H186,$B$3:$F$69,5,FALSE),"")</f>
        <v/>
      </c>
      <c r="J186" s="200"/>
      <c r="T186" s="43" t="s">
        <v>172</v>
      </c>
      <c r="U186" s="87" t="str">
        <f>IFERROR(VLOOKUP(T186,$B$3:$F$73,5,FALSE),"")</f>
        <v/>
      </c>
      <c r="V186" s="46"/>
    </row>
    <row r="187" spans="8:22" x14ac:dyDescent="0.3">
      <c r="H187" s="196" t="s">
        <v>185</v>
      </c>
      <c r="I187" s="213" t="str">
        <f>IFERROR(VLOOKUP(H187,$B$3:$F$69,5,FALSE),"")</f>
        <v/>
      </c>
      <c r="J187" s="200"/>
      <c r="L187">
        <f>0.925*0.2</f>
        <v>0.18500000000000003</v>
      </c>
      <c r="T187" s="43" t="s">
        <v>173</v>
      </c>
      <c r="U187" s="87" t="str">
        <f>IFERROR(VLOOKUP(T187,$B$3:$F$73,5,FALSE),"")</f>
        <v/>
      </c>
      <c r="V187" s="46"/>
    </row>
    <row r="188" spans="8:22" x14ac:dyDescent="0.3">
      <c r="H188" s="196" t="s">
        <v>137</v>
      </c>
      <c r="I188" s="213">
        <f>IFERROR(VLOOKUP(H188,$B$3:$F$69,5,FALSE),"")</f>
        <v>0.98670000000000002</v>
      </c>
      <c r="J188" s="200"/>
      <c r="T188" s="43" t="s">
        <v>174</v>
      </c>
      <c r="U188" s="87" t="str">
        <f>IFERROR(VLOOKUP(T188,$B$3:$F$73,5,FALSE),"")</f>
        <v/>
      </c>
      <c r="V188" s="46"/>
    </row>
    <row r="189" spans="8:22" x14ac:dyDescent="0.3">
      <c r="H189" s="196" t="s">
        <v>177</v>
      </c>
      <c r="I189" s="213" t="str">
        <f>IFERROR(VLOOKUP(H189,$B$3:$F$69,5,FALSE),"")</f>
        <v/>
      </c>
      <c r="J189" s="200"/>
      <c r="T189" s="43" t="s">
        <v>175</v>
      </c>
      <c r="U189" s="87" t="str">
        <f>IFERROR(VLOOKUP(T189,$B$3:$F$73,5,FALSE),"")</f>
        <v/>
      </c>
      <c r="V189" s="46"/>
    </row>
    <row r="190" spans="8:22" x14ac:dyDescent="0.3">
      <c r="H190" s="196" t="s">
        <v>178</v>
      </c>
      <c r="I190" s="213" t="str">
        <f>IFERROR(VLOOKUP(H190,$B$3:$F$69,5,FALSE),"")</f>
        <v/>
      </c>
      <c r="J190" s="200"/>
      <c r="T190" s="43" t="s">
        <v>176</v>
      </c>
      <c r="U190" s="87" t="str">
        <f>IFERROR(VLOOKUP(T190,$B$3:$F$73,5,FALSE),"")</f>
        <v/>
      </c>
      <c r="V190" s="46"/>
    </row>
    <row r="191" spans="8:22" x14ac:dyDescent="0.3">
      <c r="H191" s="196" t="s">
        <v>179</v>
      </c>
      <c r="I191" s="213" t="str">
        <f>IFERROR(VLOOKUP(H191,$B$3:$F$69,5,FALSE),"")</f>
        <v/>
      </c>
      <c r="J191" s="200"/>
      <c r="T191" s="43" t="s">
        <v>186</v>
      </c>
      <c r="U191" s="87" t="str">
        <f>IFERROR(VLOOKUP(T191,$B$3:$F$73,5,FALSE),"")</f>
        <v/>
      </c>
      <c r="V191" s="46"/>
    </row>
    <row r="192" spans="8:22" x14ac:dyDescent="0.3">
      <c r="H192" s="196" t="s">
        <v>180</v>
      </c>
      <c r="I192" s="213" t="str">
        <f>IFERROR(VLOOKUP(H192,$B$3:$F$69,5,FALSE),"")</f>
        <v/>
      </c>
      <c r="J192" s="200"/>
      <c r="T192" s="43" t="s">
        <v>185</v>
      </c>
      <c r="U192" s="87" t="str">
        <f>IFERROR(VLOOKUP(T192,$B$3:$F$73,5,FALSE),"")</f>
        <v/>
      </c>
      <c r="V192" s="46"/>
    </row>
    <row r="193" spans="8:22" x14ac:dyDescent="0.3">
      <c r="H193" s="196" t="s">
        <v>139</v>
      </c>
      <c r="I193" s="213">
        <f>IFERROR(VLOOKUP(H193,$B$3:$F$69,5,FALSE),"")</f>
        <v>0.45850000000000002</v>
      </c>
      <c r="J193" s="200"/>
      <c r="T193" s="43" t="s">
        <v>137</v>
      </c>
      <c r="U193" s="87">
        <f>IFERROR(VLOOKUP(T193,$B$3:$F$73,5,FALSE),"")</f>
        <v>0.98670000000000002</v>
      </c>
      <c r="V193" s="46"/>
    </row>
    <row r="194" spans="8:22" x14ac:dyDescent="0.3">
      <c r="H194" s="196" t="s">
        <v>181</v>
      </c>
      <c r="I194" s="213" t="str">
        <f>IFERROR(VLOOKUP(H194,$B$3:$F$69,5,FALSE),"")</f>
        <v/>
      </c>
      <c r="J194" s="200"/>
      <c r="T194" s="43" t="s">
        <v>177</v>
      </c>
      <c r="U194" s="87" t="str">
        <f>IFERROR(VLOOKUP(T194,$B$3:$F$73,5,FALSE),"")</f>
        <v/>
      </c>
      <c r="V194" s="46"/>
    </row>
    <row r="195" spans="8:22" x14ac:dyDescent="0.3">
      <c r="H195" s="196" t="s">
        <v>182</v>
      </c>
      <c r="I195" s="213" t="str">
        <f>IFERROR(VLOOKUP(H195,$B$3:$F$69,5,FALSE),"")</f>
        <v/>
      </c>
      <c r="J195" s="200"/>
      <c r="T195" s="43" t="s">
        <v>178</v>
      </c>
      <c r="U195" s="87" t="str">
        <f>IFERROR(VLOOKUP(T195,$B$3:$F$73,5,FALSE),"")</f>
        <v/>
      </c>
      <c r="V195" s="46"/>
    </row>
    <row r="196" spans="8:22" x14ac:dyDescent="0.3">
      <c r="H196" s="196"/>
      <c r="I196" s="213" t="str">
        <f>IFERROR(VLOOKUP(H196,$B$3:$F$69,5,FALSE),"")</f>
        <v/>
      </c>
      <c r="J196" s="200"/>
      <c r="T196" s="43" t="s">
        <v>179</v>
      </c>
      <c r="U196" s="87" t="str">
        <f>IFERROR(VLOOKUP(T196,$B$3:$F$73,5,FALSE),"")</f>
        <v/>
      </c>
      <c r="V196" s="46"/>
    </row>
    <row r="197" spans="8:22" x14ac:dyDescent="0.3">
      <c r="H197" s="196"/>
      <c r="I197" s="213" t="str">
        <f>IFERROR(VLOOKUP(H197,$B$3:$F$69,5,FALSE),"")</f>
        <v/>
      </c>
      <c r="J197" s="200"/>
      <c r="T197" s="43" t="s">
        <v>180</v>
      </c>
      <c r="U197" s="87" t="str">
        <f>IFERROR(VLOOKUP(T197,$B$3:$F$73,5,FALSE),"")</f>
        <v/>
      </c>
      <c r="V197" s="46"/>
    </row>
    <row r="198" spans="8:22" x14ac:dyDescent="0.3">
      <c r="H198" s="196"/>
      <c r="I198" s="213" t="str">
        <f>IFERROR(VLOOKUP(H198,$B$3:$F$69,5,FALSE),"")</f>
        <v/>
      </c>
      <c r="J198" s="200"/>
      <c r="T198" s="43" t="s">
        <v>139</v>
      </c>
      <c r="U198" s="87">
        <f>IFERROR(VLOOKUP(T198,$B$3:$F$73,5,FALSE),"")</f>
        <v>0.45850000000000002</v>
      </c>
      <c r="V198" s="46"/>
    </row>
    <row r="199" spans="8:22" x14ac:dyDescent="0.3">
      <c r="H199" s="196"/>
      <c r="I199" s="213" t="str">
        <f>IFERROR(VLOOKUP(H199,$B$3:$F$69,5,FALSE),"")</f>
        <v/>
      </c>
      <c r="J199" s="200"/>
      <c r="T199" s="43" t="s">
        <v>181</v>
      </c>
      <c r="U199" s="87" t="str">
        <f>IFERROR(VLOOKUP(T199,$B$3:$F$73,5,FALSE),"")</f>
        <v/>
      </c>
      <c r="V199" s="46"/>
    </row>
    <row r="200" spans="8:22" x14ac:dyDescent="0.3">
      <c r="H200" s="196"/>
      <c r="I200" s="213" t="str">
        <f>IFERROR(VLOOKUP(H200,$B$3:$F$69,5,FALSE),"")</f>
        <v/>
      </c>
      <c r="J200" s="200"/>
      <c r="T200" s="43" t="s">
        <v>182</v>
      </c>
      <c r="U200" s="87" t="str">
        <f>IFERROR(VLOOKUP(T200,$B$3:$F$73,5,FALSE),"")</f>
        <v/>
      </c>
      <c r="V200" s="46"/>
    </row>
    <row r="201" spans="8:22" x14ac:dyDescent="0.3">
      <c r="H201" s="196"/>
      <c r="I201" s="213" t="str">
        <f>IFERROR(VLOOKUP(H201,$B$3:$F$69,5,FALSE),"")</f>
        <v/>
      </c>
      <c r="J201" s="200"/>
      <c r="T201" s="43"/>
      <c r="U201" s="87" t="str">
        <f>IFERROR(VLOOKUP(T201,$B$3:$F$73,5,FALSE),"")</f>
        <v/>
      </c>
      <c r="V201" s="46"/>
    </row>
    <row r="202" spans="8:22" x14ac:dyDescent="0.3">
      <c r="H202" s="196"/>
      <c r="I202" s="213" t="str">
        <f>IFERROR(VLOOKUP(H202,$B$3:$F$69,5,FALSE),"")</f>
        <v/>
      </c>
      <c r="J202" s="200"/>
      <c r="T202" s="43"/>
      <c r="U202" s="87" t="str">
        <f>IFERROR(VLOOKUP(T202,$B$3:$F$73,5,FALSE),"")</f>
        <v/>
      </c>
      <c r="V202" s="46"/>
    </row>
    <row r="203" spans="8:22" x14ac:dyDescent="0.3">
      <c r="H203" s="196"/>
      <c r="I203" s="213" t="str">
        <f>IFERROR(VLOOKUP(H203,$B$3:$F$69,5,FALSE),"")</f>
        <v/>
      </c>
      <c r="J203" s="200"/>
      <c r="T203" s="43"/>
      <c r="U203" s="87" t="str">
        <f>IFERROR(VLOOKUP(T203,$B$3:$F$73,5,FALSE),"")</f>
        <v/>
      </c>
      <c r="V203" s="46"/>
    </row>
    <row r="204" spans="8:22" x14ac:dyDescent="0.3">
      <c r="H204" s="196"/>
      <c r="I204" s="213" t="str">
        <f>IFERROR(VLOOKUP(H204,$B$3:$F$69,5,FALSE),"")</f>
        <v/>
      </c>
      <c r="J204" s="200"/>
      <c r="T204" s="43"/>
      <c r="U204" s="87" t="str">
        <f>IFERROR(VLOOKUP(T204,$B$3:$F$73,5,FALSE),"")</f>
        <v/>
      </c>
      <c r="V204" s="46"/>
    </row>
    <row r="205" spans="8:22" x14ac:dyDescent="0.3">
      <c r="H205" s="196"/>
      <c r="I205" s="213" t="str">
        <f>IFERROR(VLOOKUP(H205,$B$3:$F$69,5,FALSE),"")</f>
        <v/>
      </c>
      <c r="J205" s="200"/>
      <c r="T205" s="43"/>
      <c r="U205" s="87" t="str">
        <f>IFERROR(VLOOKUP(T205,$B$3:$F$73,5,FALSE),"")</f>
        <v/>
      </c>
      <c r="V205" s="46"/>
    </row>
    <row r="206" spans="8:22" x14ac:dyDescent="0.3">
      <c r="H206" s="200" t="s">
        <v>80</v>
      </c>
      <c r="I206" s="213" t="str">
        <f>IFERROR(VLOOKUP(H206,$B$3:$F$69,5,FALSE),"")</f>
        <v/>
      </c>
      <c r="J206" s="209">
        <f>SUM(I206:I216)</f>
        <v>0</v>
      </c>
      <c r="T206" s="43"/>
      <c r="U206" s="87" t="str">
        <f>IFERROR(VLOOKUP(T206,$B$3:$F$73,5,FALSE),"")</f>
        <v/>
      </c>
      <c r="V206" s="46"/>
    </row>
    <row r="207" spans="8:22" x14ac:dyDescent="0.3">
      <c r="H207" s="196"/>
      <c r="I207" s="213" t="str">
        <f>IFERROR(VLOOKUP(H207,$B$3:$F$69,5,FALSE),"")</f>
        <v/>
      </c>
      <c r="J207" s="196"/>
      <c r="T207" s="43"/>
      <c r="U207" s="87" t="str">
        <f>IFERROR(VLOOKUP(T207,$B$3:$F$73,5,FALSE),"")</f>
        <v/>
      </c>
      <c r="V207" s="46"/>
    </row>
    <row r="208" spans="8:22" x14ac:dyDescent="0.3">
      <c r="H208" s="196"/>
      <c r="I208" s="213" t="str">
        <f>IFERROR(VLOOKUP(H208,$B$3:$F$69,5,FALSE),"")</f>
        <v/>
      </c>
      <c r="J208" s="196"/>
      <c r="T208" s="43"/>
      <c r="U208" s="87" t="str">
        <f>IFERROR(VLOOKUP(T208,$B$3:$F$73,5,FALSE),"")</f>
        <v/>
      </c>
      <c r="V208" s="46"/>
    </row>
    <row r="209" spans="8:22" x14ac:dyDescent="0.3">
      <c r="H209" s="196"/>
      <c r="I209" s="213" t="str">
        <f>IFERROR(VLOOKUP(H209,$B$3:$F$69,5,FALSE),"")</f>
        <v/>
      </c>
      <c r="J209" s="196"/>
      <c r="T209" s="43"/>
      <c r="U209" s="87" t="str">
        <f>IFERROR(VLOOKUP(T209,$B$3:$F$73,5,FALSE),"")</f>
        <v/>
      </c>
      <c r="V209" s="46"/>
    </row>
    <row r="210" spans="8:22" x14ac:dyDescent="0.3">
      <c r="H210" s="196"/>
      <c r="I210" s="213" t="str">
        <f>IFERROR(VLOOKUP(H210,$B$3:$F$69,5,FALSE),"")</f>
        <v/>
      </c>
      <c r="J210" s="196"/>
      <c r="T210" s="43"/>
      <c r="U210" s="87" t="str">
        <f>IFERROR(VLOOKUP(T210,$B$3:$F$73,5,FALSE),"")</f>
        <v/>
      </c>
      <c r="V210" s="46"/>
    </row>
    <row r="211" spans="8:22" x14ac:dyDescent="0.3">
      <c r="H211" s="196"/>
      <c r="I211" s="213" t="str">
        <f>IFERROR(VLOOKUP(H211,$B$3:$F$69,5,FALSE),"")</f>
        <v/>
      </c>
      <c r="J211" s="196"/>
      <c r="T211" s="46" t="s">
        <v>80</v>
      </c>
      <c r="U211" s="87" t="str">
        <f>IFERROR(VLOOKUP(T211,$B$3:$F$73,5,FALSE),"")</f>
        <v/>
      </c>
      <c r="V211" s="137">
        <f>SUM(U211:U221)</f>
        <v>0</v>
      </c>
    </row>
    <row r="212" spans="8:22" x14ac:dyDescent="0.3">
      <c r="H212" s="196"/>
      <c r="I212" s="213" t="str">
        <f>IFERROR(VLOOKUP(H212,$B$3:$F$69,5,FALSE),"")</f>
        <v/>
      </c>
      <c r="J212" s="196"/>
      <c r="T212" s="43"/>
      <c r="U212" s="87" t="str">
        <f>IFERROR(VLOOKUP(T212,$B$3:$F$73,5,FALSE),"")</f>
        <v/>
      </c>
      <c r="V212" s="43"/>
    </row>
    <row r="213" spans="8:22" x14ac:dyDescent="0.3">
      <c r="H213" s="196"/>
      <c r="I213" s="213" t="str">
        <f>IFERROR(VLOOKUP(H213,$B$3:$F$69,5,FALSE),"")</f>
        <v/>
      </c>
      <c r="J213" s="196"/>
      <c r="T213" s="43"/>
      <c r="U213" s="87" t="str">
        <f>IFERROR(VLOOKUP(T213,$B$3:$F$73,5,FALSE),"")</f>
        <v/>
      </c>
      <c r="V213" s="43"/>
    </row>
    <row r="214" spans="8:22" x14ac:dyDescent="0.3">
      <c r="H214" s="196"/>
      <c r="I214" s="213" t="str">
        <f>IFERROR(VLOOKUP(H214,$B$3:$F$69,5,FALSE),"")</f>
        <v/>
      </c>
      <c r="J214" s="196"/>
      <c r="T214" s="43"/>
      <c r="U214" s="87" t="str">
        <f>IFERROR(VLOOKUP(T214,$B$3:$F$73,5,FALSE),"")</f>
        <v/>
      </c>
      <c r="V214" s="43"/>
    </row>
    <row r="215" spans="8:22" x14ac:dyDescent="0.3">
      <c r="H215" s="196"/>
      <c r="I215" s="213" t="str">
        <f>IFERROR(VLOOKUP(H215,$B$3:$F$69,5,FALSE),"")</f>
        <v/>
      </c>
      <c r="J215" s="196"/>
      <c r="T215" s="43"/>
      <c r="U215" s="87" t="str">
        <f>IFERROR(VLOOKUP(T215,$B$3:$F$73,5,FALSE),"")</f>
        <v/>
      </c>
      <c r="V215" s="43"/>
    </row>
    <row r="216" spans="8:22" x14ac:dyDescent="0.3">
      <c r="H216" s="196"/>
      <c r="I216" s="213" t="str">
        <f>IFERROR(VLOOKUP(H216,$B$3:$F$69,5,FALSE),"")</f>
        <v/>
      </c>
      <c r="J216" s="196"/>
      <c r="T216" s="43"/>
      <c r="U216" s="87" t="str">
        <f>IFERROR(VLOOKUP(T216,$B$3:$F$73,5,FALSE),"")</f>
        <v/>
      </c>
      <c r="V216" s="43"/>
    </row>
    <row r="217" spans="8:22" x14ac:dyDescent="0.3">
      <c r="I217" s="213" t="str">
        <f>IFERROR(VLOOKUP(H217,$B$3:$F$69,5,FALSE),"")</f>
        <v/>
      </c>
      <c r="T217" s="43"/>
      <c r="U217" s="87" t="str">
        <f>IFERROR(VLOOKUP(T217,$B$3:$F$73,5,FALSE),"")</f>
        <v/>
      </c>
      <c r="V217" s="43"/>
    </row>
    <row r="218" spans="8:22" x14ac:dyDescent="0.3">
      <c r="I218" s="213" t="str">
        <f>IFERROR(VLOOKUP(H218,$B$3:$F$69,5,FALSE),"")</f>
        <v/>
      </c>
      <c r="T218" s="43"/>
      <c r="U218" s="87" t="str">
        <f>IFERROR(VLOOKUP(T218,$B$3:$F$73,5,FALSE),"")</f>
        <v/>
      </c>
      <c r="V218" s="43"/>
    </row>
    <row r="219" spans="8:22" x14ac:dyDescent="0.3">
      <c r="I219" s="213" t="str">
        <f>IFERROR(VLOOKUP(H219,$B$3:$F$69,5,FALSE),"")</f>
        <v/>
      </c>
      <c r="T219" s="43"/>
      <c r="U219" s="87" t="str">
        <f>IFERROR(VLOOKUP(T219,$B$3:$F$73,5,FALSE),"")</f>
        <v/>
      </c>
      <c r="V219" s="43"/>
    </row>
    <row r="220" spans="8:22" x14ac:dyDescent="0.3">
      <c r="I220" s="213" t="str">
        <f>IFERROR(VLOOKUP(H220,$B$3:$F$69,5,FALSE),"")</f>
        <v/>
      </c>
      <c r="T220" s="43"/>
      <c r="U220" s="87" t="str">
        <f>IFERROR(VLOOKUP(T220,$B$3:$F$73,5,FALSE),"")</f>
        <v/>
      </c>
      <c r="V220" s="43"/>
    </row>
    <row r="221" spans="8:22" x14ac:dyDescent="0.3">
      <c r="I221" s="213" t="str">
        <f>IFERROR(VLOOKUP(H221,$B$3:$F$69,5,FALSE),"")</f>
        <v/>
      </c>
      <c r="T221" s="43"/>
      <c r="U221" s="87" t="str">
        <f>IFERROR(VLOOKUP(T221,$B$3:$F$73,5,FALSE),"")</f>
        <v/>
      </c>
      <c r="V221" s="43"/>
    </row>
    <row r="222" spans="8:22" x14ac:dyDescent="0.3">
      <c r="I222" s="213" t="str">
        <f>IFERROR(VLOOKUP(H222,$B$3:$F$69,5,FALSE),"")</f>
        <v/>
      </c>
      <c r="U222" s="87" t="str">
        <f>IFERROR(VLOOKUP(T222,$B$3:$F$73,5,FALSE),"")</f>
        <v/>
      </c>
    </row>
    <row r="223" spans="8:22" x14ac:dyDescent="0.3">
      <c r="I223" s="213" t="str">
        <f>IFERROR(VLOOKUP(H223,$B$3:$F$69,5,FALSE),"")</f>
        <v/>
      </c>
      <c r="U223" s="87" t="str">
        <f>IFERROR(VLOOKUP(T223,$B$3:$F$73,5,FALSE),"")</f>
        <v/>
      </c>
    </row>
    <row r="224" spans="8:22" x14ac:dyDescent="0.3">
      <c r="I224" s="213" t="str">
        <f>IFERROR(VLOOKUP(H224,$B$3:$F$69,5,FALSE),"")</f>
        <v/>
      </c>
      <c r="U224" s="87" t="str">
        <f>IFERROR(VLOOKUP(T224,$B$3:$F$73,5,FALSE),"")</f>
        <v/>
      </c>
    </row>
    <row r="225" spans="9:21" x14ac:dyDescent="0.3">
      <c r="I225" s="213" t="str">
        <f>IFERROR(VLOOKUP(H225,$B$3:$F$69,5,FALSE),"")</f>
        <v/>
      </c>
      <c r="U225" s="87" t="str">
        <f>IFERROR(VLOOKUP(T225,$B$3:$F$73,5,FALSE),"")</f>
        <v/>
      </c>
    </row>
    <row r="226" spans="9:21" x14ac:dyDescent="0.3">
      <c r="I226" s="213" t="str">
        <f>IFERROR(VLOOKUP(H226,$B$3:$F$69,5,FALSE),"")</f>
        <v/>
      </c>
      <c r="U226" s="87" t="str">
        <f>IFERROR(VLOOKUP(T226,$B$3:$F$73,5,FALSE),"")</f>
        <v/>
      </c>
    </row>
    <row r="227" spans="9:21" x14ac:dyDescent="0.3">
      <c r="I227" s="213" t="str">
        <f>IFERROR(VLOOKUP(H227,$B$3:$F$69,5,FALSE),"")</f>
        <v/>
      </c>
      <c r="U227" s="87" t="str">
        <f>IFERROR(VLOOKUP(T227,$B$3:$F$73,5,FALSE),"")</f>
        <v/>
      </c>
    </row>
    <row r="228" spans="9:21" x14ac:dyDescent="0.3">
      <c r="I228" s="213" t="str">
        <f>IFERROR(VLOOKUP(H228,$B$3:$F$69,5,FALSE),"")</f>
        <v/>
      </c>
      <c r="U228" s="87" t="str">
        <f>IFERROR(VLOOKUP(T228,$B$3:$F$73,5,FALSE),"")</f>
        <v/>
      </c>
    </row>
    <row r="229" spans="9:21" x14ac:dyDescent="0.3">
      <c r="I229" s="213" t="str">
        <f>IFERROR(VLOOKUP(H229,$B$3:$F$69,5,FALSE),"")</f>
        <v/>
      </c>
      <c r="U229" s="87" t="str">
        <f>IFERROR(VLOOKUP(T229,$B$3:$F$73,5,FALSE),"")</f>
        <v/>
      </c>
    </row>
    <row r="230" spans="9:21" x14ac:dyDescent="0.3">
      <c r="I230" s="213" t="str">
        <f>IFERROR(VLOOKUP(H230,$B$3:$F$69,5,FALSE),"")</f>
        <v/>
      </c>
      <c r="U230" s="87" t="str">
        <f>IFERROR(VLOOKUP(T230,$B$3:$F$73,5,FALSE),"")</f>
        <v/>
      </c>
    </row>
    <row r="231" spans="9:21" x14ac:dyDescent="0.3">
      <c r="I231" s="213" t="str">
        <f>IFERROR(VLOOKUP(H231,$B$3:$F$69,5,FALSE),"")</f>
        <v/>
      </c>
      <c r="U231" s="87" t="str">
        <f>IFERROR(VLOOKUP(T231,$B$3:$F$73,5,FALSE),"")</f>
        <v/>
      </c>
    </row>
    <row r="232" spans="9:21" x14ac:dyDescent="0.3">
      <c r="I232" s="213" t="str">
        <f>IFERROR(VLOOKUP(H232,$B$3:$F$69,5,FALSE),"")</f>
        <v/>
      </c>
      <c r="U232" s="87" t="str">
        <f>IFERROR(VLOOKUP(T232,$B$3:$F$73,5,FALSE),"")</f>
        <v/>
      </c>
    </row>
    <row r="233" spans="9:21" x14ac:dyDescent="0.3">
      <c r="I233" s="213" t="str">
        <f>IFERROR(VLOOKUP(H233,$B$3:$F$69,5,FALSE),"")</f>
        <v/>
      </c>
      <c r="U233" s="87" t="str">
        <f>IFERROR(VLOOKUP(T233,$B$3:$F$73,5,FALSE),"")</f>
        <v/>
      </c>
    </row>
    <row r="234" spans="9:21" x14ac:dyDescent="0.3">
      <c r="I234" s="213" t="str">
        <f>IFERROR(VLOOKUP(H234,$B$3:$F$69,5,FALSE),"")</f>
        <v/>
      </c>
      <c r="U234" s="87" t="str">
        <f>IFERROR(VLOOKUP(T234,$B$3:$F$73,5,FALSE),"")</f>
        <v/>
      </c>
    </row>
    <row r="235" spans="9:21" x14ac:dyDescent="0.3">
      <c r="I235" s="213" t="str">
        <f>IFERROR(VLOOKUP(H235,$B$3:$F$69,5,FALSE),"")</f>
        <v/>
      </c>
      <c r="U235" s="87" t="str">
        <f>IFERROR(VLOOKUP(T235,$B$3:$F$73,5,FALSE),"")</f>
        <v/>
      </c>
    </row>
    <row r="236" spans="9:21" x14ac:dyDescent="0.3">
      <c r="I236" s="213" t="str">
        <f>IFERROR(VLOOKUP(H236,$B$3:$F$69,5,FALSE),"")</f>
        <v/>
      </c>
      <c r="U236" s="87" t="str">
        <f>IFERROR(VLOOKUP(T236,$B$3:$F$73,5,FALSE),"")</f>
        <v/>
      </c>
    </row>
    <row r="237" spans="9:21" x14ac:dyDescent="0.3">
      <c r="I237" s="213" t="str">
        <f>IFERROR(VLOOKUP(H237,$B$3:$F$69,5,FALSE),"")</f>
        <v/>
      </c>
      <c r="U237" s="87" t="str">
        <f>IFERROR(VLOOKUP(T237,$B$3:$F$73,5,FALSE),"")</f>
        <v/>
      </c>
    </row>
    <row r="238" spans="9:21" x14ac:dyDescent="0.3">
      <c r="I238" s="213" t="str">
        <f>IFERROR(VLOOKUP(H238,$B$3:$F$69,5,FALSE),"")</f>
        <v/>
      </c>
      <c r="U238" s="87" t="str">
        <f>IFERROR(VLOOKUP(T238,$B$3:$F$73,5,FALSE),"")</f>
        <v/>
      </c>
    </row>
    <row r="239" spans="9:21" x14ac:dyDescent="0.3">
      <c r="I239" s="213" t="str">
        <f>IFERROR(VLOOKUP(H239,$B$3:$F$69,5,FALSE),"")</f>
        <v/>
      </c>
      <c r="U239" s="87" t="str">
        <f>IFERROR(VLOOKUP(T239,$B$3:$F$73,5,FALSE),"")</f>
        <v/>
      </c>
    </row>
    <row r="240" spans="9:21" x14ac:dyDescent="0.3">
      <c r="I240" s="213" t="str">
        <f>IFERROR(VLOOKUP(H240,$B$3:$F$69,5,FALSE),"")</f>
        <v/>
      </c>
      <c r="U240" s="87" t="str">
        <f>IFERROR(VLOOKUP(T240,$B$3:$F$73,5,FALSE),"")</f>
        <v/>
      </c>
    </row>
    <row r="241" spans="9:21" x14ac:dyDescent="0.3">
      <c r="I241" s="213" t="str">
        <f>IFERROR(VLOOKUP(H241,$B$3:$F$69,5,FALSE),"")</f>
        <v/>
      </c>
      <c r="U241" s="87" t="str">
        <f>IFERROR(VLOOKUP(T241,$B$3:$F$73,5,FALSE),"")</f>
        <v/>
      </c>
    </row>
    <row r="242" spans="9:21" x14ac:dyDescent="0.3">
      <c r="I242" s="213" t="str">
        <f>IFERROR(VLOOKUP(H242,$B$3:$F$69,5,FALSE),"")</f>
        <v/>
      </c>
      <c r="U242" s="87" t="str">
        <f>IFERROR(VLOOKUP(T242,$B$3:$F$73,5,FALSE),"")</f>
        <v/>
      </c>
    </row>
    <row r="243" spans="9:21" x14ac:dyDescent="0.3">
      <c r="I243" s="213" t="str">
        <f>IFERROR(VLOOKUP(H243,$B$3:$F$69,5,FALSE),"")</f>
        <v/>
      </c>
      <c r="U243" s="87" t="str">
        <f>IFERROR(VLOOKUP(T243,$B$3:$F$73,5,FALSE),"")</f>
        <v/>
      </c>
    </row>
    <row r="244" spans="9:21" x14ac:dyDescent="0.3">
      <c r="I244" s="213" t="str">
        <f>IFERROR(VLOOKUP(H244,$B$3:$F$69,5,FALSE),"")</f>
        <v/>
      </c>
      <c r="U244" s="87" t="str">
        <f>IFERROR(VLOOKUP(T244,$B$3:$F$73,5,FALSE),"")</f>
        <v/>
      </c>
    </row>
    <row r="245" spans="9:21" x14ac:dyDescent="0.3">
      <c r="I245" s="213" t="str">
        <f>IFERROR(VLOOKUP(H245,$B$3:$F$69,5,FALSE),"")</f>
        <v/>
      </c>
      <c r="U245" s="87" t="str">
        <f>IFERROR(VLOOKUP(T245,$B$3:$F$73,5,FALSE),"")</f>
        <v/>
      </c>
    </row>
    <row r="246" spans="9:21" x14ac:dyDescent="0.3">
      <c r="I246" s="213" t="str">
        <f>IFERROR(VLOOKUP(H246,$B$3:$F$69,5,FALSE),"")</f>
        <v/>
      </c>
      <c r="U246" s="87" t="str">
        <f>IFERROR(VLOOKUP(T246,$B$3:$F$73,5,FALSE),"")</f>
        <v/>
      </c>
    </row>
    <row r="247" spans="9:21" x14ac:dyDescent="0.3">
      <c r="I247" s="213" t="str">
        <f>IFERROR(VLOOKUP(H247,$B$3:$F$69,5,FALSE),"")</f>
        <v/>
      </c>
      <c r="U247" s="87" t="str">
        <f>IFERROR(VLOOKUP(T247,$B$3:$F$73,5,FALSE),"")</f>
        <v/>
      </c>
    </row>
    <row r="248" spans="9:21" x14ac:dyDescent="0.3">
      <c r="I248" s="213" t="str">
        <f>IFERROR(VLOOKUP(H248,$B$3:$F$69,5,FALSE),"")</f>
        <v/>
      </c>
      <c r="U248" s="87" t="str">
        <f>IFERROR(VLOOKUP(T248,$B$3:$F$73,5,FALSE),"")</f>
        <v/>
      </c>
    </row>
    <row r="249" spans="9:21" x14ac:dyDescent="0.3">
      <c r="I249" s="213" t="str">
        <f>IFERROR(VLOOKUP(H249,$B$3:$F$69,5,FALSE),"")</f>
        <v/>
      </c>
      <c r="U249" s="87" t="str">
        <f>IFERROR(VLOOKUP(T249,$B$3:$F$73,5,FALSE),"")</f>
        <v/>
      </c>
    </row>
    <row r="250" spans="9:21" x14ac:dyDescent="0.3">
      <c r="I250" s="213" t="str">
        <f>IFERROR(VLOOKUP(H250,$B$3:$F$69,5,FALSE),"")</f>
        <v/>
      </c>
      <c r="U250" s="87" t="str">
        <f>IFERROR(VLOOKUP(T250,$B$3:$F$73,5,FALSE),"")</f>
        <v/>
      </c>
    </row>
    <row r="251" spans="9:21" x14ac:dyDescent="0.3">
      <c r="I251" s="213" t="str">
        <f>IFERROR(VLOOKUP(H251,$B$3:$F$69,5,FALSE),"")</f>
        <v/>
      </c>
      <c r="U251" s="87" t="str">
        <f>IFERROR(VLOOKUP(T251,$B$3:$F$73,5,FALSE),"")</f>
        <v/>
      </c>
    </row>
    <row r="252" spans="9:21" x14ac:dyDescent="0.3">
      <c r="I252" s="213" t="str">
        <f>IFERROR(VLOOKUP(H252,$B$3:$F$69,5,FALSE),"")</f>
        <v/>
      </c>
      <c r="U252" s="87" t="str">
        <f>IFERROR(VLOOKUP(T252,$B$3:$F$73,5,FALSE),"")</f>
        <v/>
      </c>
    </row>
    <row r="253" spans="9:21" x14ac:dyDescent="0.3">
      <c r="I253" s="213" t="str">
        <f>IFERROR(VLOOKUP(H253,$B$3:$F$69,5,FALSE),"")</f>
        <v/>
      </c>
      <c r="U253" s="87" t="str">
        <f>IFERROR(VLOOKUP(T253,$B$3:$F$73,5,FALSE),"")</f>
        <v/>
      </c>
    </row>
    <row r="254" spans="9:21" x14ac:dyDescent="0.3">
      <c r="I254" s="213" t="str">
        <f>IFERROR(VLOOKUP(H254,$B$3:$F$69,5,FALSE),"")</f>
        <v/>
      </c>
      <c r="U254" s="87" t="str">
        <f>IFERROR(VLOOKUP(T254,$B$3:$F$73,5,FALSE),"")</f>
        <v/>
      </c>
    </row>
    <row r="255" spans="9:21" x14ac:dyDescent="0.3">
      <c r="I255" s="213" t="str">
        <f>IFERROR(VLOOKUP(H255,$B$3:$F$69,5,FALSE),"")</f>
        <v/>
      </c>
      <c r="U255" s="87" t="str">
        <f>IFERROR(VLOOKUP(T255,$B$3:$F$73,5,FALSE),"")</f>
        <v/>
      </c>
    </row>
    <row r="256" spans="9:21" x14ac:dyDescent="0.3">
      <c r="I256" s="213" t="str">
        <f>IFERROR(VLOOKUP(H256,$B$3:$F$69,5,FALSE),"")</f>
        <v/>
      </c>
      <c r="U256" s="87" t="str">
        <f>IFERROR(VLOOKUP(T256,$B$3:$F$73,5,FALSE),"")</f>
        <v/>
      </c>
    </row>
    <row r="257" spans="9:21" x14ac:dyDescent="0.3">
      <c r="I257" s="213" t="str">
        <f>IFERROR(VLOOKUP(H257,$B$3:$F$69,5,FALSE),"")</f>
        <v/>
      </c>
      <c r="U257" s="87" t="str">
        <f>IFERROR(VLOOKUP(T257,$B$3:$F$73,5,FALSE),"")</f>
        <v/>
      </c>
    </row>
    <row r="258" spans="9:21" x14ac:dyDescent="0.3">
      <c r="I258" s="213" t="str">
        <f>IFERROR(VLOOKUP(H258,$B$3:$F$69,5,FALSE),"")</f>
        <v/>
      </c>
      <c r="U258" s="87" t="str">
        <f>IFERROR(VLOOKUP(T258,$B$3:$F$73,5,FALSE),"")</f>
        <v/>
      </c>
    </row>
    <row r="259" spans="9:21" x14ac:dyDescent="0.3">
      <c r="I259" s="213" t="str">
        <f>IFERROR(VLOOKUP(H259,$B$3:$F$69,5,FALSE),"")</f>
        <v/>
      </c>
      <c r="U259" s="87" t="str">
        <f>IFERROR(VLOOKUP(T259,$B$3:$F$73,5,FALSE),"")</f>
        <v/>
      </c>
    </row>
    <row r="260" spans="9:21" x14ac:dyDescent="0.3">
      <c r="I260" s="213" t="str">
        <f>IFERROR(VLOOKUP(H260,$B$3:$F$69,5,FALSE),"")</f>
        <v/>
      </c>
      <c r="U260" s="87" t="str">
        <f>IFERROR(VLOOKUP(T260,$B$3:$F$73,5,FALSE),"")</f>
        <v/>
      </c>
    </row>
    <row r="261" spans="9:21" x14ac:dyDescent="0.3">
      <c r="I261" s="213" t="str">
        <f>IFERROR(VLOOKUP(H261,$B$3:$F$69,5,FALSE),"")</f>
        <v/>
      </c>
      <c r="U261" s="87" t="str">
        <f>IFERROR(VLOOKUP(T261,$B$3:$F$73,5,FALSE),"")</f>
        <v/>
      </c>
    </row>
    <row r="262" spans="9:21" x14ac:dyDescent="0.3">
      <c r="I262" s="213" t="str">
        <f>IFERROR(VLOOKUP(H262,$B$3:$F$69,5,FALSE),"")</f>
        <v/>
      </c>
      <c r="U262" s="87" t="str">
        <f>IFERROR(VLOOKUP(T262,$B$3:$F$73,5,FALSE),"")</f>
        <v/>
      </c>
    </row>
    <row r="263" spans="9:21" x14ac:dyDescent="0.3">
      <c r="I263" s="213" t="str">
        <f>IFERROR(VLOOKUP(H263,$B$3:$F$69,5,FALSE),"")</f>
        <v/>
      </c>
      <c r="U263" s="87" t="str">
        <f>IFERROR(VLOOKUP(T263,$B$3:$F$73,5,FALSE),"")</f>
        <v/>
      </c>
    </row>
    <row r="264" spans="9:21" x14ac:dyDescent="0.3">
      <c r="I264" s="213" t="str">
        <f>IFERROR(VLOOKUP(H264,$B$3:$F$69,5,FALSE),"")</f>
        <v/>
      </c>
      <c r="U264" s="87" t="str">
        <f>IFERROR(VLOOKUP(T264,$B$3:$F$73,5,FALSE),"")</f>
        <v/>
      </c>
    </row>
    <row r="265" spans="9:21" x14ac:dyDescent="0.3">
      <c r="I265" s="213" t="str">
        <f>IFERROR(VLOOKUP(H265,$B$3:$F$69,5,FALSE),"")</f>
        <v/>
      </c>
      <c r="U265" s="87" t="str">
        <f>IFERROR(VLOOKUP(T265,$B$3:$F$73,5,FALSE),"")</f>
        <v/>
      </c>
    </row>
    <row r="266" spans="9:21" x14ac:dyDescent="0.3">
      <c r="I266" s="213" t="str">
        <f>IFERROR(VLOOKUP(H266,$B$3:$F$69,5,FALSE),"")</f>
        <v/>
      </c>
      <c r="U266" s="87" t="str">
        <f>IFERROR(VLOOKUP(T266,$B$3:$F$73,5,FALSE),"")</f>
        <v/>
      </c>
    </row>
    <row r="267" spans="9:21" x14ac:dyDescent="0.3">
      <c r="I267" s="213" t="str">
        <f>IFERROR(VLOOKUP(H267,$B$3:$F$69,5,FALSE),"")</f>
        <v/>
      </c>
      <c r="U267" s="87" t="str">
        <f>IFERROR(VLOOKUP(T267,$B$3:$F$73,5,FALSE),"")</f>
        <v/>
      </c>
    </row>
    <row r="268" spans="9:21" x14ac:dyDescent="0.3">
      <c r="I268" s="213" t="str">
        <f>IFERROR(VLOOKUP(H268,$B$3:$F$69,5,FALSE),"")</f>
        <v/>
      </c>
      <c r="U268" s="87" t="str">
        <f>IFERROR(VLOOKUP(T268,$B$3:$F$73,5,FALSE),"")</f>
        <v/>
      </c>
    </row>
    <row r="269" spans="9:21" x14ac:dyDescent="0.3">
      <c r="I269" s="213" t="str">
        <f>IFERROR(VLOOKUP(H269,$B$3:$F$69,5,FALSE),"")</f>
        <v/>
      </c>
      <c r="U269" s="87" t="str">
        <f>IFERROR(VLOOKUP(T269,$B$3:$F$73,5,FALSE),"")</f>
        <v/>
      </c>
    </row>
    <row r="270" spans="9:21" x14ac:dyDescent="0.3">
      <c r="I270" s="213" t="str">
        <f>IFERROR(VLOOKUP(H270,$B$3:$F$69,5,FALSE),"")</f>
        <v/>
      </c>
      <c r="U270" s="87" t="str">
        <f>IFERROR(VLOOKUP(T270,$B$3:$F$73,5,FALSE),"")</f>
        <v/>
      </c>
    </row>
    <row r="271" spans="9:21" x14ac:dyDescent="0.3">
      <c r="I271" s="213" t="str">
        <f>IFERROR(VLOOKUP(H271,$B$3:$F$69,5,FALSE),"")</f>
        <v/>
      </c>
      <c r="U271" s="87" t="str">
        <f>IFERROR(VLOOKUP(T271,$B$3:$F$73,5,FALSE),"")</f>
        <v/>
      </c>
    </row>
    <row r="272" spans="9:21" x14ac:dyDescent="0.3">
      <c r="I272" s="213" t="str">
        <f>IFERROR(VLOOKUP(H272,$B$3:$F$69,5,FALSE),"")</f>
        <v/>
      </c>
      <c r="U272" s="87" t="str">
        <f>IFERROR(VLOOKUP(T272,$B$3:$F$73,5,FALSE),"")</f>
        <v/>
      </c>
    </row>
    <row r="273" spans="9:21" x14ac:dyDescent="0.3">
      <c r="I273" s="213" t="str">
        <f>IFERROR(VLOOKUP(H273,$B$3:$F$69,5,FALSE),"")</f>
        <v/>
      </c>
      <c r="U273" s="87" t="str">
        <f>IFERROR(VLOOKUP(T273,$B$3:$F$73,5,FALSE),"")</f>
        <v/>
      </c>
    </row>
    <row r="274" spans="9:21" x14ac:dyDescent="0.3">
      <c r="I274" s="213" t="str">
        <f>IFERROR(VLOOKUP(H274,$B$3:$F$69,5,FALSE),"")</f>
        <v/>
      </c>
      <c r="U274" s="87" t="str">
        <f>IFERROR(VLOOKUP(T274,$B$3:$F$73,5,FALSE),"")</f>
        <v/>
      </c>
    </row>
    <row r="275" spans="9:21" x14ac:dyDescent="0.3">
      <c r="I275" s="213" t="str">
        <f>IFERROR(VLOOKUP(H275,$B$3:$F$69,5,FALSE),"")</f>
        <v/>
      </c>
      <c r="U275" s="87" t="str">
        <f>IFERROR(VLOOKUP(T275,$B$3:$F$73,5,FALSE),"")</f>
        <v/>
      </c>
    </row>
    <row r="276" spans="9:21" x14ac:dyDescent="0.3">
      <c r="I276" s="213" t="str">
        <f>IFERROR(VLOOKUP(H276,$B$3:$F$69,5,FALSE),"")</f>
        <v/>
      </c>
      <c r="U276" s="87" t="str">
        <f>IFERROR(VLOOKUP(T276,$B$3:$F$73,5,FALSE),"")</f>
        <v/>
      </c>
    </row>
    <row r="277" spans="9:21" x14ac:dyDescent="0.3">
      <c r="U277" s="87" t="str">
        <f>IFERROR(VLOOKUP(T277,$B$3:$F$73,5,FALSE),"")</f>
        <v/>
      </c>
    </row>
    <row r="278" spans="9:21" x14ac:dyDescent="0.3">
      <c r="U278" s="87" t="str">
        <f>IFERROR(VLOOKUP(T278,$B$3:$F$73,5,FALSE),"")</f>
        <v/>
      </c>
    </row>
    <row r="279" spans="9:21" x14ac:dyDescent="0.3">
      <c r="U279" s="87" t="str">
        <f>IFERROR(VLOOKUP(T279,$B$3:$F$73,5,FALSE),"")</f>
        <v/>
      </c>
    </row>
    <row r="280" spans="9:21" x14ac:dyDescent="0.3">
      <c r="U280" s="87" t="str">
        <f>IFERROR(VLOOKUP(T280,$B$3:$F$73,5,FALSE),"")</f>
        <v/>
      </c>
    </row>
    <row r="281" spans="9:21" x14ac:dyDescent="0.3">
      <c r="U281" s="87" t="str">
        <f>IFERROR(VLOOKUP(T281,$B$3:$F$73,5,FALSE),"")</f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18F1-0DAB-4573-BADF-30E68A1998B9}">
  <sheetPr codeName="Sheet6"/>
  <dimension ref="A2:M28"/>
  <sheetViews>
    <sheetView tabSelected="1" zoomScale="85" zoomScaleNormal="85" workbookViewId="0">
      <selection activeCell="L28" sqref="L28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345</v>
      </c>
      <c r="J3" s="16">
        <v>2023</v>
      </c>
      <c r="K3" s="17">
        <v>2024</v>
      </c>
    </row>
    <row r="4" spans="2:13" x14ac:dyDescent="0.3">
      <c r="B4" s="153" t="s">
        <v>70</v>
      </c>
      <c r="C4" s="154">
        <f ca="1">VLOOKUP($B4,XYZTU!$L$2:$N$15,3,FALSE)</f>
        <v>0</v>
      </c>
      <c r="D4" s="154">
        <f>VLOOKUP($B4,SPEC001!$L$2:$N$15,3,FALSE)</f>
        <v>0</v>
      </c>
      <c r="E4" s="154">
        <f>VLOOKUP($B4,SPEC002!$L$2:$N$15,3,FALSE)</f>
        <v>0</v>
      </c>
      <c r="F4" s="154">
        <f>VLOOKUP($B4,SPEC003!$L$2:$N$15,3,FALSE)</f>
        <v>0</v>
      </c>
      <c r="G4" s="154">
        <f>VLOOKUP($B4,SPEC004!$L$2:$N$15,3,FALSE)</f>
        <v>0</v>
      </c>
      <c r="H4" s="155">
        <f>VLOOKUP($B4,SPEC005!$L$2:$N$15,3,FALSE)</f>
        <v>0</v>
      </c>
      <c r="I4" s="19">
        <f ca="1">AVERAGE(C4:H4)</f>
        <v>0</v>
      </c>
      <c r="J4" s="20" cm="1">
        <f t="array" aca="1" ref="J4" ca="1">SUM(C4:I4*$C$17:$I$17)/$J$17</f>
        <v>0</v>
      </c>
      <c r="K4" s="20" cm="1">
        <f t="array" aca="1" ref="K4" ca="1">SUM(C4:I4*$C$20:$I$20)/$K$20</f>
        <v>0</v>
      </c>
      <c r="M4" s="142"/>
    </row>
    <row r="5" spans="2:13" x14ac:dyDescent="0.3">
      <c r="B5" s="156" t="s">
        <v>71</v>
      </c>
      <c r="C5" s="154">
        <f ca="1">VLOOKUP($B5,XYZTU!$L$2:$N$15,3,FALSE)</f>
        <v>0.11399955938976952</v>
      </c>
      <c r="D5" s="154">
        <f>VLOOKUP($B5,SPEC001!$L$2:$N$15,3,FALSE)</f>
        <v>0.17459866073544447</v>
      </c>
      <c r="E5" s="154">
        <f>VLOOKUP($B5,SPEC002!$L$2:$N$15,3,FALSE)</f>
        <v>0.15755406487785342</v>
      </c>
      <c r="F5" s="154">
        <f>VLOOKUP($B5,SPEC003!$L$2:$N$15,3,FALSE)</f>
        <v>0.12787013849816137</v>
      </c>
      <c r="G5" s="154">
        <f>VLOOKUP($B5,SPEC004!$L$2:$N$15,3,FALSE)</f>
        <v>0.1560281743026565</v>
      </c>
      <c r="H5" s="155">
        <f>VLOOKUP($B5,SPEC005!$L$2:$N$15,3,FALSE)</f>
        <v>0.1560281743026565</v>
      </c>
      <c r="I5" s="19">
        <f ca="1">AVERAGE(C5:H5)</f>
        <v>0.1476797953510903</v>
      </c>
      <c r="J5" s="20" cm="1">
        <f t="array" aca="1" ref="J5" ca="1">SUM(C5:I5*$C$17:$I$17)/$J$17</f>
        <v>0.14518484157336273</v>
      </c>
      <c r="K5" s="20" cm="1">
        <f t="array" aca="1" ref="K5" ca="1">SUM(C5:I5*$C$20:$I$20)/$K$20</f>
        <v>0.14560066720298398</v>
      </c>
    </row>
    <row r="6" spans="2:13" x14ac:dyDescent="0.3">
      <c r="B6" s="153" t="s">
        <v>72</v>
      </c>
      <c r="C6" s="154">
        <f ca="1">VLOOKUP($B6,XYZTU!$L$2:$N$15,3,FALSE)</f>
        <v>5.6738524147618204E-3</v>
      </c>
      <c r="D6" s="154">
        <f>VLOOKUP($B6,SPEC001!$L$2:$N$15,3,FALSE)</f>
        <v>3.5569277713455162E-3</v>
      </c>
      <c r="E6" s="154">
        <f>VLOOKUP($B6,SPEC002!$L$2:$N$15,3,FALSE)</f>
        <v>2.0497096515818981E-2</v>
      </c>
      <c r="F6" s="154">
        <f>VLOOKUP($B6,SPEC003!$L$2:$N$15,3,FALSE)</f>
        <v>2.3732625021263304E-2</v>
      </c>
      <c r="G6" s="154">
        <f>VLOOKUP($B6,SPEC004!$L$2:$N$15,3,FALSE)</f>
        <v>3.1220401266535743E-3</v>
      </c>
      <c r="H6" s="155">
        <f>VLOOKUP($B6,SPEC005!$L$2:$N$15,3,FALSE)</f>
        <v>3.1220401266535743E-3</v>
      </c>
      <c r="I6" s="19">
        <f t="shared" ref="I6:I13" ca="1" si="0">AVERAGE(C6:H6)</f>
        <v>9.9507636627494626E-3</v>
      </c>
      <c r="J6" s="20" cm="1">
        <f t="array" aca="1" ref="J6" ca="1">SUM(C6:I6*$C$17:$I$17)/$J$17</f>
        <v>1.0167327580132918E-2</v>
      </c>
      <c r="K6" s="20" cm="1">
        <f t="array" aca="1" ref="K6" ca="1">SUM(C6:I6*$C$20:$I$20)/$K$20</f>
        <v>1.0131233593902342E-2</v>
      </c>
    </row>
    <row r="7" spans="2:13" x14ac:dyDescent="0.3">
      <c r="B7" s="156" t="s">
        <v>73</v>
      </c>
      <c r="C7" s="154">
        <f ca="1">VLOOKUP($B7,XYZTU!$L$2:$N$15,3,FALSE)</f>
        <v>0.12126008145774222</v>
      </c>
      <c r="D7" s="154">
        <f>VLOOKUP($B7,SPEC001!$L$2:$N$15,3,FALSE)</f>
        <v>0.16264368205218482</v>
      </c>
      <c r="E7" s="154">
        <f>VLOOKUP($B7,SPEC002!$L$2:$N$15,3,FALSE)</f>
        <v>0.10296981377653183</v>
      </c>
      <c r="F7" s="154">
        <f>VLOOKUP($B7,SPEC003!$L$2:$N$15,3,FALSE)</f>
        <v>9.3661491929959262E-2</v>
      </c>
      <c r="G7" s="154">
        <f>VLOOKUP($B7,SPEC004!$L$2:$N$15,3,FALSE)</f>
        <v>9.792025718860288E-2</v>
      </c>
      <c r="H7" s="155">
        <f>VLOOKUP($B7,SPEC005!$L$2:$N$15,3,FALSE)</f>
        <v>9.792025718860288E-2</v>
      </c>
      <c r="I7" s="19">
        <f ca="1">AVERAGE(C7:H7)</f>
        <v>0.11272926393227066</v>
      </c>
      <c r="J7" s="20" cm="1">
        <f t="array" aca="1" ref="J7" ca="1">SUM(C7:I7*$C$17:$I$17)/$J$17</f>
        <v>0.11913281828793094</v>
      </c>
      <c r="K7" s="20" cm="1">
        <f t="array" aca="1" ref="K7" ca="1">SUM(C7:I7*$C$20:$I$20)/$K$20</f>
        <v>0.11806555922865425</v>
      </c>
    </row>
    <row r="8" spans="2:13" x14ac:dyDescent="0.3">
      <c r="B8" s="153" t="s">
        <v>74</v>
      </c>
      <c r="C8" s="154">
        <f ca="1">VLOOKUP($B8,XYZTU!$L$2:$N$15,3,FALSE)</f>
        <v>2.0085966578785027E-2</v>
      </c>
      <c r="D8" s="154">
        <f>VLOOKUP($B8,SPEC001!$L$2:$N$15,3,FALSE)</f>
        <v>2.6297793395760126E-2</v>
      </c>
      <c r="E8" s="154">
        <f>VLOOKUP($B8,SPEC002!$L$2:$N$15,3,FALSE)</f>
        <v>2.0931367641169402E-2</v>
      </c>
      <c r="F8" s="154">
        <f>VLOOKUP($B8,SPEC003!$L$2:$N$15,3,FALSE)</f>
        <v>3.3214057660877101E-2</v>
      </c>
      <c r="G8" s="154">
        <f>VLOOKUP($B8,SPEC004!$L$2:$N$15,3,FALSE)</f>
        <v>2.1831076534282325E-2</v>
      </c>
      <c r="H8" s="155">
        <f>VLOOKUP($B8,SPEC005!$L$2:$N$15,3,FALSE)</f>
        <v>2.1831076534282325E-2</v>
      </c>
      <c r="I8" s="19">
        <f t="shared" ca="1" si="0"/>
        <v>2.4031889724192717E-2</v>
      </c>
      <c r="J8" s="20" cm="1">
        <f t="array" aca="1" ref="J8" ca="1">SUM(C8:I8*$C$17:$I$17)/$J$17</f>
        <v>2.3879727939937496E-2</v>
      </c>
      <c r="K8" s="20" cm="1">
        <f t="array" aca="1" ref="K8" ca="1">SUM(C8:I8*$C$20:$I$20)/$K$20</f>
        <v>2.3905088237313372E-2</v>
      </c>
    </row>
    <row r="9" spans="2:13" x14ac:dyDescent="0.3">
      <c r="B9" s="156" t="s">
        <v>75</v>
      </c>
      <c r="C9" s="154">
        <f ca="1">VLOOKUP($B9,XYZTU!$L$2:$N$15,3,FALSE)</f>
        <v>5.1921446111153249E-2</v>
      </c>
      <c r="D9" s="154">
        <f>VLOOKUP($B9,SPEC001!$L$2:$N$15,3,FALSE)</f>
        <v>1.5175623308710187E-2</v>
      </c>
      <c r="E9" s="154">
        <f>VLOOKUP($B9,SPEC002!$L$2:$N$15,3,FALSE)</f>
        <v>2.1025230276331595E-2</v>
      </c>
      <c r="F9" s="154">
        <f>VLOOKUP($B9,SPEC003!$L$2:$N$15,3,FALSE)</f>
        <v>7.3778931800556951E-3</v>
      </c>
      <c r="G9" s="154">
        <f>VLOOKUP($B9,SPEC004!$L$2:$N$15,3,FALSE)</f>
        <v>3.9287077918105519E-2</v>
      </c>
      <c r="H9" s="155">
        <f>VLOOKUP($B9,SPEC005!$L$2:$N$15,3,FALSE)</f>
        <v>3.9287077918105519E-2</v>
      </c>
      <c r="I9" s="19">
        <f t="shared" ca="1" si="0"/>
        <v>2.9012391452076958E-2</v>
      </c>
      <c r="J9" s="20" cm="1">
        <f t="array" aca="1" ref="J9" ca="1">SUM(C9:I9*$C$17:$I$17)/$J$17</f>
        <v>2.9102087736743533E-2</v>
      </c>
      <c r="K9" s="20" cm="1">
        <f t="array" aca="1" ref="K9" ca="1">SUM(C9:I9*$C$20:$I$20)/$K$20</f>
        <v>2.9087138355965773E-2</v>
      </c>
    </row>
    <row r="10" spans="2:13" x14ac:dyDescent="0.3">
      <c r="B10" s="153" t="s">
        <v>76</v>
      </c>
      <c r="C10" s="154">
        <f ca="1">VLOOKUP($B10,XYZTU!$L$2:$N$15,3,FALSE)</f>
        <v>0</v>
      </c>
      <c r="D10" s="154">
        <f>VLOOKUP($B10,SPEC001!$L$2:$N$15,3,FALSE)</f>
        <v>0</v>
      </c>
      <c r="E10" s="154">
        <f>VLOOKUP($B10,SPEC002!$L$2:$N$15,3,FALSE)</f>
        <v>0</v>
      </c>
      <c r="F10" s="154">
        <f>VLOOKUP($B10,SPEC003!$L$2:$N$15,3,FALSE)</f>
        <v>0</v>
      </c>
      <c r="G10" s="154">
        <f>VLOOKUP($B10,SPEC004!$L$2:$N$15,3,FALSE)</f>
        <v>0</v>
      </c>
      <c r="H10" s="155">
        <f>VLOOKUP($B10,SPEC005!$L$2:$N$15,3,FALSE)</f>
        <v>0</v>
      </c>
      <c r="I10" s="19">
        <f t="shared" ca="1" si="0"/>
        <v>0</v>
      </c>
      <c r="J10" s="20" cm="1">
        <f t="array" aca="1" ref="J10" ca="1">SUM(C10:I10*$C$17:$I$17)/$J$17</f>
        <v>0</v>
      </c>
      <c r="K10" s="20" cm="1">
        <f t="array" aca="1" ref="K10" ca="1">SUM(C10:I10*$C$20:$I$20)/$K$20</f>
        <v>0</v>
      </c>
    </row>
    <row r="11" spans="2:13" x14ac:dyDescent="0.3">
      <c r="B11" s="156" t="s">
        <v>77</v>
      </c>
      <c r="C11" s="154">
        <f ca="1">VLOOKUP($B11,XYZTU!$L$2:$N$15,3,FALSE)</f>
        <v>0.53971351133828127</v>
      </c>
      <c r="D11" s="154">
        <f>VLOOKUP($B11,SPEC001!$L$2:$N$15,3,FALSE)</f>
        <v>0.57964832456514526</v>
      </c>
      <c r="E11" s="154">
        <f>VLOOKUP($B11,SPEC002!$L$2:$N$15,3,FALSE)</f>
        <v>0.58691429715658794</v>
      </c>
      <c r="F11" s="154">
        <f>VLOOKUP($B11,SPEC003!$L$2:$N$15,3,FALSE)</f>
        <v>0.64755967371995715</v>
      </c>
      <c r="G11" s="154">
        <f>VLOOKUP($B11,SPEC004!$L$2:$N$15,3,FALSE)</f>
        <v>0.59728424698712579</v>
      </c>
      <c r="H11" s="155">
        <f>VLOOKUP($B11,SPEC005!$L$2:$N$15,3,FALSE)</f>
        <v>0.59728424698712579</v>
      </c>
      <c r="I11" s="19">
        <f t="shared" ca="1" si="0"/>
        <v>0.59140071679237061</v>
      </c>
      <c r="J11" s="20" cm="1">
        <f t="array" aca="1" ref="J11" ca="1">SUM(C11:I11*$C$17:$I$17)/$J$17</f>
        <v>0.58337258035089989</v>
      </c>
      <c r="K11" s="20" cm="1">
        <f t="array" aca="1" ref="K11" ca="1">SUM(C11:I11*$C$20:$I$20)/$K$20</f>
        <v>0.58471060309114498</v>
      </c>
    </row>
    <row r="12" spans="2:13" x14ac:dyDescent="0.3">
      <c r="B12" s="153" t="s">
        <v>78</v>
      </c>
      <c r="C12" s="154">
        <f ca="1">VLOOKUP($B12,XYZTU!$L$2:$N$15,3,FALSE)</f>
        <v>0</v>
      </c>
      <c r="D12" s="154">
        <f>VLOOKUP($B12,SPEC001!$L$2:$N$15,3,FALSE)</f>
        <v>0</v>
      </c>
      <c r="E12" s="154">
        <f>VLOOKUP($B12,SPEC002!$L$2:$N$15,3,FALSE)</f>
        <v>0</v>
      </c>
      <c r="F12" s="154">
        <f>VLOOKUP($B12,SPEC003!$L$2:$N$15,3,FALSE)</f>
        <v>0</v>
      </c>
      <c r="G12" s="154">
        <f>VLOOKUP($B12,SPEC004!$L$2:$N$15,3,FALSE)</f>
        <v>0</v>
      </c>
      <c r="H12" s="155">
        <f>VLOOKUP($B12,SPEC005!$L$2:$N$15,3,FALSE)</f>
        <v>0</v>
      </c>
      <c r="I12" s="19">
        <f t="shared" ca="1" si="0"/>
        <v>0</v>
      </c>
      <c r="J12" s="20" cm="1">
        <f t="array" aca="1" ref="J12" ca="1">SUM(C12:I12*$C$17:$I$17)/$J$17</f>
        <v>0</v>
      </c>
      <c r="K12" s="20" cm="1">
        <f t="array" aca="1" ref="K12" ca="1">SUM(C12:I12*$C$20:$I$20)/$K$20</f>
        <v>0</v>
      </c>
    </row>
    <row r="13" spans="2:13" x14ac:dyDescent="0.3">
      <c r="B13" s="156" t="s">
        <v>79</v>
      </c>
      <c r="C13" s="154">
        <f ca="1">VLOOKUP($B13,XYZTU!$L$2:$N$15,3,FALSE)</f>
        <v>0.14734558270950698</v>
      </c>
      <c r="D13" s="154">
        <f>VLOOKUP($B13,SPEC001!$L$2:$N$15,3,FALSE)</f>
        <v>3.8078988171409617E-2</v>
      </c>
      <c r="E13" s="154">
        <f>VLOOKUP($B13,SPEC002!$L$2:$N$15,3,FALSE)</f>
        <v>9.0108129755706826E-2</v>
      </c>
      <c r="F13" s="154">
        <f>VLOOKUP($B13,SPEC003!$L$2:$N$15,3,FALSE)</f>
        <v>6.6584119989726145E-2</v>
      </c>
      <c r="G13" s="154">
        <f>VLOOKUP($B13,SPEC004!$L$2:$N$15,3,FALSE)</f>
        <v>8.4527126942573458E-2</v>
      </c>
      <c r="H13" s="155">
        <f>VLOOKUP($B13,SPEC005!$L$2:$N$15,3,FALSE)</f>
        <v>8.4527126942573458E-2</v>
      </c>
      <c r="I13" s="19">
        <f t="shared" ca="1" si="0"/>
        <v>8.5195179085249415E-2</v>
      </c>
      <c r="J13" s="20" cm="1">
        <f t="array" aca="1" ref="J13" ca="1">SUM(C13:I13*$C$17:$I$17)/$J$17</f>
        <v>8.916061653099254E-2</v>
      </c>
      <c r="K13" s="20" cm="1">
        <f t="array" aca="1" ref="K13" ca="1">SUM(C13:I13*$C$20:$I$20)/$K$20</f>
        <v>8.8499710290035366E-2</v>
      </c>
    </row>
    <row r="14" spans="2:13" x14ac:dyDescent="0.3">
      <c r="B14" s="153" t="s">
        <v>80</v>
      </c>
      <c r="C14" s="154">
        <f ca="1">VLOOKUP($B14,XYZTU!$L$2:$N$15,3,FALSE)</f>
        <v>0</v>
      </c>
      <c r="D14" s="154">
        <f>VLOOKUP($B14,SPEC001!$L$2:$N$15,3,FALSE)</f>
        <v>0</v>
      </c>
      <c r="E14" s="154">
        <f>VLOOKUP($B14,SPEC002!$L$2:$N$15,3,FALSE)</f>
        <v>0</v>
      </c>
      <c r="F14" s="154">
        <f>VLOOKUP($B14,SPEC003!$L$2:$N$15,3,FALSE)</f>
        <v>0</v>
      </c>
      <c r="G14" s="154">
        <f>VLOOKUP($B14,SPEC004!$L$2:$N$15,3,FALSE)</f>
        <v>0</v>
      </c>
      <c r="H14" s="155">
        <f>VLOOKUP($B14,SPEC005!$L$2:$N$15,3,FALSE)</f>
        <v>0</v>
      </c>
      <c r="I14" s="19">
        <f ca="1">AVERAGE(C14:H14)</f>
        <v>0</v>
      </c>
      <c r="J14" s="20" cm="1">
        <f t="array" aca="1" ref="J14" ca="1">SUM(C14:I14*$C$17:$I$17)/$J$17</f>
        <v>0</v>
      </c>
      <c r="K14" s="20" cm="1">
        <f t="array" aca="1" ref="K14" ca="1">SUM(C14:I14*$C$20:$I$20)/$K$20</f>
        <v>0</v>
      </c>
    </row>
    <row r="15" spans="2:13" x14ac:dyDescent="0.3">
      <c r="B15" s="157" t="s">
        <v>81</v>
      </c>
      <c r="C15" s="154">
        <f ca="1">VLOOKUP($B15,XYZTU!$L$2:$N$15,3,FALSE)</f>
        <v>1</v>
      </c>
      <c r="D15" s="154">
        <f>VLOOKUP($B15,SPEC001!$L$2:$N$15,3,FALSE)</f>
        <v>1</v>
      </c>
      <c r="E15" s="154">
        <f>VLOOKUP($B15,SPEC002!$L$2:$N$15,3,FALSE)</f>
        <v>0.99999999999999989</v>
      </c>
      <c r="F15" s="154">
        <f>VLOOKUP($B15,SPEC003!$L$2:$N$15,3,FALSE)</f>
        <v>1</v>
      </c>
      <c r="G15" s="158">
        <f>VLOOKUP($B15,SPEC004!$L$2:$N$15,3,FALSE)</f>
        <v>1</v>
      </c>
      <c r="H15" s="159">
        <f>VLOOKUP($B15,SPEC005!$L$2:$N$15,3,FALSE)</f>
        <v>1</v>
      </c>
      <c r="I15" s="19">
        <f ca="1">SUM(I4:I14)</f>
        <v>1.0000000000000002</v>
      </c>
      <c r="J15" s="19">
        <f ca="1">SUM(J4:J14)</f>
        <v>1</v>
      </c>
      <c r="K15" s="19">
        <f ca="1">SUM(K4:K14)</f>
        <v>1</v>
      </c>
    </row>
    <row r="16" spans="2:13" ht="15" thickBot="1" x14ac:dyDescent="0.35">
      <c r="B16" s="160" t="s">
        <v>82</v>
      </c>
      <c r="C16" s="161">
        <f ca="1">VLOOKUP($B16,XYZTU!$L$2:$N$15,3,FALSE)</f>
        <v>2.5759818993546846E-2</v>
      </c>
      <c r="D16" s="161">
        <f>VLOOKUP($B16,SPEC001!$L$2:$N$15,3,FALSE)</f>
        <v>2.9854721167105643E-2</v>
      </c>
      <c r="E16" s="161">
        <f>VLOOKUP($B16,SPEC002!$L$2:$N$15,3,FALSE)</f>
        <v>4.1428464156988379E-2</v>
      </c>
      <c r="F16" s="161">
        <f>VLOOKUP($B16,SPEC003!$L$2:$N$15,3,FALSE)</f>
        <v>5.6946682682140405E-2</v>
      </c>
      <c r="G16" s="161">
        <f>VLOOKUP($B16,SPEC004!$L$2:$N$15,3,FALSE)</f>
        <v>2.4953116660935901E-2</v>
      </c>
      <c r="H16" s="162">
        <f>VLOOKUP($B16,SPEC005!$L$2:$N$15,3,FALSE)</f>
        <v>2.4953116660935901E-2</v>
      </c>
      <c r="I16" s="63">
        <f ca="1">SUM(I14,I12,I10,I8,I6,I4)</f>
        <v>3.3982653386942181E-2</v>
      </c>
      <c r="J16" s="63">
        <f ca="1">SUM(J14,J12,J10,J8,J6,J4)</f>
        <v>3.404705552007041E-2</v>
      </c>
      <c r="K16" s="63">
        <f ca="1">SUM(K14,K12,K10,K8,K6,K4)</f>
        <v>3.4036321831215716E-2</v>
      </c>
      <c r="M16" s="143"/>
    </row>
    <row r="17" spans="1:13" x14ac:dyDescent="0.3">
      <c r="A17" s="216">
        <v>2023</v>
      </c>
      <c r="B17" s="64" t="s">
        <v>336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f>J17-SUM(C17:H17)</f>
        <v>4000</v>
      </c>
      <c r="J17" s="43">
        <v>25000</v>
      </c>
      <c r="K17" s="43"/>
    </row>
    <row r="18" spans="1:13" x14ac:dyDescent="0.3">
      <c r="A18" s="217"/>
      <c r="B18" s="67" t="s">
        <v>337</v>
      </c>
      <c r="C18" s="62">
        <f>C17/$J$17</f>
        <v>0.24</v>
      </c>
      <c r="D18" s="62">
        <f t="shared" ref="D18:I18" si="1">D17/$J$17</f>
        <v>0.2</v>
      </c>
      <c r="E18" s="62">
        <f t="shared" si="1"/>
        <v>0.16</v>
      </c>
      <c r="F18" s="62">
        <f t="shared" si="1"/>
        <v>0.12</v>
      </c>
      <c r="G18" s="62">
        <f t="shared" si="1"/>
        <v>0.08</v>
      </c>
      <c r="H18" s="108">
        <f t="shared" si="1"/>
        <v>0.04</v>
      </c>
      <c r="I18" s="62">
        <f t="shared" si="1"/>
        <v>0.16</v>
      </c>
      <c r="J18" s="74">
        <f>SUM(C18:I18)</f>
        <v>1</v>
      </c>
      <c r="K18" s="43"/>
    </row>
    <row r="19" spans="1:13" ht="15" thickBot="1" x14ac:dyDescent="0.35">
      <c r="A19" s="217"/>
      <c r="B19" s="69" t="s">
        <v>338</v>
      </c>
      <c r="C19" s="70">
        <f ca="1">C16*C18</f>
        <v>6.1823565584512427E-3</v>
      </c>
      <c r="D19" s="70">
        <f t="shared" ref="D19:I19" si="2">D16*D18</f>
        <v>5.9709442334211285E-3</v>
      </c>
      <c r="E19" s="70">
        <f t="shared" si="2"/>
        <v>6.628554265118141E-3</v>
      </c>
      <c r="F19" s="70">
        <f t="shared" si="2"/>
        <v>6.8336019218568486E-3</v>
      </c>
      <c r="G19" s="70">
        <f t="shared" si="2"/>
        <v>1.9962493328748721E-3</v>
      </c>
      <c r="H19" s="109">
        <f t="shared" si="2"/>
        <v>9.9812466643743603E-4</v>
      </c>
      <c r="I19" s="20">
        <f t="shared" ca="1" si="2"/>
        <v>5.437224541910749E-3</v>
      </c>
      <c r="J19" s="110">
        <f ca="1">SUM(C19:I19)</f>
        <v>3.4047055520070417E-2</v>
      </c>
      <c r="K19" s="43"/>
    </row>
    <row r="20" spans="1:13" x14ac:dyDescent="0.3">
      <c r="A20" s="217">
        <v>2024</v>
      </c>
      <c r="B20" s="64" t="s">
        <v>336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f>K20-SUM(C20:H20)</f>
        <v>3000</v>
      </c>
      <c r="J20" s="43"/>
      <c r="K20" s="43">
        <v>30000</v>
      </c>
    </row>
    <row r="21" spans="1:13" x14ac:dyDescent="0.3">
      <c r="A21" s="217"/>
      <c r="B21" s="67" t="s">
        <v>337</v>
      </c>
      <c r="C21" s="62">
        <f>C20/$K$20</f>
        <v>0.23333333333333334</v>
      </c>
      <c r="D21" s="62">
        <f t="shared" ref="D21:E21" si="3">D20/$K$20</f>
        <v>0.2</v>
      </c>
      <c r="E21" s="62">
        <f t="shared" si="3"/>
        <v>0.16666666666666666</v>
      </c>
      <c r="F21" s="62">
        <f>F20/$K$20</f>
        <v>0.13333333333333333</v>
      </c>
      <c r="G21" s="62">
        <f>G20/$K$20</f>
        <v>0.1</v>
      </c>
      <c r="H21" s="108">
        <f>H20/$K$20</f>
        <v>6.6666666666666666E-2</v>
      </c>
      <c r="I21" s="62">
        <f>I20/$K$20</f>
        <v>0.1</v>
      </c>
      <c r="J21" s="74"/>
      <c r="K21" s="74">
        <f>SUM(C21:I21)</f>
        <v>0.99999999999999989</v>
      </c>
    </row>
    <row r="22" spans="1:13" ht="15" thickBot="1" x14ac:dyDescent="0.35">
      <c r="A22" s="218"/>
      <c r="B22" s="69" t="s">
        <v>338</v>
      </c>
      <c r="C22" s="70">
        <f ca="1">C21*C16</f>
        <v>6.0106244318275971E-3</v>
      </c>
      <c r="D22" s="70">
        <f t="shared" ref="D22:G22" si="4">D21*D16</f>
        <v>5.9709442334211285E-3</v>
      </c>
      <c r="E22" s="70">
        <f t="shared" si="4"/>
        <v>6.9047440261647292E-3</v>
      </c>
      <c r="F22" s="70">
        <f t="shared" si="4"/>
        <v>7.5928910242853871E-3</v>
      </c>
      <c r="G22" s="70">
        <f t="shared" si="4"/>
        <v>2.4953116660935901E-3</v>
      </c>
      <c r="H22" s="109">
        <f>H21*H16</f>
        <v>1.66354111072906E-3</v>
      </c>
      <c r="I22" s="20">
        <f ca="1">I21*I16</f>
        <v>3.3982653386942182E-3</v>
      </c>
      <c r="J22" s="43"/>
      <c r="K22" s="110">
        <f ca="1">SUM(C22:I22)</f>
        <v>3.4036321831215709E-2</v>
      </c>
      <c r="L22" s="81"/>
    </row>
    <row r="23" spans="1:13" x14ac:dyDescent="0.3">
      <c r="A23" s="81">
        <f ca="1">SUM(C16:H16)</f>
        <v>0.2038959203216531</v>
      </c>
      <c r="M23" s="81"/>
    </row>
    <row r="25" spans="1:13" x14ac:dyDescent="0.3">
      <c r="B25" s="52"/>
      <c r="D25" s="142"/>
      <c r="I25" s="81"/>
    </row>
    <row r="26" spans="1:13" x14ac:dyDescent="0.3"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customSheetViews>
    <customSheetView guid="{5C7B38D6-29D9-4C20-A92E-817BB499D35F}" topLeftCell="A9">
      <selection activeCell="A24" sqref="A24:B28"/>
      <pageMargins left="0.7" right="0.7" top="0.75" bottom="0.75" header="0.3" footer="0.3"/>
      <pageSetup paperSize="9" orientation="portrait" r:id="rId1"/>
    </customSheetView>
  </customSheetViews>
  <mergeCells count="2">
    <mergeCell ref="A17:A19"/>
    <mergeCell ref="A20:A22"/>
  </mergeCells>
  <phoneticPr fontId="6" type="noConversion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A2EE-957A-40B0-B710-02C66EE3CC65}">
  <sheetPr codeName="Sheet8">
    <pageSetUpPr autoPageBreaks="0"/>
  </sheetPr>
  <dimension ref="B1:V50"/>
  <sheetViews>
    <sheetView showGridLines="0" showZeros="0" topLeftCell="B1" zoomScale="60" zoomScaleNormal="60" zoomScaleSheetLayoutView="86" workbookViewId="0">
      <selection activeCell="K9" sqref="K9"/>
    </sheetView>
  </sheetViews>
  <sheetFormatPr defaultRowHeight="14.4" x14ac:dyDescent="0.3"/>
  <cols>
    <col min="1" max="1" width="0" hidden="1" customWidth="1"/>
    <col min="2" max="2" width="53" bestFit="1" customWidth="1"/>
    <col min="3" max="3" width="25.109375" bestFit="1" customWidth="1"/>
    <col min="6" max="6" width="53" bestFit="1" customWidth="1"/>
    <col min="7" max="7" width="34.6640625" bestFit="1" customWidth="1"/>
    <col min="9" max="9" width="7" customWidth="1"/>
    <col min="10" max="10" width="53" bestFit="1" customWidth="1"/>
    <col min="11" max="11" width="50.77734375" customWidth="1"/>
  </cols>
  <sheetData>
    <row r="1" spans="2:22" x14ac:dyDescent="0.3">
      <c r="B1" s="219" t="s">
        <v>228</v>
      </c>
      <c r="C1" s="220"/>
      <c r="D1" s="220"/>
      <c r="E1" s="220"/>
      <c r="F1" s="220"/>
      <c r="G1" s="220"/>
      <c r="H1" s="220"/>
      <c r="I1" s="220"/>
      <c r="J1" s="220"/>
      <c r="K1" s="221"/>
    </row>
    <row r="2" spans="2:22" x14ac:dyDescent="0.3">
      <c r="B2" s="222"/>
      <c r="C2" s="223"/>
      <c r="D2" s="223"/>
      <c r="E2" s="223"/>
      <c r="F2" s="223"/>
      <c r="G2" s="223"/>
      <c r="H2" s="223"/>
      <c r="I2" s="223"/>
      <c r="J2" s="223"/>
      <c r="K2" s="224"/>
    </row>
    <row r="3" spans="2:22" ht="31.8" customHeight="1" x14ac:dyDescent="0.3">
      <c r="B3" s="225" t="s">
        <v>467</v>
      </c>
      <c r="C3" s="226"/>
      <c r="D3" s="226"/>
      <c r="E3" s="226"/>
      <c r="F3" s="226"/>
      <c r="G3" s="226"/>
      <c r="H3" s="226"/>
      <c r="I3" s="226"/>
      <c r="J3" s="226"/>
      <c r="K3" s="227"/>
    </row>
    <row r="4" spans="2:22" x14ac:dyDescent="0.3">
      <c r="B4" s="25" t="s">
        <v>229</v>
      </c>
      <c r="C4" s="26"/>
      <c r="D4" s="26"/>
      <c r="E4" s="26"/>
      <c r="F4" s="26" t="s">
        <v>230</v>
      </c>
      <c r="G4" s="26"/>
      <c r="H4" s="26"/>
      <c r="I4" s="26"/>
      <c r="J4" s="26" t="s">
        <v>231</v>
      </c>
      <c r="K4" s="27"/>
    </row>
    <row r="5" spans="2:22" ht="25.8" x14ac:dyDescent="0.5">
      <c r="B5" s="34" t="s">
        <v>224</v>
      </c>
      <c r="C5" s="37" t="s">
        <v>384</v>
      </c>
      <c r="D5" s="26"/>
      <c r="E5" s="26"/>
      <c r="F5" s="34" t="s">
        <v>224</v>
      </c>
      <c r="G5" s="37" t="s">
        <v>459</v>
      </c>
      <c r="H5" s="26"/>
      <c r="I5" s="26"/>
      <c r="J5" s="34" t="s">
        <v>224</v>
      </c>
      <c r="K5" s="37" t="s">
        <v>468</v>
      </c>
      <c r="M5" s="34" t="s">
        <v>224</v>
      </c>
      <c r="N5" s="37" t="s">
        <v>384</v>
      </c>
      <c r="O5" s="26"/>
      <c r="P5" s="26"/>
      <c r="Q5" s="34" t="s">
        <v>224</v>
      </c>
      <c r="R5" s="37" t="s">
        <v>364</v>
      </c>
      <c r="S5" s="26"/>
      <c r="T5" s="26"/>
      <c r="U5" s="34" t="s">
        <v>224</v>
      </c>
      <c r="V5" s="37" t="s">
        <v>366</v>
      </c>
    </row>
    <row r="6" spans="2:22" ht="25.8" x14ac:dyDescent="0.5">
      <c r="B6" s="34" t="s">
        <v>209</v>
      </c>
      <c r="C6" s="187">
        <v>0.5</v>
      </c>
      <c r="D6" s="26"/>
      <c r="E6" s="26"/>
      <c r="F6" s="34" t="s">
        <v>209</v>
      </c>
      <c r="G6" s="187">
        <v>0.5</v>
      </c>
      <c r="H6" s="26"/>
      <c r="I6" s="26"/>
      <c r="J6" s="34" t="s">
        <v>209</v>
      </c>
      <c r="K6" s="187">
        <v>0.5</v>
      </c>
      <c r="M6" s="34" t="s">
        <v>209</v>
      </c>
      <c r="N6" s="38">
        <v>0.1</v>
      </c>
      <c r="O6" s="26"/>
      <c r="P6" s="26"/>
      <c r="Q6" s="34" t="s">
        <v>209</v>
      </c>
      <c r="R6" s="38">
        <v>0.2</v>
      </c>
      <c r="S6" s="26"/>
      <c r="T6" s="26"/>
      <c r="U6" s="34" t="s">
        <v>209</v>
      </c>
      <c r="V6" s="38">
        <v>0.2</v>
      </c>
    </row>
    <row r="7" spans="2:22" ht="25.8" x14ac:dyDescent="0.5">
      <c r="B7" s="34" t="s">
        <v>225</v>
      </c>
      <c r="C7" s="37" t="s">
        <v>385</v>
      </c>
      <c r="D7" s="26"/>
      <c r="E7" s="26"/>
      <c r="F7" s="34" t="s">
        <v>225</v>
      </c>
      <c r="G7" s="37" t="s">
        <v>460</v>
      </c>
      <c r="H7" s="26"/>
      <c r="I7" s="26"/>
      <c r="J7" s="34" t="s">
        <v>225</v>
      </c>
      <c r="K7" s="37" t="s">
        <v>469</v>
      </c>
      <c r="M7" s="34" t="s">
        <v>225</v>
      </c>
      <c r="N7" s="37" t="s">
        <v>385</v>
      </c>
      <c r="O7" s="26"/>
      <c r="P7" s="26"/>
      <c r="Q7" s="34" t="s">
        <v>225</v>
      </c>
      <c r="R7" s="37" t="s">
        <v>365</v>
      </c>
      <c r="S7" s="26"/>
      <c r="T7" s="26"/>
      <c r="U7" s="34" t="s">
        <v>225</v>
      </c>
      <c r="V7" s="37" t="s">
        <v>367</v>
      </c>
    </row>
    <row r="8" spans="2:22" ht="25.8" x14ac:dyDescent="0.5">
      <c r="B8" s="34" t="s">
        <v>226</v>
      </c>
      <c r="C8" s="187">
        <v>0.5</v>
      </c>
      <c r="D8" s="26"/>
      <c r="E8" s="26"/>
      <c r="F8" s="34" t="s">
        <v>226</v>
      </c>
      <c r="G8" s="187">
        <v>0.5</v>
      </c>
      <c r="H8" s="26"/>
      <c r="I8" s="26"/>
      <c r="J8" s="34" t="s">
        <v>226</v>
      </c>
      <c r="K8" s="187">
        <v>0.5</v>
      </c>
      <c r="M8" s="34" t="s">
        <v>226</v>
      </c>
      <c r="N8" s="38">
        <v>0.1</v>
      </c>
      <c r="O8" s="26"/>
      <c r="P8" s="26"/>
      <c r="Q8" s="34" t="s">
        <v>226</v>
      </c>
      <c r="R8" s="38">
        <v>0.2</v>
      </c>
      <c r="S8" s="26"/>
      <c r="T8" s="26"/>
      <c r="U8" s="34" t="s">
        <v>226</v>
      </c>
      <c r="V8" s="38">
        <v>0.2</v>
      </c>
    </row>
    <row r="9" spans="2:22" ht="25.8" x14ac:dyDescent="0.5">
      <c r="B9" s="34" t="s">
        <v>227</v>
      </c>
      <c r="C9" s="35" t="s">
        <v>72</v>
      </c>
      <c r="D9" s="26"/>
      <c r="E9" s="26"/>
      <c r="F9" s="34" t="s">
        <v>227</v>
      </c>
      <c r="G9" s="35" t="s">
        <v>74</v>
      </c>
      <c r="H9" s="26"/>
      <c r="I9" s="26"/>
      <c r="J9" s="34" t="s">
        <v>227</v>
      </c>
      <c r="K9" s="35" t="s">
        <v>74</v>
      </c>
      <c r="M9" s="34" t="s">
        <v>227</v>
      </c>
      <c r="N9" s="35" t="s">
        <v>72</v>
      </c>
      <c r="O9" s="26"/>
      <c r="P9" s="26"/>
      <c r="Q9" s="34" t="s">
        <v>227</v>
      </c>
      <c r="R9" s="35" t="s">
        <v>78</v>
      </c>
      <c r="S9" s="26"/>
      <c r="T9" s="26"/>
      <c r="U9" s="34" t="s">
        <v>227</v>
      </c>
      <c r="V9" s="35" t="s">
        <v>76</v>
      </c>
    </row>
    <row r="10" spans="2:22" x14ac:dyDescent="0.3">
      <c r="B10" s="25"/>
      <c r="C10" s="26"/>
      <c r="D10" s="26"/>
      <c r="E10" s="26"/>
      <c r="F10" s="26"/>
      <c r="G10" s="26"/>
      <c r="H10" s="26"/>
      <c r="I10" s="26"/>
      <c r="J10" s="26"/>
      <c r="K10" s="27"/>
    </row>
    <row r="11" spans="2:22" x14ac:dyDescent="0.3">
      <c r="B11" s="25"/>
      <c r="C11" s="26"/>
      <c r="D11" s="26"/>
      <c r="E11" s="26"/>
      <c r="F11" s="26"/>
      <c r="G11" s="26"/>
      <c r="H11" s="26"/>
      <c r="I11" s="26"/>
      <c r="J11" s="26"/>
      <c r="K11" s="27"/>
    </row>
    <row r="12" spans="2:22" x14ac:dyDescent="0.3">
      <c r="B12" s="25"/>
      <c r="C12" s="26"/>
      <c r="D12" s="26"/>
      <c r="E12" s="26"/>
      <c r="F12" s="26"/>
      <c r="G12" s="26"/>
      <c r="H12" s="26"/>
      <c r="I12" s="26"/>
      <c r="J12" s="26"/>
      <c r="K12" s="27"/>
    </row>
    <row r="13" spans="2:22" x14ac:dyDescent="0.3">
      <c r="B13" s="25"/>
      <c r="C13" s="26"/>
      <c r="D13" s="26"/>
      <c r="E13" s="26"/>
      <c r="F13" s="26"/>
      <c r="G13" s="26"/>
      <c r="H13" s="26"/>
      <c r="I13" s="26"/>
      <c r="J13" s="26"/>
      <c r="K13" s="27"/>
    </row>
    <row r="14" spans="2:22" x14ac:dyDescent="0.3">
      <c r="B14" s="25"/>
      <c r="C14" s="26"/>
      <c r="D14" s="26"/>
      <c r="E14" s="26"/>
      <c r="F14" s="26"/>
      <c r="G14" s="26"/>
      <c r="H14" s="26"/>
      <c r="I14" s="26"/>
      <c r="J14" s="26"/>
      <c r="K14" s="27"/>
    </row>
    <row r="15" spans="2:22" x14ac:dyDescent="0.3">
      <c r="B15" s="25"/>
      <c r="C15" s="26"/>
      <c r="D15" s="26"/>
      <c r="E15" s="26"/>
      <c r="F15" s="26"/>
      <c r="G15" s="26"/>
      <c r="H15" s="26"/>
      <c r="I15" s="26"/>
      <c r="J15" s="26"/>
      <c r="K15" s="27"/>
    </row>
    <row r="16" spans="2:22" x14ac:dyDescent="0.3">
      <c r="B16" s="25"/>
      <c r="C16" s="26"/>
      <c r="D16" s="26"/>
      <c r="E16" s="26"/>
      <c r="F16" s="26"/>
      <c r="G16" s="26"/>
      <c r="H16" s="26"/>
      <c r="I16" s="26"/>
      <c r="J16" s="26"/>
      <c r="K16" s="27"/>
    </row>
    <row r="17" spans="2:11" ht="21" x14ac:dyDescent="0.4">
      <c r="B17" s="36" t="s">
        <v>434</v>
      </c>
      <c r="C17" s="26"/>
      <c r="D17" s="26"/>
      <c r="E17" s="26"/>
      <c r="F17" s="26"/>
      <c r="G17" s="26"/>
      <c r="H17" s="26"/>
      <c r="I17" s="26"/>
      <c r="J17" s="26"/>
      <c r="K17" s="27"/>
    </row>
    <row r="18" spans="2:11" x14ac:dyDescent="0.3">
      <c r="B18" s="25"/>
      <c r="C18" s="26"/>
      <c r="D18" s="26"/>
      <c r="E18" s="26"/>
      <c r="F18" s="26"/>
      <c r="G18" s="26"/>
      <c r="H18" s="26"/>
      <c r="I18" s="26"/>
      <c r="J18" s="26"/>
      <c r="K18" s="27"/>
    </row>
    <row r="19" spans="2:11" x14ac:dyDescent="0.3">
      <c r="B19" s="25"/>
      <c r="C19" s="26"/>
      <c r="D19" s="26"/>
      <c r="E19" s="26"/>
      <c r="F19" s="26"/>
      <c r="G19" s="26"/>
      <c r="H19" s="26"/>
      <c r="I19" s="26"/>
      <c r="J19" s="26"/>
      <c r="K19" s="27"/>
    </row>
    <row r="20" spans="2:11" x14ac:dyDescent="0.3">
      <c r="B20" s="25"/>
      <c r="C20" s="26"/>
      <c r="D20" s="26"/>
      <c r="E20" s="26"/>
      <c r="F20" s="26"/>
      <c r="G20" s="26"/>
      <c r="H20" s="26"/>
      <c r="I20" s="26"/>
      <c r="J20" s="26"/>
      <c r="K20" s="27"/>
    </row>
    <row r="21" spans="2:11" x14ac:dyDescent="0.3">
      <c r="B21" s="31"/>
      <c r="C21" s="32"/>
      <c r="D21" s="32"/>
      <c r="E21" s="32"/>
      <c r="F21" s="32"/>
      <c r="G21" s="32"/>
      <c r="H21" s="32"/>
      <c r="I21" s="32"/>
      <c r="J21" s="32"/>
      <c r="K21" s="33"/>
    </row>
    <row r="22" spans="2:11" ht="14.4" customHeight="1" x14ac:dyDescent="0.3">
      <c r="B22" s="228" t="s">
        <v>269</v>
      </c>
      <c r="C22" s="229"/>
      <c r="D22" s="229"/>
      <c r="E22" s="229"/>
      <c r="F22" s="229"/>
      <c r="G22" s="229"/>
      <c r="H22" s="229"/>
      <c r="I22" s="229"/>
      <c r="J22" s="229"/>
      <c r="K22" s="230"/>
    </row>
    <row r="23" spans="2:11" ht="12.6" customHeight="1" x14ac:dyDescent="0.3">
      <c r="B23" s="228"/>
      <c r="C23" s="229"/>
      <c r="D23" s="229"/>
      <c r="E23" s="229"/>
      <c r="F23" s="229"/>
      <c r="G23" s="229"/>
      <c r="H23" s="229"/>
      <c r="I23" s="229"/>
      <c r="J23" s="229"/>
      <c r="K23" s="230"/>
    </row>
    <row r="24" spans="2:11" ht="24" customHeight="1" x14ac:dyDescent="0.3">
      <c r="B24" s="231" t="s">
        <v>467</v>
      </c>
      <c r="C24" s="232"/>
      <c r="D24" s="232"/>
      <c r="E24" s="232"/>
      <c r="F24" s="232"/>
      <c r="G24" s="232"/>
      <c r="H24" s="232"/>
      <c r="I24" s="232"/>
      <c r="J24" s="232"/>
      <c r="K24" s="233"/>
    </row>
    <row r="25" spans="2:11" x14ac:dyDescent="0.3">
      <c r="B25" s="25"/>
      <c r="C25" s="26"/>
      <c r="D25" s="26"/>
      <c r="E25" s="26"/>
      <c r="F25" s="26"/>
      <c r="G25" s="26"/>
      <c r="H25" s="26"/>
      <c r="I25" s="26"/>
      <c r="J25" s="26"/>
      <c r="K25" s="27"/>
    </row>
    <row r="26" spans="2:11" x14ac:dyDescent="0.3">
      <c r="B26" s="46" t="s">
        <v>245</v>
      </c>
      <c r="C26" s="46" t="s">
        <v>246</v>
      </c>
      <c r="D26" s="46" t="s">
        <v>258</v>
      </c>
      <c r="E26" s="46" t="s">
        <v>259</v>
      </c>
      <c r="F26" s="46" t="s">
        <v>249</v>
      </c>
      <c r="G26" s="46" t="s">
        <v>247</v>
      </c>
      <c r="H26" s="46" t="s">
        <v>260</v>
      </c>
      <c r="I26" s="46" t="s">
        <v>261</v>
      </c>
      <c r="J26" s="46" t="s">
        <v>262</v>
      </c>
      <c r="K26" s="46" t="s">
        <v>263</v>
      </c>
    </row>
    <row r="27" spans="2:11" x14ac:dyDescent="0.3">
      <c r="B27" s="51">
        <v>1</v>
      </c>
      <c r="C27" s="47" t="s">
        <v>470</v>
      </c>
      <c r="D27" s="45">
        <v>40177324</v>
      </c>
      <c r="E27" s="45" t="s">
        <v>370</v>
      </c>
      <c r="F27" s="45" t="s">
        <v>429</v>
      </c>
      <c r="G27" s="45" t="s">
        <v>220</v>
      </c>
      <c r="H27" s="45" t="s">
        <v>471</v>
      </c>
      <c r="I27" s="45" t="s">
        <v>371</v>
      </c>
      <c r="J27" s="49" t="s">
        <v>424</v>
      </c>
      <c r="K27" s="49" t="s">
        <v>472</v>
      </c>
    </row>
    <row r="28" spans="2:11" x14ac:dyDescent="0.3">
      <c r="B28" s="43">
        <v>2</v>
      </c>
      <c r="C28" s="48" t="s">
        <v>470</v>
      </c>
      <c r="D28" s="43">
        <v>40177324</v>
      </c>
      <c r="E28" s="43" t="s">
        <v>370</v>
      </c>
      <c r="F28" s="43" t="s">
        <v>429</v>
      </c>
      <c r="G28" s="43" t="s">
        <v>220</v>
      </c>
      <c r="H28" s="43" t="s">
        <v>473</v>
      </c>
      <c r="I28" s="43" t="s">
        <v>371</v>
      </c>
      <c r="J28" s="50"/>
      <c r="K28" s="50" t="s">
        <v>429</v>
      </c>
    </row>
    <row r="29" spans="2:11" x14ac:dyDescent="0.3">
      <c r="B29" s="43">
        <v>3</v>
      </c>
      <c r="C29" s="48" t="s">
        <v>470</v>
      </c>
      <c r="D29" s="43">
        <v>40177324</v>
      </c>
      <c r="E29" s="43" t="s">
        <v>370</v>
      </c>
      <c r="F29" s="43" t="s">
        <v>461</v>
      </c>
      <c r="G29" s="43" t="s">
        <v>220</v>
      </c>
      <c r="H29" s="43" t="s">
        <v>471</v>
      </c>
      <c r="I29" s="43" t="s">
        <v>371</v>
      </c>
      <c r="J29" s="50" t="s">
        <v>424</v>
      </c>
      <c r="K29" s="50" t="s">
        <v>474</v>
      </c>
    </row>
    <row r="30" spans="2:11" x14ac:dyDescent="0.3">
      <c r="B30" s="43">
        <v>4</v>
      </c>
      <c r="C30" s="48" t="s">
        <v>470</v>
      </c>
      <c r="D30" s="43">
        <v>40177324</v>
      </c>
      <c r="E30" s="43" t="s">
        <v>370</v>
      </c>
      <c r="F30" s="43" t="s">
        <v>461</v>
      </c>
      <c r="G30" s="43" t="s">
        <v>220</v>
      </c>
      <c r="H30" s="43" t="s">
        <v>473</v>
      </c>
      <c r="I30" s="43" t="s">
        <v>371</v>
      </c>
      <c r="J30" s="50"/>
      <c r="K30" s="50" t="s">
        <v>461</v>
      </c>
    </row>
    <row r="31" spans="2:11" x14ac:dyDescent="0.3">
      <c r="B31" s="43">
        <v>5</v>
      </c>
      <c r="C31" s="48" t="s">
        <v>470</v>
      </c>
      <c r="D31" s="43">
        <v>40177324</v>
      </c>
      <c r="E31" s="43" t="s">
        <v>370</v>
      </c>
      <c r="F31" s="43" t="s">
        <v>386</v>
      </c>
      <c r="G31" s="43" t="s">
        <v>220</v>
      </c>
      <c r="H31" s="43" t="s">
        <v>463</v>
      </c>
      <c r="I31" s="43" t="s">
        <v>371</v>
      </c>
      <c r="J31" s="50" t="s">
        <v>424</v>
      </c>
      <c r="K31" s="50" t="s">
        <v>475</v>
      </c>
    </row>
    <row r="32" spans="2:11" x14ac:dyDescent="0.3">
      <c r="J32" s="243" t="s">
        <v>248</v>
      </c>
      <c r="K32" s="243"/>
    </row>
    <row r="33" spans="2:11" ht="21" x14ac:dyDescent="0.4">
      <c r="B33" s="36" t="s">
        <v>434</v>
      </c>
      <c r="C33" s="26"/>
      <c r="D33" s="26"/>
      <c r="E33" s="26"/>
      <c r="F33" s="26"/>
      <c r="G33" s="26"/>
      <c r="H33" s="26"/>
      <c r="I33" s="26"/>
      <c r="J33" s="26"/>
      <c r="K33" s="27"/>
    </row>
    <row r="34" spans="2:11" x14ac:dyDescent="0.3">
      <c r="B34" s="25"/>
      <c r="C34" s="26"/>
      <c r="D34" s="26"/>
      <c r="E34" s="26"/>
      <c r="F34" s="26"/>
      <c r="G34" s="26"/>
      <c r="H34" s="26"/>
      <c r="I34" s="26"/>
      <c r="J34" s="26"/>
      <c r="K34" s="27"/>
    </row>
    <row r="35" spans="2:11" x14ac:dyDescent="0.3">
      <c r="B35" s="25" t="s">
        <v>401</v>
      </c>
      <c r="C35" s="90">
        <v>0</v>
      </c>
      <c r="D35" s="26"/>
      <c r="E35" s="26"/>
      <c r="F35" s="26"/>
      <c r="G35" s="26"/>
      <c r="H35" s="26"/>
      <c r="I35" s="26"/>
      <c r="J35" s="26"/>
      <c r="K35" s="27"/>
    </row>
    <row r="36" spans="2:11" x14ac:dyDescent="0.3">
      <c r="B36" s="25" t="s">
        <v>361</v>
      </c>
      <c r="C36" s="90">
        <v>0.20389592032165305</v>
      </c>
      <c r="D36" s="26"/>
      <c r="E36" s="26"/>
      <c r="F36" s="26"/>
      <c r="G36" s="26"/>
      <c r="H36" s="26"/>
      <c r="I36" s="26"/>
      <c r="J36" s="26"/>
      <c r="K36" s="27"/>
    </row>
    <row r="37" spans="2:11" x14ac:dyDescent="0.3">
      <c r="B37" s="25" t="s">
        <v>362</v>
      </c>
      <c r="C37" s="90">
        <v>0.20389592032165305</v>
      </c>
      <c r="D37" s="26"/>
      <c r="E37" s="26"/>
      <c r="F37" s="26"/>
      <c r="G37" s="26"/>
      <c r="H37" s="26"/>
      <c r="I37" s="26"/>
      <c r="J37" s="26"/>
      <c r="K37" s="27"/>
    </row>
    <row r="38" spans="2:11" x14ac:dyDescent="0.3">
      <c r="B38" s="28"/>
      <c r="C38" s="29"/>
      <c r="D38" s="29"/>
      <c r="E38" s="29"/>
      <c r="F38" s="29"/>
      <c r="G38" s="29"/>
      <c r="H38" s="29"/>
      <c r="I38" s="29"/>
      <c r="J38" s="29"/>
      <c r="K38" s="30"/>
    </row>
    <row r="39" spans="2:11" x14ac:dyDescent="0.3">
      <c r="B39" s="234" t="s">
        <v>233</v>
      </c>
      <c r="C39" s="235"/>
      <c r="D39" s="235"/>
      <c r="E39" s="235"/>
      <c r="F39" s="235"/>
      <c r="G39" s="235"/>
      <c r="H39" s="235"/>
      <c r="I39" s="235"/>
      <c r="J39" s="235"/>
      <c r="K39" s="236"/>
    </row>
    <row r="40" spans="2:11" x14ac:dyDescent="0.3">
      <c r="B40" s="237"/>
      <c r="C40" s="238"/>
      <c r="D40" s="238"/>
      <c r="E40" s="238"/>
      <c r="F40" s="238"/>
      <c r="G40" s="238"/>
      <c r="H40" s="238"/>
      <c r="I40" s="238"/>
      <c r="J40" s="238"/>
      <c r="K40" s="239"/>
    </row>
    <row r="41" spans="2:11" x14ac:dyDescent="0.3">
      <c r="B41" s="237"/>
      <c r="C41" s="238"/>
      <c r="D41" s="238"/>
      <c r="E41" s="238"/>
      <c r="F41" s="238"/>
      <c r="G41" s="238"/>
      <c r="H41" s="238"/>
      <c r="I41" s="238"/>
      <c r="J41" s="238"/>
      <c r="K41" s="239"/>
    </row>
    <row r="42" spans="2:11" x14ac:dyDescent="0.3">
      <c r="B42" s="237"/>
      <c r="C42" s="238"/>
      <c r="D42" s="238"/>
      <c r="E42" s="238"/>
      <c r="F42" s="238"/>
      <c r="G42" s="238"/>
      <c r="H42" s="238"/>
      <c r="I42" s="238"/>
      <c r="J42" s="238"/>
      <c r="K42" s="239"/>
    </row>
    <row r="43" spans="2:11" x14ac:dyDescent="0.3">
      <c r="B43" s="237"/>
      <c r="C43" s="238"/>
      <c r="D43" s="238"/>
      <c r="E43" s="238"/>
      <c r="F43" s="238"/>
      <c r="G43" s="238"/>
      <c r="H43" s="238"/>
      <c r="I43" s="238"/>
      <c r="J43" s="238"/>
      <c r="K43" s="239"/>
    </row>
    <row r="44" spans="2:11" x14ac:dyDescent="0.3">
      <c r="B44" s="237"/>
      <c r="C44" s="238"/>
      <c r="D44" s="238"/>
      <c r="E44" s="238"/>
      <c r="F44" s="238"/>
      <c r="G44" s="238"/>
      <c r="H44" s="238"/>
      <c r="I44" s="238"/>
      <c r="J44" s="238"/>
      <c r="K44" s="239"/>
    </row>
    <row r="45" spans="2:11" x14ac:dyDescent="0.3">
      <c r="B45" s="237"/>
      <c r="C45" s="238"/>
      <c r="D45" s="238"/>
      <c r="E45" s="238"/>
      <c r="F45" s="238"/>
      <c r="G45" s="238"/>
      <c r="H45" s="238"/>
      <c r="I45" s="238"/>
      <c r="J45" s="238"/>
      <c r="K45" s="239"/>
    </row>
    <row r="46" spans="2:11" x14ac:dyDescent="0.3">
      <c r="B46" s="237"/>
      <c r="C46" s="238"/>
      <c r="D46" s="238"/>
      <c r="E46" s="238"/>
      <c r="F46" s="238"/>
      <c r="G46" s="238"/>
      <c r="H46" s="238"/>
      <c r="I46" s="238"/>
      <c r="J46" s="238"/>
      <c r="K46" s="239"/>
    </row>
    <row r="47" spans="2:11" x14ac:dyDescent="0.3">
      <c r="B47" s="237"/>
      <c r="C47" s="238"/>
      <c r="D47" s="238"/>
      <c r="E47" s="238"/>
      <c r="F47" s="238"/>
      <c r="G47" s="238"/>
      <c r="H47" s="238"/>
      <c r="I47" s="238"/>
      <c r="J47" s="238"/>
      <c r="K47" s="239"/>
    </row>
    <row r="48" spans="2:11" x14ac:dyDescent="0.3">
      <c r="B48" s="237"/>
      <c r="C48" s="238"/>
      <c r="D48" s="238"/>
      <c r="E48" s="238"/>
      <c r="F48" s="238"/>
      <c r="G48" s="238"/>
      <c r="H48" s="238"/>
      <c r="I48" s="238"/>
      <c r="J48" s="238"/>
      <c r="K48" s="239"/>
    </row>
    <row r="49" spans="2:11" x14ac:dyDescent="0.3">
      <c r="B49" s="237"/>
      <c r="C49" s="238"/>
      <c r="D49" s="238"/>
      <c r="E49" s="238"/>
      <c r="F49" s="238"/>
      <c r="G49" s="238"/>
      <c r="H49" s="238"/>
      <c r="I49" s="238"/>
      <c r="J49" s="238"/>
      <c r="K49" s="239"/>
    </row>
    <row r="50" spans="2:11" x14ac:dyDescent="0.3">
      <c r="B50" s="240"/>
      <c r="C50" s="241"/>
      <c r="D50" s="241"/>
      <c r="E50" s="241"/>
      <c r="F50" s="241"/>
      <c r="G50" s="241"/>
      <c r="H50" s="241"/>
      <c r="I50" s="241"/>
      <c r="J50" s="241"/>
      <c r="K50" s="242"/>
    </row>
  </sheetData>
  <customSheetViews>
    <customSheetView guid="{5C7B38D6-29D9-4C20-A92E-817BB499D35F}" scale="99" showGridLines="0">
      <selection activeCell="H12" sqref="H12"/>
      <pageMargins left="0.7" right="0.7" top="0.75" bottom="0.75" header="0.3" footer="0.3"/>
    </customSheetView>
  </customSheetViews>
  <mergeCells count="6">
    <mergeCell ref="B1:K2"/>
    <mergeCell ref="B3:K3"/>
    <mergeCell ref="B22:K23"/>
    <mergeCell ref="B24:K24"/>
    <mergeCell ref="B39:K50"/>
    <mergeCell ref="J32:K32"/>
  </mergeCells>
  <printOptions horizontalCentered="1" verticalCentered="1"/>
  <pageMargins left="0.7" right="0.7" top="0.75" bottom="0.75" header="0.3" footer="0.3"/>
  <pageSetup paperSize="9" orientation="portrait" r:id="rId1"/>
  <rowBreaks count="1" manualBreakCount="1">
    <brk id="12" max="16383" man="1"/>
  </rowBreaks>
  <colBreaks count="2" manualBreakCount="2">
    <brk id="1" max="1048575" man="1"/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3_Click">
                <anchor moveWithCells="1" sizeWithCells="1">
                  <from>
                    <xdr:col>10</xdr:col>
                    <xdr:colOff>1417320</xdr:colOff>
                    <xdr:row>33</xdr:row>
                    <xdr:rowOff>129540</xdr:rowOff>
                  </from>
                  <to>
                    <xdr:col>10</xdr:col>
                    <xdr:colOff>3162300</xdr:colOff>
                    <xdr:row>36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RunFullSimulationAndSubmit">
                <anchor moveWithCells="1" sizeWithCells="1">
                  <from>
                    <xdr:col>10</xdr:col>
                    <xdr:colOff>1143000</xdr:colOff>
                    <xdr:row>10</xdr:row>
                    <xdr:rowOff>152400</xdr:rowOff>
                  </from>
                  <to>
                    <xdr:col>10</xdr:col>
                    <xdr:colOff>3078480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B96D6C-E34B-4770-81E2-F0397E61B875}">
          <x14:formula1>
            <xm:f>'CATEGORY SPESIFICATION'!$B$4:$B$9</xm:f>
          </x14:formula1>
          <xm:sqref>N9 R9 V9 C9 K9 G9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91E81-A2B6-4D7E-832B-06B24EEAE1BA}">
  <sheetPr codeName="Sheet7"/>
  <dimension ref="B3:S145"/>
  <sheetViews>
    <sheetView workbookViewId="0">
      <selection activeCell="B19" sqref="B19"/>
    </sheetView>
  </sheetViews>
  <sheetFormatPr defaultRowHeight="14.4" x14ac:dyDescent="0.3"/>
  <cols>
    <col min="2" max="2" width="26.6640625" customWidth="1"/>
    <col min="4" max="4" width="23.88671875" bestFit="1" customWidth="1"/>
    <col min="5" max="6" width="24.88671875" bestFit="1" customWidth="1"/>
    <col min="9" max="9" width="14.88671875" customWidth="1"/>
    <col min="10" max="10" width="15.5546875" bestFit="1" customWidth="1"/>
    <col min="11" max="11" width="13.77734375" bestFit="1" customWidth="1"/>
    <col min="13" max="13" width="15.109375" bestFit="1" customWidth="1"/>
    <col min="15" max="15" width="13.44140625" bestFit="1" customWidth="1"/>
    <col min="16" max="16" width="19" bestFit="1" customWidth="1"/>
    <col min="18" max="18" width="13.5546875" bestFit="1" customWidth="1"/>
    <col min="19" max="19" width="23.88671875" bestFit="1" customWidth="1"/>
  </cols>
  <sheetData>
    <row r="3" spans="2:19" x14ac:dyDescent="0.3">
      <c r="B3" s="10" t="s">
        <v>210</v>
      </c>
      <c r="D3" s="3" t="s">
        <v>70</v>
      </c>
      <c r="E3" s="13" t="s">
        <v>325</v>
      </c>
      <c r="F3" s="13" t="s">
        <v>222</v>
      </c>
      <c r="I3" s="60" t="s">
        <v>70</v>
      </c>
      <c r="J3" s="61" t="s">
        <v>71</v>
      </c>
      <c r="K3" s="46" t="s">
        <v>72</v>
      </c>
      <c r="L3" s="59" t="s">
        <v>73</v>
      </c>
      <c r="M3" s="46" t="s">
        <v>74</v>
      </c>
      <c r="N3" s="46" t="s">
        <v>75</v>
      </c>
      <c r="O3" s="46" t="s">
        <v>76</v>
      </c>
      <c r="P3" s="46" t="s">
        <v>78</v>
      </c>
      <c r="Q3" s="46" t="s">
        <v>77</v>
      </c>
      <c r="R3" s="46" t="s">
        <v>79</v>
      </c>
      <c r="S3" s="46" t="s">
        <v>80</v>
      </c>
    </row>
    <row r="4" spans="2:19" ht="25.8" x14ac:dyDescent="0.3">
      <c r="B4" s="170" t="s">
        <v>70</v>
      </c>
      <c r="D4" s="5" t="s">
        <v>83</v>
      </c>
      <c r="E4" s="3" t="s">
        <v>70</v>
      </c>
      <c r="F4" t="str">
        <f>IFERROR(VLOOKUP(D4,SPEC001!$B$2:$D$84,2,FALSE),
IFERROR(VLOOKUP(D4,SPEC002!$B$2:$D$86,2,FALSE),
IFERROR(VLOOKUP(D4,SPEC003!$B$2:$D$80,2,FALSE),
IFERROR(VLOOKUP(D4,SPEC004!$B$2:$D$86,2,FALSE),
IFERROR(VLOOKUP(D4,#REF!,2,FALSE), "")))))</f>
        <v/>
      </c>
      <c r="I4" s="56" t="s">
        <v>83</v>
      </c>
      <c r="J4" s="56" t="s">
        <v>46</v>
      </c>
      <c r="K4" s="43"/>
      <c r="L4" s="43" t="s">
        <v>44</v>
      </c>
      <c r="M4" s="43"/>
      <c r="N4" s="43" t="s">
        <v>151</v>
      </c>
      <c r="O4" s="43"/>
      <c r="P4" s="43" t="s">
        <v>61</v>
      </c>
      <c r="Q4" s="43" t="s">
        <v>60</v>
      </c>
      <c r="R4" s="43" t="s">
        <v>170</v>
      </c>
      <c r="S4" s="43"/>
    </row>
    <row r="5" spans="2:19" ht="25.8" x14ac:dyDescent="0.3">
      <c r="B5" s="170" t="s">
        <v>72</v>
      </c>
      <c r="D5" s="5" t="s">
        <v>84</v>
      </c>
      <c r="E5" s="3" t="s">
        <v>70</v>
      </c>
      <c r="F5" t="str">
        <f>IFERROR(VLOOKUP(D5,SPEC001!$B$2:$D$84,2,FALSE),
IFERROR(VLOOKUP(D5,SPEC002!$B$2:$D$86,2,FALSE),
IFERROR(VLOOKUP(D5,SPEC003!$B$2:$D$80,2,FALSE),
IFERROR(VLOOKUP(D5,SPEC004!$B$2:$D$86,2,FALSE),
IFERROR(VLOOKUP(D5,#REF!,2,FALSE), "")))))</f>
        <v>SIR-20</v>
      </c>
      <c r="I5" s="56" t="s">
        <v>84</v>
      </c>
      <c r="J5" s="56" t="s">
        <v>86</v>
      </c>
      <c r="K5" s="43"/>
      <c r="L5" s="43" t="s">
        <v>38</v>
      </c>
      <c r="M5" s="43"/>
      <c r="N5" s="43" t="s">
        <v>14</v>
      </c>
      <c r="O5" s="43"/>
      <c r="P5" s="43" t="s">
        <v>129</v>
      </c>
      <c r="Q5" s="43" t="s">
        <v>153</v>
      </c>
      <c r="R5" s="43" t="s">
        <v>143</v>
      </c>
      <c r="S5" s="43"/>
    </row>
    <row r="6" spans="2:19" ht="51.6" x14ac:dyDescent="0.3">
      <c r="B6" s="170" t="s">
        <v>74</v>
      </c>
      <c r="D6" s="5" t="s">
        <v>85</v>
      </c>
      <c r="E6" s="3" t="s">
        <v>70</v>
      </c>
      <c r="F6" t="str">
        <f>IFERROR(VLOOKUP(D6,SPEC001!$B$2:$D$84,2,FALSE),
IFERROR(VLOOKUP(D6,SPEC002!$B$2:$D$86,2,FALSE),
IFERROR(VLOOKUP(D6,SPEC003!$B$2:$D$80,2,FALSE),
IFERROR(VLOOKUP(D6,SPEC004!$B$2:$D$86,2,FALSE),
IFERROR(VLOOKUP(D6,#REF!,2,FALSE), "")))))</f>
        <v>SIR-10</v>
      </c>
      <c r="I6" s="56" t="s">
        <v>85</v>
      </c>
      <c r="J6" s="56" t="s">
        <v>36</v>
      </c>
      <c r="K6" s="43"/>
      <c r="L6" s="43" t="s">
        <v>9</v>
      </c>
      <c r="M6" s="43"/>
      <c r="N6" s="43" t="s">
        <v>152</v>
      </c>
      <c r="O6" s="43"/>
      <c r="P6" s="43"/>
      <c r="Q6" s="43" t="s">
        <v>154</v>
      </c>
      <c r="R6" s="43" t="s">
        <v>171</v>
      </c>
      <c r="S6" s="43"/>
    </row>
    <row r="7" spans="2:19" ht="25.8" x14ac:dyDescent="0.3">
      <c r="B7" s="170" t="s">
        <v>76</v>
      </c>
      <c r="D7" s="5" t="s">
        <v>20</v>
      </c>
      <c r="E7" s="3" t="s">
        <v>70</v>
      </c>
      <c r="F7" t="str">
        <f>IFERROR(VLOOKUP(D7,SPEC001!$B$2:$D$84,2,FALSE),
IFERROR(VLOOKUP(D7,SPEC002!$B$2:$D$86,2,FALSE),
IFERROR(VLOOKUP(D7,SPEC003!$B$2:$D$80,2,FALSE),
IFERROR(VLOOKUP(D7,SPEC004!$B$2:$D$86,2,FALSE),
IFERROR(VLOOKUP(D7,#REF!,2,FALSE), "")))))</f>
        <v>SIR-10 (EUDR)</v>
      </c>
      <c r="I7" s="56" t="s">
        <v>20</v>
      </c>
      <c r="J7" s="56" t="s">
        <v>87</v>
      </c>
      <c r="K7" s="43"/>
      <c r="L7" s="43" t="s">
        <v>119</v>
      </c>
      <c r="M7" s="43"/>
      <c r="N7" s="43"/>
      <c r="O7" s="43"/>
      <c r="P7" s="43"/>
      <c r="Q7" s="43" t="s">
        <v>114</v>
      </c>
      <c r="R7" s="43" t="s">
        <v>141</v>
      </c>
      <c r="S7" s="43"/>
    </row>
    <row r="8" spans="2:19" ht="51.6" x14ac:dyDescent="0.3">
      <c r="B8" s="170" t="s">
        <v>78</v>
      </c>
      <c r="D8" s="5" t="s">
        <v>32</v>
      </c>
      <c r="E8" s="3" t="s">
        <v>70</v>
      </c>
      <c r="F8" t="str">
        <f>IFERROR(VLOOKUP(D8,SPEC001!$B$2:$D$84,2,FALSE),
IFERROR(VLOOKUP(D8,SPEC002!$B$2:$D$86,2,FALSE),
IFERROR(VLOOKUP(D8,SPEC003!$B$2:$D$80,2,FALSE),
IFERROR(VLOOKUP(D8,SPEC004!$B$2:$D$86,2,FALSE),
IFERROR(VLOOKUP(D8,#REF!,2,FALSE), "")))))</f>
        <v>SIR-20 (EUDR)</v>
      </c>
      <c r="I8" s="56" t="s">
        <v>32</v>
      </c>
      <c r="J8" s="56" t="s">
        <v>88</v>
      </c>
      <c r="K8" s="43"/>
      <c r="L8" s="43" t="s">
        <v>133</v>
      </c>
      <c r="M8" s="43"/>
      <c r="N8" s="43"/>
      <c r="O8" s="43"/>
      <c r="P8" s="43"/>
      <c r="Q8" s="43" t="s">
        <v>116</v>
      </c>
      <c r="R8" s="43" t="s">
        <v>172</v>
      </c>
      <c r="S8" s="43"/>
    </row>
    <row r="9" spans="2:19" ht="51.6" x14ac:dyDescent="0.3">
      <c r="B9" s="170" t="s">
        <v>80</v>
      </c>
      <c r="D9" s="5"/>
      <c r="F9" t="str">
        <f>IFERROR(VLOOKUP(D9,SPEC001!$B$2:$D$84,2,FALSE),
IFERROR(VLOOKUP(D9,SPEC002!$B$2:$D$86,2,FALSE),
IFERROR(VLOOKUP(D9,SPEC003!$B$2:$D$80,2,FALSE),
IFERROR(VLOOKUP(D9,SPEC004!$B$2:$D$86,2,FALSE),
IFERROR(VLOOKUP(D9,#REF!,2,FALSE), "")))))</f>
        <v/>
      </c>
      <c r="I9" s="43"/>
      <c r="J9" s="56" t="s">
        <v>89</v>
      </c>
      <c r="K9" s="43"/>
      <c r="L9" s="43" t="s">
        <v>147</v>
      </c>
      <c r="M9" s="43"/>
      <c r="N9" s="43"/>
      <c r="O9" s="43"/>
      <c r="P9" s="43"/>
      <c r="Q9" s="43" t="s">
        <v>62</v>
      </c>
      <c r="R9" s="43" t="s">
        <v>173</v>
      </c>
      <c r="S9" s="43"/>
    </row>
    <row r="10" spans="2:19" x14ac:dyDescent="0.3">
      <c r="D10" s="4"/>
      <c r="F10" t="str">
        <f>IFERROR(VLOOKUP(D10,SPEC001!$B$2:$D$84,2,FALSE),
IFERROR(VLOOKUP(D10,SPEC002!$B$2:$D$86,2,FALSE),
IFERROR(VLOOKUP(D10,SPEC003!$B$2:$D$80,2,FALSE),
IFERROR(VLOOKUP(D10,SPEC004!$B$2:$D$86,2,FALSE),
IFERROR(VLOOKUP(D10,#REF!,2,FALSE), "")))))</f>
        <v/>
      </c>
      <c r="I10" s="43"/>
      <c r="J10" s="56" t="s">
        <v>13</v>
      </c>
      <c r="K10" s="43"/>
      <c r="L10" s="43" t="s">
        <v>148</v>
      </c>
      <c r="M10" s="43"/>
      <c r="N10" s="43"/>
      <c r="O10" s="43"/>
      <c r="P10" s="43"/>
      <c r="Q10" s="43" t="s">
        <v>48</v>
      </c>
      <c r="R10" s="43" t="s">
        <v>174</v>
      </c>
      <c r="S10" s="43"/>
    </row>
    <row r="11" spans="2:19" x14ac:dyDescent="0.3">
      <c r="D11" s="6" t="s">
        <v>71</v>
      </c>
      <c r="F11" t="str">
        <f>IFERROR(VLOOKUP(D11,SPEC001!$B$2:$D$84,2,FALSE),
IFERROR(VLOOKUP(D11,SPEC002!$B$2:$D$86,2,FALSE),
IFERROR(VLOOKUP(D11,SPEC003!$B$2:$D$80,2,FALSE),
IFERROR(VLOOKUP(D11,SPEC004!$B$2:$D$86,2,FALSE),
IFERROR(VLOOKUP(D11,#REF!,2,FALSE), "")))))</f>
        <v/>
      </c>
      <c r="I11" s="43"/>
      <c r="J11" s="56" t="s">
        <v>31</v>
      </c>
      <c r="K11" s="43"/>
      <c r="L11" s="43" t="s">
        <v>11</v>
      </c>
      <c r="M11" s="43"/>
      <c r="N11" s="43"/>
      <c r="O11" s="43"/>
      <c r="P11" s="43"/>
      <c r="Q11" s="43" t="s">
        <v>63</v>
      </c>
      <c r="R11" s="43" t="s">
        <v>175</v>
      </c>
      <c r="S11" s="43"/>
    </row>
    <row r="12" spans="2:19" x14ac:dyDescent="0.3">
      <c r="B12" s="79" t="s">
        <v>339</v>
      </c>
      <c r="D12" s="5" t="s">
        <v>46</v>
      </c>
      <c r="E12" s="6" t="s">
        <v>71</v>
      </c>
      <c r="F12" t="str">
        <f>IFERROR(VLOOKUP(D12,SPEC001!$B$2:$D$84,2,FALSE),
IFERROR(VLOOKUP(D12,SPEC002!$B$2:$D$86,2,FALSE),
IFERROR(VLOOKUP(D12,SPEC003!$B$2:$D$80,2,FALSE),
IFERROR(VLOOKUP(D12,SPEC004!$B$2:$D$86,2,FALSE),
IFERROR(VLOOKUP(D12,#REF!,2,FALSE), "")))))</f>
        <v>BR-1220</v>
      </c>
      <c r="I12" s="43"/>
      <c r="J12" s="56" t="s">
        <v>90</v>
      </c>
      <c r="K12" s="43"/>
      <c r="L12" s="43" t="s">
        <v>149</v>
      </c>
      <c r="M12" s="43"/>
      <c r="N12" s="43"/>
      <c r="O12" s="43"/>
      <c r="P12" s="43"/>
      <c r="Q12" s="43" t="s">
        <v>131</v>
      </c>
      <c r="R12" s="43" t="s">
        <v>176</v>
      </c>
      <c r="S12" s="43"/>
    </row>
    <row r="13" spans="2:19" x14ac:dyDescent="0.3">
      <c r="B13" s="80" t="s">
        <v>70</v>
      </c>
      <c r="D13" s="5" t="s">
        <v>86</v>
      </c>
      <c r="E13" s="6" t="s">
        <v>71</v>
      </c>
      <c r="F13" t="str">
        <f>IFERROR(VLOOKUP(D13,SPEC001!$B$2:$D$84,2,FALSE),
IFERROR(VLOOKUP(D13,SPEC002!$B$2:$D$86,2,FALSE),
IFERROR(VLOOKUP(D13,SPEC003!$B$2:$D$80,2,FALSE),
IFERROR(VLOOKUP(D13,SPEC004!$B$2:$D$86,2,FALSE),
IFERROR(VLOOKUP(D13,#REF!,2,FALSE), "")))))</f>
        <v/>
      </c>
      <c r="I13" s="43"/>
      <c r="J13" s="56" t="s">
        <v>91</v>
      </c>
      <c r="K13" s="43"/>
      <c r="L13" s="43" t="s">
        <v>121</v>
      </c>
      <c r="M13" s="43"/>
      <c r="N13" s="43"/>
      <c r="O13" s="43"/>
      <c r="P13" s="43"/>
      <c r="Q13" s="43" t="s">
        <v>155</v>
      </c>
      <c r="R13" s="43" t="s">
        <v>186</v>
      </c>
      <c r="S13" s="43"/>
    </row>
    <row r="14" spans="2:19" x14ac:dyDescent="0.3">
      <c r="B14" s="56" t="s">
        <v>71</v>
      </c>
      <c r="D14" s="5" t="s">
        <v>36</v>
      </c>
      <c r="E14" s="6" t="s">
        <v>71</v>
      </c>
      <c r="F14" t="str">
        <f>IFERROR(VLOOKUP(D14,SPEC001!$B$2:$D$84,2,FALSE),
IFERROR(VLOOKUP(D14,SPEC002!$B$2:$D$86,2,FALSE),
IFERROR(VLOOKUP(D14,SPEC003!$B$2:$D$80,2,FALSE),
IFERROR(VLOOKUP(D14,SPEC004!$B$2:$D$86,2,FALSE),
IFERROR(VLOOKUP(D14,#REF!,2,FALSE), "")))))</f>
        <v>BUNA CB-60</v>
      </c>
      <c r="I14" s="43"/>
      <c r="J14" s="56" t="s">
        <v>92</v>
      </c>
      <c r="K14" s="43"/>
      <c r="L14" s="43" t="s">
        <v>150</v>
      </c>
      <c r="M14" s="43"/>
      <c r="N14" s="43"/>
      <c r="O14" s="43"/>
      <c r="P14" s="43"/>
      <c r="Q14" s="43" t="s">
        <v>156</v>
      </c>
      <c r="R14" s="43" t="s">
        <v>185</v>
      </c>
      <c r="S14" s="43"/>
    </row>
    <row r="15" spans="2:19" x14ac:dyDescent="0.3">
      <c r="B15" s="80" t="s">
        <v>72</v>
      </c>
      <c r="D15" s="5" t="s">
        <v>87</v>
      </c>
      <c r="E15" s="6" t="s">
        <v>71</v>
      </c>
      <c r="F15" t="str">
        <f>IFERROR(VLOOKUP(D15,SPEC001!$B$2:$D$84,2,FALSE),
IFERROR(VLOOKUP(D15,SPEC002!$B$2:$D$86,2,FALSE),
IFERROR(VLOOKUP(D15,SPEC003!$B$2:$D$80,2,FALSE),
IFERROR(VLOOKUP(D15,SPEC004!$B$2:$D$86,2,FALSE),
IFERROR(VLOOKUP(D15,#REF!,2,FALSE), "")))))</f>
        <v>CB-22</v>
      </c>
      <c r="I15" s="43"/>
      <c r="J15" s="56" t="s">
        <v>93</v>
      </c>
      <c r="K15" s="43"/>
      <c r="L15" s="43"/>
      <c r="M15" s="43"/>
      <c r="N15" s="43"/>
      <c r="O15" s="43"/>
      <c r="P15" s="43"/>
      <c r="Q15" s="43" t="s">
        <v>64</v>
      </c>
      <c r="R15" s="43" t="s">
        <v>137</v>
      </c>
      <c r="S15" s="43"/>
    </row>
    <row r="16" spans="2:19" x14ac:dyDescent="0.3">
      <c r="B16" s="56" t="s">
        <v>73</v>
      </c>
      <c r="D16" s="5" t="s">
        <v>88</v>
      </c>
      <c r="E16" s="6" t="s">
        <v>71</v>
      </c>
      <c r="F16" t="str">
        <f>IFERROR(VLOOKUP(D16,SPEC001!$B$2:$D$84,2,FALSE),
IFERROR(VLOOKUP(D16,SPEC002!$B$2:$D$86,2,FALSE),
IFERROR(VLOOKUP(D16,SPEC003!$B$2:$D$80,2,FALSE),
IFERROR(VLOOKUP(D16,SPEC004!$B$2:$D$86,2,FALSE),
IFERROR(VLOOKUP(D16,#REF!,2,FALSE), "")))))</f>
        <v/>
      </c>
      <c r="I16" s="43"/>
      <c r="J16" s="56" t="s">
        <v>94</v>
      </c>
      <c r="K16" s="43"/>
      <c r="L16" s="43"/>
      <c r="M16" s="43"/>
      <c r="N16" s="43"/>
      <c r="O16" s="43"/>
      <c r="P16" s="43"/>
      <c r="Q16" s="43" t="s">
        <v>24</v>
      </c>
      <c r="R16" s="43" t="s">
        <v>177</v>
      </c>
      <c r="S16" s="43"/>
    </row>
    <row r="17" spans="2:19" x14ac:dyDescent="0.3">
      <c r="B17" s="80" t="s">
        <v>74</v>
      </c>
      <c r="D17" s="5" t="s">
        <v>89</v>
      </c>
      <c r="E17" s="6" t="s">
        <v>71</v>
      </c>
      <c r="F17" t="str">
        <f>IFERROR(VLOOKUP(D17,SPEC001!$B$2:$D$84,2,FALSE),
IFERROR(VLOOKUP(D17,SPEC002!$B$2:$D$86,2,FALSE),
IFERROR(VLOOKUP(D17,SPEC003!$B$2:$D$80,2,FALSE),
IFERROR(VLOOKUP(D17,SPEC004!$B$2:$D$86,2,FALSE),
IFERROR(VLOOKUP(D17,#REF!,2,FALSE), "")))))</f>
        <v/>
      </c>
      <c r="I17" s="43"/>
      <c r="J17" s="56" t="s">
        <v>95</v>
      </c>
      <c r="K17" s="43"/>
      <c r="L17" s="43"/>
      <c r="M17" s="43"/>
      <c r="N17" s="43"/>
      <c r="O17" s="43"/>
      <c r="P17" s="43"/>
      <c r="Q17" s="43" t="s">
        <v>34</v>
      </c>
      <c r="R17" s="43" t="s">
        <v>178</v>
      </c>
      <c r="S17" s="43"/>
    </row>
    <row r="18" spans="2:19" x14ac:dyDescent="0.3">
      <c r="B18" s="56" t="s">
        <v>75</v>
      </c>
      <c r="D18" s="5" t="s">
        <v>13</v>
      </c>
      <c r="E18" s="6" t="s">
        <v>71</v>
      </c>
      <c r="F18" t="str">
        <f>IFERROR(VLOOKUP(D18,SPEC001!$B$2:$D$84,2,FALSE),
IFERROR(VLOOKUP(D18,SPEC002!$B$2:$D$86,2,FALSE),
IFERROR(VLOOKUP(D18,SPEC003!$B$2:$D$80,2,FALSE),
IFERROR(VLOOKUP(D18,SPEC004!$B$2:$D$86,2,FALSE),
IFERROR(VLOOKUP(D18,#REF!,2,FALSE), "")))))</f>
        <v>B-IIR X2</v>
      </c>
      <c r="I18" s="43"/>
      <c r="J18" s="56" t="s">
        <v>96</v>
      </c>
      <c r="K18" s="43"/>
      <c r="L18" s="43"/>
      <c r="M18" s="43"/>
      <c r="N18" s="43"/>
      <c r="O18" s="43"/>
      <c r="P18" s="43"/>
      <c r="Q18" s="43" t="s">
        <v>157</v>
      </c>
      <c r="R18" s="43" t="s">
        <v>179</v>
      </c>
      <c r="S18" s="43"/>
    </row>
    <row r="19" spans="2:19" x14ac:dyDescent="0.3">
      <c r="B19" s="80" t="s">
        <v>76</v>
      </c>
      <c r="D19" s="5" t="s">
        <v>31</v>
      </c>
      <c r="E19" s="6" t="s">
        <v>71</v>
      </c>
      <c r="F19" t="str">
        <f>IFERROR(VLOOKUP(D19,SPEC001!$B$2:$D$84,2,FALSE),
IFERROR(VLOOKUP(D19,SPEC002!$B$2:$D$86,2,FALSE),
IFERROR(VLOOKUP(D19,SPEC003!$B$2:$D$80,2,FALSE),
IFERROR(VLOOKUP(D19,SPEC004!$B$2:$D$86,2,FALSE),
IFERROR(VLOOKUP(D19,#REF!,2,FALSE), "")))))</f>
        <v>SBR 1502</v>
      </c>
      <c r="I19" s="43"/>
      <c r="J19" s="56" t="s">
        <v>97</v>
      </c>
      <c r="K19" s="43"/>
      <c r="L19" s="43"/>
      <c r="M19" s="43"/>
      <c r="N19" s="43"/>
      <c r="O19" s="43"/>
      <c r="P19" s="43"/>
      <c r="Q19" s="43" t="s">
        <v>158</v>
      </c>
      <c r="R19" s="43" t="s">
        <v>180</v>
      </c>
      <c r="S19" s="43"/>
    </row>
    <row r="20" spans="2:19" x14ac:dyDescent="0.3">
      <c r="B20" s="56" t="s">
        <v>77</v>
      </c>
      <c r="D20" s="5" t="s">
        <v>90</v>
      </c>
      <c r="E20" s="6" t="s">
        <v>71</v>
      </c>
      <c r="F20" t="str">
        <f>IFERROR(VLOOKUP(D20,SPEC001!$B$2:$D$84,2,FALSE),
IFERROR(VLOOKUP(D20,SPEC002!$B$2:$D$86,2,FALSE),
IFERROR(VLOOKUP(D20,SPEC003!$B$2:$D$80,2,FALSE),
IFERROR(VLOOKUP(D20,SPEC004!$B$2:$D$86,2,FALSE),
IFERROR(VLOOKUP(D20,#REF!,2,FALSE), "")))))</f>
        <v>SBR 1723</v>
      </c>
      <c r="I20" s="43"/>
      <c r="J20" s="56" t="s">
        <v>98</v>
      </c>
      <c r="K20" s="43"/>
      <c r="L20" s="43"/>
      <c r="M20" s="43"/>
      <c r="N20" s="43"/>
      <c r="O20" s="43"/>
      <c r="P20" s="43"/>
      <c r="Q20" s="43" t="s">
        <v>159</v>
      </c>
      <c r="R20" s="43" t="s">
        <v>139</v>
      </c>
      <c r="S20" s="43"/>
    </row>
    <row r="21" spans="2:19" x14ac:dyDescent="0.3">
      <c r="B21" s="80" t="s">
        <v>78</v>
      </c>
      <c r="D21" s="5" t="s">
        <v>91</v>
      </c>
      <c r="E21" s="6" t="s">
        <v>71</v>
      </c>
      <c r="F21" t="str">
        <f>IFERROR(VLOOKUP(D21,SPEC001!$B$2:$D$84,2,FALSE),
IFERROR(VLOOKUP(D21,SPEC002!$B$2:$D$86,2,FALSE),
IFERROR(VLOOKUP(D21,SPEC003!$B$2:$D$80,2,FALSE),
IFERROR(VLOOKUP(D21,SPEC004!$B$2:$D$86,2,FALSE),
IFERROR(VLOOKUP(D21,#REF!,2,FALSE), "")))))</f>
        <v/>
      </c>
      <c r="I21" s="43"/>
      <c r="J21" s="56" t="s">
        <v>99</v>
      </c>
      <c r="K21" s="43"/>
      <c r="L21" s="43"/>
      <c r="M21" s="43"/>
      <c r="N21" s="43"/>
      <c r="O21" s="43"/>
      <c r="P21" s="43"/>
      <c r="Q21" s="43" t="s">
        <v>160</v>
      </c>
      <c r="R21" s="43" t="s">
        <v>181</v>
      </c>
      <c r="S21" s="43"/>
    </row>
    <row r="22" spans="2:19" x14ac:dyDescent="0.3">
      <c r="B22" s="56" t="s">
        <v>79</v>
      </c>
      <c r="D22" s="5" t="s">
        <v>92</v>
      </c>
      <c r="E22" s="6" t="s">
        <v>71</v>
      </c>
      <c r="F22" t="str">
        <f>IFERROR(VLOOKUP(D22,SPEC001!$B$2:$D$84,2,FALSE),
IFERROR(VLOOKUP(D22,SPEC002!$B$2:$D$86,2,FALSE),
IFERROR(VLOOKUP(D22,SPEC003!$B$2:$D$80,2,FALSE),
IFERROR(VLOOKUP(D22,SPEC004!$B$2:$D$86,2,FALSE),
IFERROR(VLOOKUP(D22,#REF!,2,FALSE), "")))))</f>
        <v/>
      </c>
      <c r="I22" s="43"/>
      <c r="J22" s="43"/>
      <c r="K22" s="43"/>
      <c r="L22" s="43"/>
      <c r="M22" s="43"/>
      <c r="N22" s="43"/>
      <c r="O22" s="43"/>
      <c r="P22" s="43"/>
      <c r="Q22" s="43" t="s">
        <v>50</v>
      </c>
      <c r="R22" s="43" t="s">
        <v>182</v>
      </c>
      <c r="S22" s="43"/>
    </row>
    <row r="23" spans="2:19" x14ac:dyDescent="0.3">
      <c r="B23" s="80" t="s">
        <v>80</v>
      </c>
      <c r="D23" s="5" t="s">
        <v>93</v>
      </c>
      <c r="E23" s="6" t="s">
        <v>71</v>
      </c>
      <c r="F23" t="str">
        <f>IFERROR(VLOOKUP(D23,SPEC001!$B$2:$D$84,2,FALSE),
IFERROR(VLOOKUP(D23,SPEC002!$B$2:$D$86,2,FALSE),
IFERROR(VLOOKUP(D23,SPEC003!$B$2:$D$80,2,FALSE),
IFERROR(VLOOKUP(D23,SPEC004!$B$2:$D$86,2,FALSE),
IFERROR(VLOOKUP(D23,#REF!,2,FALSE), "")))))</f>
        <v/>
      </c>
      <c r="I23" s="43"/>
      <c r="J23" s="43"/>
      <c r="K23" s="43"/>
      <c r="L23" s="43"/>
      <c r="M23" s="43"/>
      <c r="N23" s="43"/>
      <c r="O23" s="43"/>
      <c r="P23" s="43"/>
      <c r="Q23" s="43" t="s">
        <v>161</v>
      </c>
      <c r="R23" s="43"/>
      <c r="S23" s="43"/>
    </row>
    <row r="24" spans="2:19" x14ac:dyDescent="0.3">
      <c r="D24" s="5" t="s">
        <v>94</v>
      </c>
      <c r="E24" s="6" t="s">
        <v>71</v>
      </c>
      <c r="F24" t="str">
        <f>IFERROR(VLOOKUP(D24,SPEC001!$B$2:$D$84,2,FALSE),
IFERROR(VLOOKUP(D24,SPEC002!$B$2:$D$86,2,FALSE),
IFERROR(VLOOKUP(D24,SPEC003!$B$2:$D$80,2,FALSE),
IFERROR(VLOOKUP(D24,SPEC004!$B$2:$D$86,2,FALSE),
IFERROR(VLOOKUP(D24,#REF!,2,FALSE), "")))))</f>
        <v>SLR 4630</v>
      </c>
      <c r="I24" s="43"/>
      <c r="J24" s="43"/>
      <c r="K24" s="43"/>
      <c r="L24" s="43"/>
      <c r="M24" s="43"/>
      <c r="N24" s="43"/>
      <c r="O24" s="43"/>
      <c r="P24" s="43"/>
      <c r="Q24" s="43" t="s">
        <v>162</v>
      </c>
      <c r="R24" s="43"/>
      <c r="S24" s="43"/>
    </row>
    <row r="25" spans="2:19" x14ac:dyDescent="0.3">
      <c r="D25" s="5" t="s">
        <v>95</v>
      </c>
      <c r="E25" s="6" t="s">
        <v>71</v>
      </c>
      <c r="F25" t="str">
        <f>IFERROR(VLOOKUP(D25,SPEC001!$B$2:$D$84,2,FALSE),
IFERROR(VLOOKUP(D25,SPEC002!$B$2:$D$86,2,FALSE),
IFERROR(VLOOKUP(D25,SPEC003!$B$2:$D$80,2,FALSE),
IFERROR(VLOOKUP(D25,SPEC004!$B$2:$D$86,2,FALSE),
IFERROR(VLOOKUP(D25,#REF!,2,FALSE), "")))))</f>
        <v>JSR HP755</v>
      </c>
      <c r="I25" s="43"/>
      <c r="J25" s="43"/>
      <c r="K25" s="43"/>
      <c r="L25" s="43"/>
      <c r="M25" s="43"/>
      <c r="N25" s="43"/>
      <c r="O25" s="43"/>
      <c r="P25" s="43"/>
      <c r="Q25" s="43" t="s">
        <v>7</v>
      </c>
      <c r="R25" s="43"/>
      <c r="S25" s="43"/>
    </row>
    <row r="26" spans="2:19" x14ac:dyDescent="0.3">
      <c r="D26" s="5" t="s">
        <v>96</v>
      </c>
      <c r="E26" s="6" t="s">
        <v>71</v>
      </c>
      <c r="F26" t="str">
        <f>IFERROR(VLOOKUP(D26,SPEC001!$B$2:$D$84,2,FALSE),
IFERROR(VLOOKUP(D26,SPEC002!$B$2:$D$86,2,FALSE),
IFERROR(VLOOKUP(D26,SPEC003!$B$2:$D$80,2,FALSE),
IFERROR(VLOOKUP(D26,SPEC004!$B$2:$D$86,2,FALSE),
IFERROR(VLOOKUP(D26,#REF!,2,FALSE), "")))))</f>
        <v/>
      </c>
      <c r="I26" s="43"/>
      <c r="J26" s="43"/>
      <c r="K26" s="43"/>
      <c r="L26" s="43"/>
      <c r="M26" s="43"/>
      <c r="N26" s="43"/>
      <c r="O26" s="43"/>
      <c r="P26" s="43"/>
      <c r="Q26" s="43" t="s">
        <v>27</v>
      </c>
      <c r="R26" s="43"/>
      <c r="S26" s="43"/>
    </row>
    <row r="27" spans="2:19" x14ac:dyDescent="0.3">
      <c r="D27" s="5" t="s">
        <v>97</v>
      </c>
      <c r="E27" s="6" t="s">
        <v>71</v>
      </c>
      <c r="F27" t="str">
        <f>IFERROR(VLOOKUP(D27,SPEC001!$B$2:$D$84,2,FALSE),
IFERROR(VLOOKUP(D27,SPEC002!$B$2:$D$86,2,FALSE),
IFERROR(VLOOKUP(D27,SPEC003!$B$2:$D$80,2,FALSE),
IFERROR(VLOOKUP(D27,SPEC004!$B$2:$D$86,2,FALSE),
IFERROR(VLOOKUP(D27,#REF!,2,FALSE), "")))))</f>
        <v/>
      </c>
      <c r="I27" s="43"/>
      <c r="J27" s="43"/>
      <c r="K27" s="43"/>
      <c r="L27" s="43"/>
      <c r="M27" s="43"/>
      <c r="N27" s="43"/>
      <c r="O27" s="43"/>
      <c r="P27" s="43"/>
      <c r="Q27" s="43" t="s">
        <v>163</v>
      </c>
      <c r="R27" s="43"/>
      <c r="S27" s="43"/>
    </row>
    <row r="28" spans="2:19" x14ac:dyDescent="0.3">
      <c r="D28" s="5" t="s">
        <v>98</v>
      </c>
      <c r="E28" s="6" t="s">
        <v>71</v>
      </c>
      <c r="F28" t="str">
        <f>IFERROR(VLOOKUP(D28,SPEC001!$B$2:$D$84,2,FALSE),
IFERROR(VLOOKUP(D28,SPEC002!$B$2:$D$86,2,FALSE),
IFERROR(VLOOKUP(D28,SPEC003!$B$2:$D$80,2,FALSE),
IFERROR(VLOOKUP(D28,SPEC004!$B$2:$D$86,2,FALSE),
IFERROR(VLOOKUP(D28,#REF!,2,FALSE), "")))))</f>
        <v/>
      </c>
      <c r="I28" s="43"/>
      <c r="J28" s="43"/>
      <c r="K28" s="43"/>
      <c r="L28" s="43"/>
      <c r="M28" s="43"/>
      <c r="N28" s="43"/>
      <c r="O28" s="43"/>
      <c r="P28" s="43"/>
      <c r="Q28" s="43" t="s">
        <v>164</v>
      </c>
      <c r="R28" s="43"/>
      <c r="S28" s="43"/>
    </row>
    <row r="29" spans="2:19" x14ac:dyDescent="0.3">
      <c r="D29" s="5" t="s">
        <v>99</v>
      </c>
      <c r="E29" s="6" t="s">
        <v>71</v>
      </c>
      <c r="F29" t="str">
        <f>IFERROR(VLOOKUP(D29,SPEC001!$B$2:$D$84,2,FALSE),
IFERROR(VLOOKUP(D29,SPEC002!$B$2:$D$86,2,FALSE),
IFERROR(VLOOKUP(D29,SPEC003!$B$2:$D$80,2,FALSE),
IFERROR(VLOOKUP(D29,SPEC004!$B$2:$D$86,2,FALSE),
IFERROR(VLOOKUP(D29,#REF!,2,FALSE), "")))))</f>
        <v/>
      </c>
      <c r="I29" s="43"/>
      <c r="J29" s="43"/>
      <c r="K29" s="43"/>
      <c r="L29" s="43"/>
      <c r="M29" s="43"/>
      <c r="N29" s="43"/>
      <c r="O29" s="43"/>
      <c r="P29" s="43"/>
      <c r="Q29" s="43" t="s">
        <v>165</v>
      </c>
      <c r="R29" s="43"/>
      <c r="S29" s="43"/>
    </row>
    <row r="30" spans="2:19" x14ac:dyDescent="0.3">
      <c r="D30" s="5"/>
      <c r="F30" t="str">
        <f>IFERROR(VLOOKUP(D30,SPEC001!$B$2:$D$84,2,FALSE),
IFERROR(VLOOKUP(D30,SPEC002!$B$2:$D$86,2,FALSE),
IFERROR(VLOOKUP(D30,SPEC003!$B$2:$D$80,2,FALSE),
IFERROR(VLOOKUP(D30,SPEC004!$B$2:$D$86,2,FALSE),
IFERROR(VLOOKUP(D30,#REF!,2,FALSE), "")))))</f>
        <v/>
      </c>
      <c r="I30" s="43"/>
      <c r="J30" s="43"/>
      <c r="K30" s="43"/>
      <c r="L30" s="43"/>
      <c r="M30" s="43"/>
      <c r="N30" s="43"/>
      <c r="O30" s="43"/>
      <c r="P30" s="43"/>
      <c r="Q30" s="43" t="s">
        <v>166</v>
      </c>
      <c r="R30" s="43"/>
      <c r="S30" s="43"/>
    </row>
    <row r="31" spans="2:19" x14ac:dyDescent="0.3">
      <c r="D31" s="5"/>
      <c r="F31" t="str">
        <f>IFERROR(VLOOKUP(D31,SPEC001!$B$2:$D$84,2,FALSE),
IFERROR(VLOOKUP(D31,SPEC002!$B$2:$D$86,2,FALSE),
IFERROR(VLOOKUP(D31,SPEC003!$B$2:$D$80,2,FALSE),
IFERROR(VLOOKUP(D31,SPEC004!$B$2:$D$86,2,FALSE),
IFERROR(VLOOKUP(D31,#REF!,2,FALSE), "")))))</f>
        <v/>
      </c>
      <c r="I31" s="43"/>
      <c r="J31" s="43"/>
      <c r="K31" s="43"/>
      <c r="L31" s="43"/>
      <c r="M31" s="43"/>
      <c r="N31" s="43"/>
      <c r="O31" s="43"/>
      <c r="P31" s="43"/>
      <c r="Q31" s="43" t="s">
        <v>135</v>
      </c>
      <c r="R31" s="43"/>
      <c r="S31" s="43"/>
    </row>
    <row r="32" spans="2:19" x14ac:dyDescent="0.3">
      <c r="D32" s="7"/>
      <c r="F32" t="str">
        <f>IFERROR(VLOOKUP(D32,SPEC001!$B$2:$D$84,2,FALSE),
IFERROR(VLOOKUP(D32,SPEC002!$B$2:$D$86,2,FALSE),
IFERROR(VLOOKUP(D32,SPEC003!$B$2:$D$80,2,FALSE),
IFERROR(VLOOKUP(D32,SPEC004!$B$2:$D$86,2,FALSE),
IFERROR(VLOOKUP(D32,#REF!,2,FALSE), "")))))</f>
        <v/>
      </c>
      <c r="I32" s="43"/>
      <c r="J32" s="43"/>
      <c r="K32" s="43"/>
      <c r="L32" s="43"/>
      <c r="M32" s="43"/>
      <c r="N32" s="43"/>
      <c r="O32" s="43"/>
      <c r="P32" s="43"/>
      <c r="Q32" s="43" t="s">
        <v>123</v>
      </c>
      <c r="R32" s="43"/>
      <c r="S32" s="43"/>
    </row>
    <row r="33" spans="4:19" x14ac:dyDescent="0.3">
      <c r="D33" s="7" t="s">
        <v>72</v>
      </c>
      <c r="F33" t="str">
        <f>IFERROR(VLOOKUP(D33,SPEC001!$B$2:$D$84,2,FALSE),
IFERROR(VLOOKUP(D33,SPEC002!$B$2:$D$86,2,FALSE),
IFERROR(VLOOKUP(D33,SPEC003!$B$2:$D$80,2,FALSE),
IFERROR(VLOOKUP(D33,SPEC004!$B$2:$D$86,2,FALSE),
IFERROR(VLOOKUP(D33,#REF!,2,FALSE), "")))))</f>
        <v/>
      </c>
      <c r="I33" s="43"/>
      <c r="J33" s="43"/>
      <c r="K33" s="43"/>
      <c r="L33" s="43"/>
      <c r="M33" s="43"/>
      <c r="N33" s="43"/>
      <c r="O33" s="43"/>
      <c r="P33" s="43"/>
      <c r="Q33" s="43" t="s">
        <v>125</v>
      </c>
      <c r="R33" s="43"/>
      <c r="S33" s="43"/>
    </row>
    <row r="34" spans="4:19" x14ac:dyDescent="0.3">
      <c r="D34" s="7"/>
      <c r="E34" t="s">
        <v>319</v>
      </c>
      <c r="F34" t="str">
        <f>IFERROR(VLOOKUP(D34,SPEC001!$B$2:$D$84,2,FALSE),
IFERROR(VLOOKUP(D34,SPEC002!$B$2:$D$86,2,FALSE),
IFERROR(VLOOKUP(D34,SPEC003!$B$2:$D$80,2,FALSE),
IFERROR(VLOOKUP(D34,SPEC004!$B$2:$D$86,2,FALSE),
IFERROR(VLOOKUP(D34,#REF!,2,FALSE), "")))))</f>
        <v/>
      </c>
      <c r="I34" s="43"/>
      <c r="J34" s="43"/>
      <c r="K34" s="43"/>
      <c r="L34" s="43"/>
      <c r="M34" s="43"/>
      <c r="N34" s="43"/>
      <c r="O34" s="43"/>
      <c r="P34" s="43"/>
      <c r="Q34" s="43" t="s">
        <v>167</v>
      </c>
      <c r="R34" s="43"/>
      <c r="S34" s="43"/>
    </row>
    <row r="35" spans="4:19" x14ac:dyDescent="0.3">
      <c r="D35" s="7" t="s">
        <v>73</v>
      </c>
      <c r="F35" t="str">
        <f>IFERROR(VLOOKUP(D35,SPEC001!$B$2:$D$84,2,FALSE),
IFERROR(VLOOKUP(D35,SPEC002!$B$2:$D$86,2,FALSE),
IFERROR(VLOOKUP(D35,SPEC003!$B$2:$D$80,2,FALSE),
IFERROR(VLOOKUP(D35,SPEC004!$B$2:$D$86,2,FALSE),
IFERROR(VLOOKUP(D35,#REF!,2,FALSE), "")))))</f>
        <v/>
      </c>
      <c r="I35" s="43"/>
      <c r="J35" s="43"/>
      <c r="K35" s="43"/>
      <c r="L35" s="43"/>
      <c r="M35" s="43"/>
      <c r="N35" s="43"/>
      <c r="O35" s="43"/>
      <c r="P35" s="43"/>
      <c r="Q35" s="43" t="s">
        <v>65</v>
      </c>
      <c r="R35" s="43"/>
      <c r="S35" s="43"/>
    </row>
    <row r="36" spans="4:19" x14ac:dyDescent="0.3">
      <c r="D36" s="8" t="s">
        <v>44</v>
      </c>
      <c r="E36" s="7" t="s">
        <v>73</v>
      </c>
      <c r="F36" t="str">
        <f>IFERROR(VLOOKUP(D36,SPEC001!$B$2:$D$84,2,FALSE),
IFERROR(VLOOKUP(D36,SPEC002!$B$2:$D$86,2,FALSE),
IFERROR(VLOOKUP(D36,SPEC003!$B$2:$D$80,2,FALSE),
IFERROR(VLOOKUP(D36,SPEC004!$B$2:$D$86,2,FALSE),
IFERROR(VLOOKUP(D36,#REF!,2,FALSE), "")))))</f>
        <v>LS-HAF N-326</v>
      </c>
      <c r="I36" s="43"/>
      <c r="J36" s="43"/>
      <c r="K36" s="43"/>
      <c r="L36" s="43"/>
      <c r="M36" s="43"/>
      <c r="N36" s="43"/>
      <c r="O36" s="43"/>
      <c r="P36" s="43"/>
      <c r="Q36" s="43" t="s">
        <v>41</v>
      </c>
      <c r="R36" s="43"/>
      <c r="S36" s="43"/>
    </row>
    <row r="37" spans="4:19" x14ac:dyDescent="0.3">
      <c r="D37" s="8" t="s">
        <v>38</v>
      </c>
      <c r="E37" s="7" t="s">
        <v>73</v>
      </c>
      <c r="F37" t="str">
        <f>IFERROR(VLOOKUP(D37,SPEC001!$B$2:$D$84,2,FALSE),
IFERROR(VLOOKUP(D37,SPEC002!$B$2:$D$86,2,FALSE),
IFERROR(VLOOKUP(D37,SPEC003!$B$2:$D$80,2,FALSE),
IFERROR(VLOOKUP(D37,SPEC004!$B$2:$D$86,2,FALSE),
IFERROR(VLOOKUP(D37,#REF!,2,FALSE), "")))))</f>
        <v>HAF N-330</v>
      </c>
      <c r="I37" s="43"/>
      <c r="J37" s="43"/>
      <c r="K37" s="43"/>
      <c r="L37" s="43"/>
      <c r="M37" s="43"/>
      <c r="N37" s="43"/>
      <c r="O37" s="43"/>
      <c r="P37" s="43"/>
      <c r="Q37" s="43" t="s">
        <v>42</v>
      </c>
      <c r="R37" s="43"/>
      <c r="S37" s="43"/>
    </row>
    <row r="38" spans="4:19" x14ac:dyDescent="0.3">
      <c r="D38" s="8" t="s">
        <v>9</v>
      </c>
      <c r="E38" s="7" t="s">
        <v>73</v>
      </c>
      <c r="F38" t="str">
        <f>IFERROR(VLOOKUP(D38,SPEC001!$B$2:$D$84,2,FALSE),
IFERROR(VLOOKUP(D38,SPEC002!$B$2:$D$86,2,FALSE),
IFERROR(VLOOKUP(D38,SPEC003!$B$2:$D$80,2,FALSE),
IFERROR(VLOOKUP(D38,SPEC004!$B$2:$D$86,2,FALSE),
IFERROR(VLOOKUP(D38,#REF!,2,FALSE), "")))))</f>
        <v>GPF N-660</v>
      </c>
      <c r="I38" s="43"/>
      <c r="J38" s="43"/>
      <c r="K38" s="43"/>
      <c r="L38" s="43"/>
      <c r="M38" s="43"/>
      <c r="N38" s="43"/>
      <c r="O38" s="43"/>
      <c r="P38" s="43"/>
      <c r="Q38" s="43" t="s">
        <v>29</v>
      </c>
      <c r="R38" s="43"/>
      <c r="S38" s="43"/>
    </row>
    <row r="39" spans="4:19" x14ac:dyDescent="0.3">
      <c r="D39" s="8" t="s">
        <v>119</v>
      </c>
      <c r="E39" s="7" t="s">
        <v>73</v>
      </c>
      <c r="F39" t="str">
        <f>IFERROR(VLOOKUP(D39,SPEC001!$B$2:$D$84,2,FALSE),
IFERROR(VLOOKUP(D39,SPEC002!$B$2:$D$86,2,FALSE),
IFERROR(VLOOKUP(D39,SPEC003!$B$2:$D$80,2,FALSE),
IFERROR(VLOOKUP(D39,SPEC004!$B$2:$D$86,2,FALSE),
IFERROR(VLOOKUP(D39,#REF!,2,FALSE), "")))))</f>
        <v>N-234</v>
      </c>
      <c r="I39" s="43"/>
      <c r="J39" s="43"/>
      <c r="K39" s="43"/>
      <c r="L39" s="43"/>
      <c r="M39" s="43"/>
      <c r="N39" s="43"/>
      <c r="O39" s="43"/>
      <c r="P39" s="43"/>
      <c r="Q39" s="43" t="s">
        <v>16</v>
      </c>
      <c r="R39" s="43"/>
      <c r="S39" s="43"/>
    </row>
    <row r="40" spans="4:19" x14ac:dyDescent="0.3">
      <c r="D40" s="8" t="s">
        <v>133</v>
      </c>
      <c r="E40" s="7" t="s">
        <v>73</v>
      </c>
      <c r="F40" t="str">
        <f>IFERROR(VLOOKUP(D40,SPEC001!$B$2:$D$84,2,FALSE),
IFERROR(VLOOKUP(D40,SPEC002!$B$2:$D$86,2,FALSE),
IFERROR(VLOOKUP(D40,SPEC003!$B$2:$D$80,2,FALSE),
IFERROR(VLOOKUP(D40,SPEC004!$B$2:$D$86,2,FALSE),
IFERROR(VLOOKUP(D40,#REF!,2,FALSE), "")))))</f>
        <v>N-375</v>
      </c>
      <c r="I40" s="43"/>
      <c r="J40" s="43"/>
      <c r="K40" s="43"/>
      <c r="L40" s="43"/>
      <c r="M40" s="43"/>
      <c r="N40" s="43"/>
      <c r="O40" s="43"/>
      <c r="P40" s="43"/>
      <c r="Q40" s="43" t="s">
        <v>168</v>
      </c>
      <c r="R40" s="43"/>
      <c r="S40" s="43"/>
    </row>
    <row r="41" spans="4:19" x14ac:dyDescent="0.3">
      <c r="D41" s="8" t="s">
        <v>147</v>
      </c>
      <c r="E41" s="7" t="s">
        <v>73</v>
      </c>
      <c r="F41" t="str">
        <f>IFERROR(VLOOKUP(D41,SPEC001!$B$2:$D$84,2,FALSE),
IFERROR(VLOOKUP(D41,SPEC002!$B$2:$D$86,2,FALSE),
IFERROR(VLOOKUP(D41,SPEC003!$B$2:$D$80,2,FALSE),
IFERROR(VLOOKUP(D41,SPEC004!$B$2:$D$86,2,FALSE),
IFERROR(VLOOKUP(D41,#REF!,2,FALSE), "")))))</f>
        <v/>
      </c>
      <c r="I41" s="43"/>
      <c r="J41" s="43"/>
      <c r="K41" s="43"/>
      <c r="L41" s="43"/>
      <c r="M41" s="43"/>
      <c r="N41" s="43"/>
      <c r="O41" s="43"/>
      <c r="P41" s="43"/>
      <c r="Q41" s="43" t="s">
        <v>18</v>
      </c>
      <c r="R41" s="43"/>
      <c r="S41" s="43"/>
    </row>
    <row r="42" spans="4:19" x14ac:dyDescent="0.3">
      <c r="D42" s="8" t="s">
        <v>148</v>
      </c>
      <c r="E42" s="7" t="s">
        <v>73</v>
      </c>
      <c r="F42" t="str">
        <f>IFERROR(VLOOKUP(D42,SPEC001!$B$2:$D$84,2,FALSE),
IFERROR(VLOOKUP(D42,SPEC002!$B$2:$D$86,2,FALSE),
IFERROR(VLOOKUP(D42,SPEC003!$B$2:$D$80,2,FALSE),
IFERROR(VLOOKUP(D42,SPEC004!$B$2:$D$86,2,FALSE),
IFERROR(VLOOKUP(D42,#REF!,2,FALSE), "")))))</f>
        <v/>
      </c>
      <c r="I42" s="43"/>
      <c r="J42" s="43"/>
      <c r="K42" s="43"/>
      <c r="L42" s="43"/>
      <c r="M42" s="43"/>
      <c r="N42" s="43"/>
      <c r="O42" s="43"/>
      <c r="P42" s="43"/>
      <c r="Q42" s="43" t="s">
        <v>45</v>
      </c>
      <c r="R42" s="43"/>
      <c r="S42" s="43"/>
    </row>
    <row r="43" spans="4:19" x14ac:dyDescent="0.3">
      <c r="D43" s="8" t="s">
        <v>11</v>
      </c>
      <c r="E43" s="7" t="s">
        <v>73</v>
      </c>
      <c r="F43" t="str">
        <f>IFERROR(VLOOKUP(D43,SPEC001!$B$2:$D$84,2,FALSE),
IFERROR(VLOOKUP(D43,SPEC002!$B$2:$D$86,2,FALSE),
IFERROR(VLOOKUP(D43,SPEC003!$B$2:$D$80,2,FALSE),
IFERROR(VLOOKUP(D43,SPEC004!$B$2:$D$86,2,FALSE),
IFERROR(VLOOKUP(D43,#REF!,2,FALSE), "")))))</f>
        <v>PAI IAN HWA CC (white filler)</v>
      </c>
      <c r="I43" s="43"/>
      <c r="J43" s="43"/>
      <c r="K43" s="43"/>
      <c r="L43" s="43"/>
      <c r="M43" s="43"/>
      <c r="N43" s="43"/>
      <c r="O43" s="43"/>
      <c r="P43" s="43"/>
      <c r="Q43" s="43" t="s">
        <v>53</v>
      </c>
      <c r="R43" s="43"/>
      <c r="S43" s="43"/>
    </row>
    <row r="44" spans="4:19" x14ac:dyDescent="0.3">
      <c r="D44" s="8" t="s">
        <v>149</v>
      </c>
      <c r="E44" s="7" t="s">
        <v>73</v>
      </c>
      <c r="F44" t="str">
        <f>IFERROR(VLOOKUP(D44,SPEC001!$B$2:$D$84,2,FALSE),
IFERROR(VLOOKUP(D44,SPEC002!$B$2:$D$86,2,FALSE),
IFERROR(VLOOKUP(D44,SPEC003!$B$2:$D$80,2,FALSE),
IFERROR(VLOOKUP(D44,SPEC004!$B$2:$D$86,2,FALSE),
IFERROR(VLOOKUP(D44,#REF!,2,FALSE), "")))))</f>
        <v/>
      </c>
      <c r="I44" s="43"/>
      <c r="J44" s="43"/>
      <c r="K44" s="43"/>
      <c r="L44" s="43"/>
      <c r="M44" s="43"/>
      <c r="N44" s="43"/>
      <c r="O44" s="43"/>
      <c r="P44" s="43"/>
      <c r="Q44" s="43" t="s">
        <v>187</v>
      </c>
      <c r="R44" s="43"/>
      <c r="S44" s="43"/>
    </row>
    <row r="45" spans="4:19" x14ac:dyDescent="0.3">
      <c r="D45" s="8" t="s">
        <v>121</v>
      </c>
      <c r="E45" s="7" t="s">
        <v>73</v>
      </c>
      <c r="F45" t="str">
        <f>IFERROR(VLOOKUP(D45,SPEC001!$B$2:$D$84,2,FALSE),
IFERROR(VLOOKUP(D45,SPEC002!$B$2:$D$86,2,FALSE),
IFERROR(VLOOKUP(D45,SPEC003!$B$2:$D$80,2,FALSE),
IFERROR(VLOOKUP(D45,SPEC004!$B$2:$D$86,2,FALSE),
IFERROR(VLOOKUP(D45,#REF!,2,FALSE), "")))))</f>
        <v>Ultrasil 7000</v>
      </c>
      <c r="I45" s="43"/>
      <c r="J45" s="43"/>
      <c r="K45" s="43"/>
      <c r="L45" s="43"/>
      <c r="M45" s="43"/>
      <c r="N45" s="43"/>
      <c r="O45" s="43"/>
      <c r="P45" s="43"/>
      <c r="Q45" s="43" t="s">
        <v>52</v>
      </c>
      <c r="R45" s="43"/>
      <c r="S45" s="43"/>
    </row>
    <row r="46" spans="4:19" x14ac:dyDescent="0.3">
      <c r="D46" s="8" t="s">
        <v>150</v>
      </c>
      <c r="E46" s="7" t="s">
        <v>73</v>
      </c>
      <c r="F46" t="str">
        <f>IFERROR(VLOOKUP(D46,SPEC001!$B$2:$D$84,2,FALSE),
IFERROR(VLOOKUP(D46,SPEC002!$B$2:$D$86,2,FALSE),
IFERROR(VLOOKUP(D46,SPEC003!$B$2:$D$80,2,FALSE),
IFERROR(VLOOKUP(D46,SPEC004!$B$2:$D$86,2,FALSE),
IFERROR(VLOOKUP(D46,#REF!,2,FALSE), "")))))</f>
        <v/>
      </c>
      <c r="I46" s="43"/>
      <c r="J46" s="43"/>
      <c r="K46" s="43"/>
      <c r="L46" s="43"/>
      <c r="M46" s="43"/>
      <c r="N46" s="43"/>
      <c r="O46" s="43"/>
      <c r="P46" s="43"/>
      <c r="Q46" s="43" t="s">
        <v>55</v>
      </c>
      <c r="R46" s="43"/>
      <c r="S46" s="43"/>
    </row>
    <row r="47" spans="4:19" x14ac:dyDescent="0.3">
      <c r="D47" s="8"/>
      <c r="F47" t="str">
        <f>IFERROR(VLOOKUP(D47,SPEC001!$B$2:$D$84,2,FALSE),
IFERROR(VLOOKUP(D47,SPEC002!$B$2:$D$86,2,FALSE),
IFERROR(VLOOKUP(D47,SPEC003!$B$2:$D$80,2,FALSE),
IFERROR(VLOOKUP(D47,SPEC004!$B$2:$D$86,2,FALSE),
IFERROR(VLOOKUP(D47,#REF!,2,FALSE), "")))))</f>
        <v/>
      </c>
      <c r="I47" s="43"/>
      <c r="J47" s="43"/>
      <c r="K47" s="43"/>
      <c r="L47" s="43"/>
      <c r="M47" s="43"/>
      <c r="N47" s="43"/>
      <c r="O47" s="43"/>
      <c r="P47" s="43"/>
      <c r="Q47" s="43" t="s">
        <v>169</v>
      </c>
      <c r="R47" s="43"/>
      <c r="S47" s="43"/>
    </row>
    <row r="48" spans="4:19" x14ac:dyDescent="0.3">
      <c r="D48" s="8"/>
      <c r="F48" t="str">
        <f>IFERROR(VLOOKUP(D48,SPEC001!$B$2:$D$84,2,FALSE),
IFERROR(VLOOKUP(D48,SPEC002!$B$2:$D$86,2,FALSE),
IFERROR(VLOOKUP(D48,SPEC003!$B$2:$D$80,2,FALSE),
IFERROR(VLOOKUP(D48,SPEC004!$B$2:$D$86,2,FALSE),
IFERROR(VLOOKUP(D48,#REF!,2,FALSE), "")))))</f>
        <v/>
      </c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</row>
    <row r="49" spans="4:19" x14ac:dyDescent="0.3">
      <c r="D49" s="8"/>
      <c r="F49" t="str">
        <f>IFERROR(VLOOKUP(D49,SPEC001!$B$2:$D$84,2,FALSE),
IFERROR(VLOOKUP(D49,SPEC002!$B$2:$D$86,2,FALSE),
IFERROR(VLOOKUP(D49,SPEC003!$B$2:$D$80,2,FALSE),
IFERROR(VLOOKUP(D49,SPEC004!$B$2:$D$86,2,FALSE),
IFERROR(VLOOKUP(D49,#REF!,2,FALSE), "")))))</f>
        <v/>
      </c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</row>
    <row r="50" spans="4:19" x14ac:dyDescent="0.3">
      <c r="D50" s="10" t="s">
        <v>74</v>
      </c>
      <c r="F50" t="str">
        <f>IFERROR(VLOOKUP(D50,SPEC001!$B$2:$D$84,2,FALSE),
IFERROR(VLOOKUP(D50,SPEC002!$B$2:$D$86,2,FALSE),
IFERROR(VLOOKUP(D50,SPEC003!$B$2:$D$80,2,FALSE),
IFERROR(VLOOKUP(D50,SPEC004!$B$2:$D$86,2,FALSE),
IFERROR(VLOOKUP(D50,#REF!,2,FALSE), "")))))</f>
        <v/>
      </c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</row>
    <row r="51" spans="4:19" x14ac:dyDescent="0.3">
      <c r="D51" s="8"/>
      <c r="F51" t="str">
        <f>IFERROR(VLOOKUP(D51,SPEC001!$B$2:$D$84,2,FALSE),
IFERROR(VLOOKUP(D51,SPEC002!$B$2:$D$86,2,FALSE),
IFERROR(VLOOKUP(D51,SPEC003!$B$2:$D$80,2,FALSE),
IFERROR(VLOOKUP(D51,SPEC004!$B$2:$D$86,2,FALSE),
IFERROR(VLOOKUP(D51,#REF!,2,FALSE), "")))))</f>
        <v/>
      </c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</row>
    <row r="52" spans="4:19" x14ac:dyDescent="0.3">
      <c r="D52" s="10" t="s">
        <v>75</v>
      </c>
      <c r="F52" t="str">
        <f>IFERROR(VLOOKUP(D52,SPEC001!$B$2:$D$84,2,FALSE),
IFERROR(VLOOKUP(D52,SPEC002!$B$2:$D$86,2,FALSE),
IFERROR(VLOOKUP(D52,SPEC003!$B$2:$D$80,2,FALSE),
IFERROR(VLOOKUP(D52,SPEC004!$B$2:$D$86,2,FALSE),
IFERROR(VLOOKUP(D52,#REF!,2,FALSE), "")))))</f>
        <v/>
      </c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</row>
    <row r="53" spans="4:19" x14ac:dyDescent="0.3">
      <c r="D53" s="8" t="s">
        <v>151</v>
      </c>
      <c r="E53" s="10" t="s">
        <v>75</v>
      </c>
      <c r="F53" t="str">
        <f>IFERROR(VLOOKUP(D53,SPEC001!$B$2:$D$84,2,FALSE),
IFERROR(VLOOKUP(D53,SPEC002!$B$2:$D$86,2,FALSE),
IFERROR(VLOOKUP(D53,SPEC003!$B$2:$D$80,2,FALSE),
IFERROR(VLOOKUP(D53,SPEC004!$B$2:$D$86,2,FALSE),
IFERROR(VLOOKUP(D53,#REF!,2,FALSE), "")))))</f>
        <v/>
      </c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</row>
    <row r="54" spans="4:19" x14ac:dyDescent="0.3">
      <c r="D54" s="8" t="s">
        <v>14</v>
      </c>
      <c r="E54" s="10" t="s">
        <v>75</v>
      </c>
      <c r="F54" t="str">
        <f>IFERROR(VLOOKUP(D54,SPEC001!$B$2:$D$84,2,FALSE),
IFERROR(VLOOKUP(D54,SPEC002!$B$2:$D$86,2,FALSE),
IFERROR(VLOOKUP(D54,SPEC003!$B$2:$D$80,2,FALSE),
IFERROR(VLOOKUP(D54,SPEC004!$B$2:$D$86,2,FALSE),
IFERROR(VLOOKUP(D54,#REF!,2,FALSE), "")))))</f>
        <v>TDAE OIL</v>
      </c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</row>
    <row r="55" spans="4:19" x14ac:dyDescent="0.3">
      <c r="D55" s="8" t="s">
        <v>152</v>
      </c>
      <c r="E55" s="10" t="s">
        <v>75</v>
      </c>
      <c r="F55" t="str">
        <f>IFERROR(VLOOKUP(D55,SPEC001!$B$2:$D$84,2,FALSE),
IFERROR(VLOOKUP(D55,SPEC002!$B$2:$D$86,2,FALSE),
IFERROR(VLOOKUP(D55,SPEC003!$B$2:$D$80,2,FALSE),
IFERROR(VLOOKUP(D55,SPEC004!$B$2:$D$86,2,FALSE),
IFERROR(VLOOKUP(D55,#REF!,2,FALSE), "")))))</f>
        <v/>
      </c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</row>
    <row r="56" spans="4:19" x14ac:dyDescent="0.3">
      <c r="D56" s="8"/>
      <c r="F56" t="str">
        <f>IFERROR(VLOOKUP(D56,SPEC001!$B$2:$D$84,2,FALSE),
IFERROR(VLOOKUP(D56,SPEC002!$B$2:$D$86,2,FALSE),
IFERROR(VLOOKUP(D56,SPEC003!$B$2:$D$80,2,FALSE),
IFERROR(VLOOKUP(D56,SPEC004!$B$2:$D$86,2,FALSE),
IFERROR(VLOOKUP(D56,#REF!,2,FALSE), "")))))</f>
        <v/>
      </c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</row>
    <row r="57" spans="4:19" x14ac:dyDescent="0.3">
      <c r="D57" s="10" t="s">
        <v>76</v>
      </c>
      <c r="F57" t="str">
        <f>IFERROR(VLOOKUP(D57,SPEC001!$B$2:$D$84,2,FALSE),
IFERROR(VLOOKUP(D57,SPEC002!$B$2:$D$86,2,FALSE),
IFERROR(VLOOKUP(D57,SPEC003!$B$2:$D$80,2,FALSE),
IFERROR(VLOOKUP(D57,SPEC004!$B$2:$D$86,2,FALSE),
IFERROR(VLOOKUP(D57,#REF!,2,FALSE), "")))))</f>
        <v/>
      </c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</row>
    <row r="58" spans="4:19" x14ac:dyDescent="0.3">
      <c r="D58" s="8"/>
      <c r="F58" t="str">
        <f>IFERROR(VLOOKUP(D58,SPEC001!$B$2:$D$84,2,FALSE),
IFERROR(VLOOKUP(D58,SPEC002!$B$2:$D$86,2,FALSE),
IFERROR(VLOOKUP(D58,SPEC003!$B$2:$D$80,2,FALSE),
IFERROR(VLOOKUP(D58,SPEC004!$B$2:$D$86,2,FALSE),
IFERROR(VLOOKUP(D58,#REF!,2,FALSE), "")))))</f>
        <v/>
      </c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</row>
    <row r="59" spans="4:19" x14ac:dyDescent="0.3">
      <c r="D59" s="10" t="s">
        <v>78</v>
      </c>
      <c r="F59" t="str">
        <f>IFERROR(VLOOKUP(D59,SPEC001!$B$2:$D$84,2,FALSE),
IFERROR(VLOOKUP(D59,SPEC002!$B$2:$D$86,2,FALSE),
IFERROR(VLOOKUP(D59,SPEC003!$B$2:$D$80,2,FALSE),
IFERROR(VLOOKUP(D59,SPEC004!$B$2:$D$86,2,FALSE),
IFERROR(VLOOKUP(D59,#REF!,2,FALSE), "")))))</f>
        <v/>
      </c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</row>
    <row r="60" spans="4:19" x14ac:dyDescent="0.3">
      <c r="D60" s="8" t="s">
        <v>61</v>
      </c>
      <c r="E60" s="10" t="s">
        <v>78</v>
      </c>
      <c r="F60" t="str">
        <f>IFERROR(VLOOKUP(D60,SPEC001!$B$2:$D$84,2,FALSE),
IFERROR(VLOOKUP(D60,SPEC002!$B$2:$D$86,2,FALSE),
IFERROR(VLOOKUP(D60,SPEC003!$B$2:$D$80,2,FALSE),
IFERROR(VLOOKUP(D60,SPEC004!$B$2:$D$86,2,FALSE),
IFERROR(VLOOKUP(D60,#REF!,2,FALSE), "")))))</f>
        <v>STEARIC ACID</v>
      </c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</row>
    <row r="61" spans="4:19" x14ac:dyDescent="0.3">
      <c r="D61" s="8" t="s">
        <v>129</v>
      </c>
      <c r="E61" s="10" t="s">
        <v>78</v>
      </c>
      <c r="F61" t="str">
        <f>IFERROR(VLOOKUP(D61,SPEC001!$B$2:$D$84,2,FALSE),
IFERROR(VLOOKUP(D61,SPEC002!$B$2:$D$86,2,FALSE),
IFERROR(VLOOKUP(D61,SPEC003!$B$2:$D$80,2,FALSE),
IFERROR(VLOOKUP(D61,SPEC004!$B$2:$D$86,2,FALSE),
IFERROR(VLOOKUP(D61,#REF!,2,FALSE), "")))))</f>
        <v>Sylvatraxx 6720</v>
      </c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</row>
    <row r="62" spans="4:19" x14ac:dyDescent="0.3">
      <c r="D62" s="8"/>
      <c r="F62" t="str">
        <f>IFERROR(VLOOKUP(D62,SPEC001!$B$2:$D$84,2,FALSE),
IFERROR(VLOOKUP(D62,SPEC002!$B$2:$D$86,2,FALSE),
IFERROR(VLOOKUP(D62,SPEC003!$B$2:$D$80,2,FALSE),
IFERROR(VLOOKUP(D62,SPEC004!$B$2:$D$86,2,FALSE),
IFERROR(VLOOKUP(D62,#REF!,2,FALSE), "")))))</f>
        <v/>
      </c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</row>
    <row r="63" spans="4:19" x14ac:dyDescent="0.3">
      <c r="D63" s="10" t="s">
        <v>77</v>
      </c>
      <c r="F63" t="str">
        <f>IFERROR(VLOOKUP(D63,SPEC001!$B$2:$D$84,2,FALSE),
IFERROR(VLOOKUP(D63,SPEC002!$B$2:$D$86,2,FALSE),
IFERROR(VLOOKUP(D63,SPEC003!$B$2:$D$80,2,FALSE),
IFERROR(VLOOKUP(D63,SPEC004!$B$2:$D$86,2,FALSE),
IFERROR(VLOOKUP(D63,#REF!,2,FALSE), "")))))</f>
        <v/>
      </c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</row>
    <row r="64" spans="4:19" x14ac:dyDescent="0.3">
      <c r="D64" s="8" t="s">
        <v>60</v>
      </c>
      <c r="E64" s="10" t="s">
        <v>77</v>
      </c>
      <c r="F64" t="str">
        <f>IFERROR(VLOOKUP(D64,SPEC001!$B$2:$D$84,2,FALSE),
IFERROR(VLOOKUP(D64,SPEC002!$B$2:$D$86,2,FALSE),
IFERROR(VLOOKUP(D64,SPEC003!$B$2:$D$80,2,FALSE),
IFERROR(VLOOKUP(D64,SPEC004!$B$2:$D$86,2,FALSE),
IFERROR(VLOOKUP(D64,#REF!,2,FALSE), "")))))</f>
        <v>ZINC OXIDE</v>
      </c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</row>
    <row r="65" spans="4:19" x14ac:dyDescent="0.3">
      <c r="D65" s="8" t="s">
        <v>153</v>
      </c>
      <c r="E65" s="10" t="s">
        <v>77</v>
      </c>
      <c r="F65" t="str">
        <f>IFERROR(VLOOKUP(D65,SPEC001!$B$2:$D$84,2,FALSE),
IFERROR(VLOOKUP(D65,SPEC002!$B$2:$D$86,2,FALSE),
IFERROR(VLOOKUP(D65,SPEC003!$B$2:$D$80,2,FALSE),
IFERROR(VLOOKUP(D65,SPEC004!$B$2:$D$86,2,FALSE),
IFERROR(VLOOKUP(D65,#REF!,2,FALSE), "")))))</f>
        <v/>
      </c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</row>
    <row r="66" spans="4:19" x14ac:dyDescent="0.3">
      <c r="D66" s="8" t="s">
        <v>154</v>
      </c>
      <c r="E66" s="10" t="s">
        <v>77</v>
      </c>
      <c r="F66" t="str">
        <f>IFERROR(VLOOKUP(D66,SPEC001!$B$2:$D$84,2,FALSE),
IFERROR(VLOOKUP(D66,SPEC002!$B$2:$D$86,2,FALSE),
IFERROR(VLOOKUP(D66,SPEC003!$B$2:$D$80,2,FALSE),
IFERROR(VLOOKUP(D66,SPEC004!$B$2:$D$86,2,FALSE),
IFERROR(VLOOKUP(D66,#REF!,2,FALSE), "")))))</f>
        <v/>
      </c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</row>
    <row r="67" spans="4:19" x14ac:dyDescent="0.3">
      <c r="D67" s="8" t="s">
        <v>114</v>
      </c>
      <c r="E67" s="10" t="s">
        <v>77</v>
      </c>
      <c r="F67" t="str">
        <f>IFERROR(VLOOKUP(D67,SPEC001!$B$2:$D$84,2,FALSE),
IFERROR(VLOOKUP(D67,SPEC002!$B$2:$D$86,2,FALSE),
IFERROR(VLOOKUP(D67,SPEC003!$B$2:$D$80,2,FALSE),
IFERROR(VLOOKUP(D67,SPEC004!$B$2:$D$86,2,FALSE),
IFERROR(VLOOKUP(D67,#REF!,2,FALSE), "")))))</f>
        <v>CBS</v>
      </c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</row>
    <row r="68" spans="4:19" x14ac:dyDescent="0.3">
      <c r="D68" s="8" t="s">
        <v>116</v>
      </c>
      <c r="E68" s="10" t="s">
        <v>77</v>
      </c>
      <c r="F68" t="str">
        <f>IFERROR(VLOOKUP(D68,SPEC001!$B$2:$D$84,2,FALSE),
IFERROR(VLOOKUP(D68,SPEC002!$B$2:$D$86,2,FALSE),
IFERROR(VLOOKUP(D68,SPEC003!$B$2:$D$80,2,FALSE),
IFERROR(VLOOKUP(D68,SPEC004!$B$2:$D$86,2,FALSE),
IFERROR(VLOOKUP(D68,#REF!,2,FALSE), "")))))</f>
        <v>DPG</v>
      </c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</row>
    <row r="69" spans="4:19" x14ac:dyDescent="0.3">
      <c r="D69" s="8" t="s">
        <v>62</v>
      </c>
      <c r="E69" s="10" t="s">
        <v>77</v>
      </c>
      <c r="F69" t="str">
        <f>IFERROR(VLOOKUP(D69,SPEC001!$B$2:$D$84,2,FALSE),
IFERROR(VLOOKUP(D69,SPEC002!$B$2:$D$86,2,FALSE),
IFERROR(VLOOKUP(D69,SPEC003!$B$2:$D$80,2,FALSE),
IFERROR(VLOOKUP(D69,SPEC004!$B$2:$D$86,2,FALSE),
IFERROR(VLOOKUP(D69,#REF!,2,FALSE), "")))))</f>
        <v>MBTS</v>
      </c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</row>
    <row r="70" spans="4:19" x14ac:dyDescent="0.3">
      <c r="D70" s="8" t="s">
        <v>48</v>
      </c>
      <c r="E70" s="10" t="s">
        <v>77</v>
      </c>
      <c r="F70" t="str">
        <f>IFERROR(VLOOKUP(D70,SPEC001!$B$2:$D$84,2,FALSE),
IFERROR(VLOOKUP(D70,SPEC002!$B$2:$D$86,2,FALSE),
IFERROR(VLOOKUP(D70,SPEC003!$B$2:$D$80,2,FALSE),
IFERROR(VLOOKUP(D70,SPEC004!$B$2:$D$86,2,FALSE),
IFERROR(VLOOKUP(D70,#REF!,2,FALSE), "")))))</f>
        <v>DCBS</v>
      </c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</row>
    <row r="71" spans="4:19" x14ac:dyDescent="0.3">
      <c r="D71" s="8" t="s">
        <v>63</v>
      </c>
      <c r="E71" s="10" t="s">
        <v>77</v>
      </c>
      <c r="F71" t="str">
        <f>IFERROR(VLOOKUP(D71,SPEC001!$B$2:$D$84,2,FALSE),
IFERROR(VLOOKUP(D71,SPEC002!$B$2:$D$86,2,FALSE),
IFERROR(VLOOKUP(D71,SPEC003!$B$2:$D$80,2,FALSE),
IFERROR(VLOOKUP(D71,SPEC004!$B$2:$D$86,2,FALSE),
IFERROR(VLOOKUP(D71,#REF!,2,FALSE), "")))))</f>
        <v>TBBS</v>
      </c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</row>
    <row r="72" spans="4:19" x14ac:dyDescent="0.3">
      <c r="D72" s="8" t="s">
        <v>131</v>
      </c>
      <c r="E72" s="10" t="s">
        <v>77</v>
      </c>
      <c r="F72" t="str">
        <f>IFERROR(VLOOKUP(D72,SPEC001!$B$2:$D$84,2,FALSE),
IFERROR(VLOOKUP(D72,SPEC002!$B$2:$D$86,2,FALSE),
IFERROR(VLOOKUP(D72,SPEC003!$B$2:$D$80,2,FALSE),
IFERROR(VLOOKUP(D72,SPEC004!$B$2:$D$86,2,FALSE),
IFERROR(VLOOKUP(D72,#REF!,2,FALSE), "")))))</f>
        <v>RHENOGRAN HEXA-80</v>
      </c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</row>
    <row r="73" spans="4:19" x14ac:dyDescent="0.3">
      <c r="D73" s="8" t="s">
        <v>155</v>
      </c>
      <c r="E73" s="10" t="s">
        <v>77</v>
      </c>
      <c r="F73" t="str">
        <f>IFERROR(VLOOKUP(D73,SPEC001!$B$2:$D$84,2,FALSE),
IFERROR(VLOOKUP(D73,SPEC002!$B$2:$D$86,2,FALSE),
IFERROR(VLOOKUP(D73,SPEC003!$B$2:$D$80,2,FALSE),
IFERROR(VLOOKUP(D73,SPEC004!$B$2:$D$86,2,FALSE),
IFERROR(VLOOKUP(D73,#REF!,2,FALSE), "")))))</f>
        <v/>
      </c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</row>
    <row r="74" spans="4:19" x14ac:dyDescent="0.3">
      <c r="D74" s="8" t="s">
        <v>156</v>
      </c>
      <c r="E74" s="10" t="s">
        <v>77</v>
      </c>
      <c r="F74" t="str">
        <f>IFERROR(VLOOKUP(D74,SPEC001!$B$2:$D$84,2,FALSE),
IFERROR(VLOOKUP(D74,SPEC002!$B$2:$D$86,2,FALSE),
IFERROR(VLOOKUP(D74,SPEC003!$B$2:$D$80,2,FALSE),
IFERROR(VLOOKUP(D74,SPEC004!$B$2:$D$86,2,FALSE),
IFERROR(VLOOKUP(D74,#REF!,2,FALSE), "")))))</f>
        <v/>
      </c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</row>
    <row r="75" spans="4:19" x14ac:dyDescent="0.3">
      <c r="D75" s="8" t="s">
        <v>64</v>
      </c>
      <c r="E75" s="10" t="s">
        <v>77</v>
      </c>
      <c r="F75" t="str">
        <f>IFERROR(VLOOKUP(D75,SPEC001!$B$2:$D$84,2,FALSE),
IFERROR(VLOOKUP(D75,SPEC002!$B$2:$D$86,2,FALSE),
IFERROR(VLOOKUP(D75,SPEC003!$B$2:$D$80,2,FALSE),
IFERROR(VLOOKUP(D75,SPEC004!$B$2:$D$86,2,FALSE),
IFERROR(VLOOKUP(D75,#REF!,2,FALSE), "")))))</f>
        <v>6PPD</v>
      </c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</row>
    <row r="76" spans="4:19" x14ac:dyDescent="0.3">
      <c r="D76" s="8" t="s">
        <v>24</v>
      </c>
      <c r="E76" s="10" t="s">
        <v>77</v>
      </c>
      <c r="F76" t="str">
        <f>IFERROR(VLOOKUP(D76,SPEC001!$B$2:$D$84,2,FALSE),
IFERROR(VLOOKUP(D76,SPEC002!$B$2:$D$86,2,FALSE),
IFERROR(VLOOKUP(D76,SPEC003!$B$2:$D$80,2,FALSE),
IFERROR(VLOOKUP(D76,SPEC004!$B$2:$D$86,2,FALSE),
IFERROR(VLOOKUP(D76,#REF!,2,FALSE), "")))))</f>
        <v>TMQ</v>
      </c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</row>
    <row r="77" spans="4:19" x14ac:dyDescent="0.3">
      <c r="D77" s="8" t="s">
        <v>34</v>
      </c>
      <c r="E77" s="10" t="s">
        <v>77</v>
      </c>
      <c r="F77" t="str">
        <f>IFERROR(VLOOKUP(D77,SPEC001!$B$2:$D$84,2,FALSE),
IFERROR(VLOOKUP(D77,SPEC002!$B$2:$D$86,2,FALSE),
IFERROR(VLOOKUP(D77,SPEC003!$B$2:$D$80,2,FALSE),
IFERROR(VLOOKUP(D77,SPEC004!$B$2:$D$86,2,FALSE),
IFERROR(VLOOKUP(D77,#REF!,2,FALSE), "")))))</f>
        <v>OKERIN 2122 H</v>
      </c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</row>
    <row r="78" spans="4:19" x14ac:dyDescent="0.3">
      <c r="D78" s="8" t="s">
        <v>157</v>
      </c>
      <c r="E78" s="10" t="s">
        <v>77</v>
      </c>
      <c r="F78" t="str">
        <f>IFERROR(VLOOKUP(D78,SPEC001!$B$2:$D$84,2,FALSE),
IFERROR(VLOOKUP(D78,SPEC002!$B$2:$D$86,2,FALSE),
IFERROR(VLOOKUP(D78,SPEC003!$B$2:$D$80,2,FALSE),
IFERROR(VLOOKUP(D78,SPEC004!$B$2:$D$86,2,FALSE),
IFERROR(VLOOKUP(D78,#REF!,2,FALSE), "")))))</f>
        <v/>
      </c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</row>
    <row r="79" spans="4:19" x14ac:dyDescent="0.3">
      <c r="D79" s="8" t="s">
        <v>158</v>
      </c>
      <c r="E79" s="10" t="s">
        <v>77</v>
      </c>
      <c r="F79" t="str">
        <f>IFERROR(VLOOKUP(D79,SPEC001!$B$2:$D$84,2,FALSE),
IFERROR(VLOOKUP(D79,SPEC002!$B$2:$D$86,2,FALSE),
IFERROR(VLOOKUP(D79,SPEC003!$B$2:$D$80,2,FALSE),
IFERROR(VLOOKUP(D79,SPEC004!$B$2:$D$86,2,FALSE),
IFERROR(VLOOKUP(D79,#REF!,2,FALSE), "")))))</f>
        <v/>
      </c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</row>
    <row r="80" spans="4:19" x14ac:dyDescent="0.3">
      <c r="D80" s="8" t="s">
        <v>159</v>
      </c>
      <c r="E80" s="10" t="s">
        <v>77</v>
      </c>
      <c r="F80" t="str">
        <f>IFERROR(VLOOKUP(D80,SPEC001!$B$2:$D$84,2,FALSE),
IFERROR(VLOOKUP(D80,SPEC002!$B$2:$D$86,2,FALSE),
IFERROR(VLOOKUP(D80,SPEC003!$B$2:$D$80,2,FALSE),
IFERROR(VLOOKUP(D80,SPEC004!$B$2:$D$86,2,FALSE),
IFERROR(VLOOKUP(D80,#REF!,2,FALSE), "")))))</f>
        <v/>
      </c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</row>
    <row r="81" spans="4:19" x14ac:dyDescent="0.3">
      <c r="D81" s="8" t="s">
        <v>160</v>
      </c>
      <c r="E81" s="10" t="s">
        <v>77</v>
      </c>
      <c r="F81" t="str">
        <f>IFERROR(VLOOKUP(D81,SPEC001!$B$2:$D$84,2,FALSE),
IFERROR(VLOOKUP(D81,SPEC002!$B$2:$D$86,2,FALSE),
IFERROR(VLOOKUP(D81,SPEC003!$B$2:$D$80,2,FALSE),
IFERROR(VLOOKUP(D81,SPEC004!$B$2:$D$86,2,FALSE),
IFERROR(VLOOKUP(D81,#REF!,2,FALSE), "")))))</f>
        <v/>
      </c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</row>
    <row r="82" spans="4:19" x14ac:dyDescent="0.3">
      <c r="D82" s="8" t="s">
        <v>50</v>
      </c>
      <c r="E82" s="10" t="s">
        <v>77</v>
      </c>
      <c r="F82" t="str">
        <f>IFERROR(VLOOKUP(D82,SPEC001!$B$2:$D$84,2,FALSE),
IFERROR(VLOOKUP(D82,SPEC002!$B$2:$D$86,2,FALSE),
IFERROR(VLOOKUP(D82,SPEC003!$B$2:$D$80,2,FALSE),
IFERROR(VLOOKUP(D82,SPEC004!$B$2:$D$86,2,FALSE),
IFERROR(VLOOKUP(D82,#REF!,2,FALSE), "")))))</f>
        <v>OKERIN 15001 H</v>
      </c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</row>
    <row r="83" spans="4:19" x14ac:dyDescent="0.3">
      <c r="D83" s="8" t="s">
        <v>161</v>
      </c>
      <c r="E83" s="10" t="s">
        <v>77</v>
      </c>
      <c r="F83" t="str">
        <f>IFERROR(VLOOKUP(D83,SPEC001!$B$2:$D$84,2,FALSE),
IFERROR(VLOOKUP(D83,SPEC002!$B$2:$D$86,2,FALSE),
IFERROR(VLOOKUP(D83,SPEC003!$B$2:$D$80,2,FALSE),
IFERROR(VLOOKUP(D83,SPEC004!$B$2:$D$86,2,FALSE),
IFERROR(VLOOKUP(D83,#REF!,2,FALSE), "")))))</f>
        <v/>
      </c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</row>
    <row r="84" spans="4:19" x14ac:dyDescent="0.3">
      <c r="D84" s="8" t="s">
        <v>162</v>
      </c>
      <c r="E84" s="10" t="s">
        <v>77</v>
      </c>
      <c r="F84" t="str">
        <f>IFERROR(VLOOKUP(D84,SPEC001!$B$2:$D$84,2,FALSE),
IFERROR(VLOOKUP(D84,SPEC002!$B$2:$D$86,2,FALSE),
IFERROR(VLOOKUP(D84,SPEC003!$B$2:$D$80,2,FALSE),
IFERROR(VLOOKUP(D84,SPEC004!$B$2:$D$86,2,FALSE),
IFERROR(VLOOKUP(D84,#REF!,2,FALSE), "")))))</f>
        <v/>
      </c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</row>
    <row r="85" spans="4:19" x14ac:dyDescent="0.3">
      <c r="D85" s="8" t="s">
        <v>7</v>
      </c>
      <c r="E85" s="10" t="s">
        <v>77</v>
      </c>
      <c r="F85" t="str">
        <f>IFERROR(VLOOKUP(D85,SPEC001!$B$2:$D$84,2,FALSE),
IFERROR(VLOOKUP(D85,SPEC002!$B$2:$D$86,2,FALSE),
IFERROR(VLOOKUP(D85,SPEC003!$B$2:$D$80,2,FALSE),
IFERROR(VLOOKUP(D85,SPEC004!$B$2:$D$86,2,FALSE),
IFERROR(VLOOKUP(D85,#REF!,2,FALSE), "")))))</f>
        <v>SULFUR</v>
      </c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</row>
    <row r="86" spans="4:19" x14ac:dyDescent="0.3">
      <c r="D86" s="8" t="s">
        <v>27</v>
      </c>
      <c r="E86" s="10" t="s">
        <v>77</v>
      </c>
      <c r="F86" t="str">
        <f>IFERROR(VLOOKUP(D86,SPEC001!$B$2:$D$84,2,FALSE),
IFERROR(VLOOKUP(D86,SPEC002!$B$2:$D$86,2,FALSE),
IFERROR(VLOOKUP(D86,SPEC003!$B$2:$D$80,2,FALSE),
IFERROR(VLOOKUP(D86,SPEC004!$B$2:$D$86,2,FALSE),
IFERROR(VLOOKUP(D86,#REF!,2,FALSE), "")))))</f>
        <v>CRYSTEX OT 20%</v>
      </c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</row>
    <row r="87" spans="4:19" x14ac:dyDescent="0.3">
      <c r="D87" s="8" t="s">
        <v>163</v>
      </c>
      <c r="E87" s="10" t="s">
        <v>77</v>
      </c>
      <c r="F87" t="str">
        <f>IFERROR(VLOOKUP(D87,SPEC001!$B$2:$D$84,2,FALSE),
IFERROR(VLOOKUP(D87,SPEC002!$B$2:$D$86,2,FALSE),
IFERROR(VLOOKUP(D87,SPEC003!$B$2:$D$80,2,FALSE),
IFERROR(VLOOKUP(D87,SPEC004!$B$2:$D$86,2,FALSE),
IFERROR(VLOOKUP(D87,#REF!,2,FALSE), "")))))</f>
        <v/>
      </c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</row>
    <row r="88" spans="4:19" x14ac:dyDescent="0.3">
      <c r="D88" s="8" t="s">
        <v>164</v>
      </c>
      <c r="E88" s="10" t="s">
        <v>77</v>
      </c>
      <c r="F88" t="str">
        <f>IFERROR(VLOOKUP(D88,SPEC001!$B$2:$D$84,2,FALSE),
IFERROR(VLOOKUP(D88,SPEC002!$B$2:$D$86,2,FALSE),
IFERROR(VLOOKUP(D88,SPEC003!$B$2:$D$80,2,FALSE),
IFERROR(VLOOKUP(D88,SPEC004!$B$2:$D$86,2,FALSE),
IFERROR(VLOOKUP(D88,#REF!,2,FALSE), "")))))</f>
        <v/>
      </c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</row>
    <row r="89" spans="4:19" x14ac:dyDescent="0.3">
      <c r="D89" s="8" t="s">
        <v>165</v>
      </c>
      <c r="E89" s="10" t="s">
        <v>77</v>
      </c>
      <c r="F89" t="str">
        <f>IFERROR(VLOOKUP(D89,SPEC001!$B$2:$D$84,2,FALSE),
IFERROR(VLOOKUP(D89,SPEC002!$B$2:$D$86,2,FALSE),
IFERROR(VLOOKUP(D89,SPEC003!$B$2:$D$80,2,FALSE),
IFERROR(VLOOKUP(D89,SPEC004!$B$2:$D$86,2,FALSE),
IFERROR(VLOOKUP(D89,#REF!,2,FALSE), "")))))</f>
        <v>SUMIKANOL 620</v>
      </c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</row>
    <row r="90" spans="4:19" x14ac:dyDescent="0.3">
      <c r="D90" s="8" t="s">
        <v>166</v>
      </c>
      <c r="E90" s="10" t="s">
        <v>77</v>
      </c>
      <c r="F90" t="str">
        <f>IFERROR(VLOOKUP(D90,SPEC001!$B$2:$D$84,2,FALSE),
IFERROR(VLOOKUP(D90,SPEC002!$B$2:$D$86,2,FALSE),
IFERROR(VLOOKUP(D90,SPEC003!$B$2:$D$80,2,FALSE),
IFERROR(VLOOKUP(D90,SPEC004!$B$2:$D$86,2,FALSE),
IFERROR(VLOOKUP(D90,#REF!,2,FALSE), "")))))</f>
        <v>SUMIKANOL-507</v>
      </c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</row>
    <row r="91" spans="4:19" x14ac:dyDescent="0.3">
      <c r="D91" s="8" t="s">
        <v>135</v>
      </c>
      <c r="E91" s="10" t="s">
        <v>77</v>
      </c>
      <c r="F91" t="str">
        <f>IFERROR(VLOOKUP(D91,SPEC001!$B$2:$D$84,2,FALSE),
IFERROR(VLOOKUP(D91,SPEC002!$B$2:$D$86,2,FALSE),
IFERROR(VLOOKUP(D91,SPEC003!$B$2:$D$80,2,FALSE),
IFERROR(VLOOKUP(D91,SPEC004!$B$2:$D$86,2,FALSE),
IFERROR(VLOOKUP(D91,#REF!,2,FALSE), "")))))</f>
        <v>SP-6700</v>
      </c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</row>
    <row r="92" spans="4:19" x14ac:dyDescent="0.3">
      <c r="D92" s="8" t="s">
        <v>123</v>
      </c>
      <c r="E92" s="10" t="s">
        <v>77</v>
      </c>
      <c r="F92" t="str">
        <f>IFERROR(VLOOKUP(D92,SPEC001!$B$2:$D$84,2,FALSE),
IFERROR(VLOOKUP(D92,SPEC002!$B$2:$D$86,2,FALSE),
IFERROR(VLOOKUP(D92,SPEC003!$B$2:$D$80,2,FALSE),
IFERROR(VLOOKUP(D92,SPEC004!$B$2:$D$86,2,FALSE),
IFERROR(VLOOKUP(D92,#REF!,2,FALSE), "")))))</f>
        <v>AKTIPLAST ST</v>
      </c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</row>
    <row r="93" spans="4:19" x14ac:dyDescent="0.3">
      <c r="D93" s="8" t="s">
        <v>125</v>
      </c>
      <c r="E93" s="10" t="s">
        <v>77</v>
      </c>
      <c r="F93" t="str">
        <f>IFERROR(VLOOKUP(D93,SPEC001!$B$2:$D$84,2,FALSE),
IFERROR(VLOOKUP(D93,SPEC002!$B$2:$D$86,2,FALSE),
IFERROR(VLOOKUP(D93,SPEC003!$B$2:$D$80,2,FALSE),
IFERROR(VLOOKUP(D93,SPEC004!$B$2:$D$86,2,FALSE),
IFERROR(VLOOKUP(D93,#REF!,2,FALSE), "")))))</f>
        <v>X 50 S</v>
      </c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</row>
    <row r="94" spans="4:19" x14ac:dyDescent="0.3">
      <c r="D94" s="8" t="s">
        <v>167</v>
      </c>
      <c r="E94" s="10" t="s">
        <v>77</v>
      </c>
      <c r="F94" t="str">
        <f>IFERROR(VLOOKUP(D94,SPEC001!$B$2:$D$84,2,FALSE),
IFERROR(VLOOKUP(D94,SPEC002!$B$2:$D$86,2,FALSE),
IFERROR(VLOOKUP(D94,SPEC003!$B$2:$D$80,2,FALSE),
IFERROR(VLOOKUP(D94,SPEC004!$B$2:$D$86,2,FALSE),
IFERROR(VLOOKUP(D94,#REF!,2,FALSE), "")))))</f>
        <v/>
      </c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</row>
    <row r="95" spans="4:19" x14ac:dyDescent="0.3">
      <c r="D95" s="8" t="s">
        <v>65</v>
      </c>
      <c r="E95" s="10" t="s">
        <v>77</v>
      </c>
      <c r="F95" t="str">
        <f>IFERROR(VLOOKUP(D95,SPEC001!$B$2:$D$84,2,FALSE),
IFERROR(VLOOKUP(D95,SPEC002!$B$2:$D$86,2,FALSE),
IFERROR(VLOOKUP(D95,SPEC003!$B$2:$D$80,2,FALSE),
IFERROR(VLOOKUP(D95,SPEC004!$B$2:$D$86,2,FALSE),
IFERROR(VLOOKUP(D95,#REF!,2,FALSE), "")))))</f>
        <v>ULTRABEND 4000</v>
      </c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</row>
    <row r="96" spans="4:19" x14ac:dyDescent="0.3">
      <c r="D96" s="8" t="s">
        <v>41</v>
      </c>
      <c r="E96" s="10" t="s">
        <v>77</v>
      </c>
      <c r="F96" t="str">
        <f>IFERROR(VLOOKUP(D96,SPEC001!$B$2:$D$84,2,FALSE),
IFERROR(VLOOKUP(D96,SPEC002!$B$2:$D$86,2,FALSE),
IFERROR(VLOOKUP(D96,SPEC003!$B$2:$D$80,2,FALSE),
IFERROR(VLOOKUP(D96,SPEC004!$B$2:$D$86,2,FALSE),
IFERROR(VLOOKUP(D96,#REF!,2,FALSE), "")))))</f>
        <v>RENACIT-11</v>
      </c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</row>
    <row r="97" spans="4:19" x14ac:dyDescent="0.3">
      <c r="D97" s="8" t="s">
        <v>42</v>
      </c>
      <c r="E97" s="10" t="s">
        <v>77</v>
      </c>
      <c r="F97" t="str">
        <f>IFERROR(VLOOKUP(D97,SPEC001!$B$2:$D$84,2,FALSE),
IFERROR(VLOOKUP(D97,SPEC002!$B$2:$D$86,2,FALSE),
IFERROR(VLOOKUP(D97,SPEC003!$B$2:$D$80,2,FALSE),
IFERROR(VLOOKUP(D97,SPEC004!$B$2:$D$86,2,FALSE),
IFERROR(VLOOKUP(D97,#REF!,2,FALSE), "")))))</f>
        <v>Struktol HT105</v>
      </c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</row>
    <row r="98" spans="4:19" x14ac:dyDescent="0.3">
      <c r="D98" s="8" t="s">
        <v>29</v>
      </c>
      <c r="E98" s="10" t="s">
        <v>77</v>
      </c>
      <c r="F98" t="str">
        <f>IFERROR(VLOOKUP(D98,SPEC001!$B$2:$D$84,2,FALSE),
IFERROR(VLOOKUP(D98,SPEC002!$B$2:$D$86,2,FALSE),
IFERROR(VLOOKUP(D98,SPEC003!$B$2:$D$80,2,FALSE),
IFERROR(VLOOKUP(D98,SPEC004!$B$2:$D$86,2,FALSE),
IFERROR(VLOOKUP(D98,#REF!,2,FALSE), "")))))</f>
        <v>PVI</v>
      </c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</row>
    <row r="99" spans="4:19" x14ac:dyDescent="0.3">
      <c r="D99" s="8" t="s">
        <v>16</v>
      </c>
      <c r="E99" s="10" t="s">
        <v>77</v>
      </c>
      <c r="F99" t="str">
        <f>IFERROR(VLOOKUP(D99,SPEC001!$B$2:$D$84,2,FALSE),
IFERROR(VLOOKUP(D99,SPEC002!$B$2:$D$86,2,FALSE),
IFERROR(VLOOKUP(D99,SPEC003!$B$2:$D$80,2,FALSE),
IFERROR(VLOOKUP(D99,SPEC004!$B$2:$D$86,2,FALSE),
IFERROR(VLOOKUP(D99,#REF!,2,FALSE), "")))))</f>
        <v>Magnesium Oxide (MgO)</v>
      </c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</row>
    <row r="100" spans="4:19" x14ac:dyDescent="0.3">
      <c r="D100" s="8" t="s">
        <v>168</v>
      </c>
      <c r="E100" s="10" t="s">
        <v>77</v>
      </c>
      <c r="F100" t="str">
        <f>IFERROR(VLOOKUP(D100,SPEC001!$B$2:$D$84,2,FALSE),
IFERROR(VLOOKUP(D100,SPEC002!$B$2:$D$86,2,FALSE),
IFERROR(VLOOKUP(D100,SPEC003!$B$2:$D$80,2,FALSE),
IFERROR(VLOOKUP(D100,SPEC004!$B$2:$D$86,2,FALSE),
IFERROR(VLOOKUP(D100,#REF!,2,FALSE), "")))))</f>
        <v/>
      </c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</row>
    <row r="101" spans="4:19" x14ac:dyDescent="0.3">
      <c r="D101" s="8" t="s">
        <v>18</v>
      </c>
      <c r="E101" s="10" t="s">
        <v>77</v>
      </c>
      <c r="F101" t="str">
        <f>IFERROR(VLOOKUP(D101,SPEC001!$B$2:$D$84,2,FALSE),
IFERROR(VLOOKUP(D101,SPEC002!$B$2:$D$86,2,FALSE),
IFERROR(VLOOKUP(D101,SPEC003!$B$2:$D$80,2,FALSE),
IFERROR(VLOOKUP(D101,SPEC004!$B$2:$D$86,2,FALSE),
IFERROR(VLOOKUP(D101,#REF!,2,FALSE), "")))))</f>
        <v>ESCOREZ-1102</v>
      </c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</row>
    <row r="102" spans="4:19" x14ac:dyDescent="0.3">
      <c r="D102" s="8" t="s">
        <v>45</v>
      </c>
      <c r="E102" s="10" t="s">
        <v>77</v>
      </c>
      <c r="F102" t="str">
        <f>IFERROR(VLOOKUP(D102,SPEC001!$B$2:$D$84,2,FALSE),
IFERROR(VLOOKUP(D102,SPEC002!$B$2:$D$86,2,FALSE),
IFERROR(VLOOKUP(D102,SPEC003!$B$2:$D$80,2,FALSE),
IFERROR(VLOOKUP(D102,SPEC004!$B$2:$D$86,2,FALSE),
IFERROR(VLOOKUP(D102,#REF!,2,FALSE), "")))))</f>
        <v>SP-1068</v>
      </c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</row>
    <row r="103" spans="4:19" x14ac:dyDescent="0.3">
      <c r="D103" s="8" t="s">
        <v>53</v>
      </c>
      <c r="E103" s="10" t="s">
        <v>77</v>
      </c>
      <c r="F103" t="str">
        <f>IFERROR(VLOOKUP(D103,SPEC001!$B$2:$D$84,2,FALSE),
IFERROR(VLOOKUP(D103,SPEC002!$B$2:$D$86,2,FALSE),
IFERROR(VLOOKUP(D103,SPEC003!$B$2:$D$80,2,FALSE),
IFERROR(VLOOKUP(D103,SPEC004!$B$2:$D$86,2,FALSE),
IFERROR(VLOOKUP(D103,#REF!,2,FALSE), "")))))</f>
        <v>MANOBOND 680C</v>
      </c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</row>
    <row r="104" spans="4:19" x14ac:dyDescent="0.3">
      <c r="D104" s="8" t="s">
        <v>187</v>
      </c>
      <c r="E104" s="10" t="s">
        <v>77</v>
      </c>
      <c r="F104" t="str">
        <f>IFERROR(VLOOKUP(D104,SPEC001!$B$2:$D$84,2,FALSE),
IFERROR(VLOOKUP(D104,SPEC002!$B$2:$D$86,2,FALSE),
IFERROR(VLOOKUP(D104,SPEC003!$B$2:$D$80,2,FALSE),
IFERROR(VLOOKUP(D104,SPEC004!$B$2:$D$86,2,FALSE),
IFERROR(VLOOKUP(D104,#REF!,2,FALSE), "")))))</f>
        <v/>
      </c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</row>
    <row r="105" spans="4:19" x14ac:dyDescent="0.3">
      <c r="D105" s="8" t="s">
        <v>52</v>
      </c>
      <c r="E105" s="10" t="s">
        <v>77</v>
      </c>
      <c r="F105" t="str">
        <f>IFERROR(VLOOKUP(D105,SPEC001!$B$2:$D$84,2,FALSE),
IFERROR(VLOOKUP(D105,SPEC002!$B$2:$D$86,2,FALSE),
IFERROR(VLOOKUP(D105,SPEC003!$B$2:$D$80,2,FALSE),
IFERROR(VLOOKUP(D105,SPEC004!$B$2:$D$86,2,FALSE),
IFERROR(VLOOKUP(D105,#REF!,2,FALSE), "")))))</f>
        <v>ELAZTOBOND A-250</v>
      </c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</row>
    <row r="106" spans="4:19" x14ac:dyDescent="0.3">
      <c r="D106" s="8" t="s">
        <v>55</v>
      </c>
      <c r="E106" s="10" t="s">
        <v>77</v>
      </c>
      <c r="F106" t="str">
        <f>IFERROR(VLOOKUP(D106,SPEC001!$B$2:$D$84,2,FALSE),
IFERROR(VLOOKUP(D106,SPEC002!$B$2:$D$86,2,FALSE),
IFERROR(VLOOKUP(D106,SPEC003!$B$2:$D$80,2,FALSE),
IFERROR(VLOOKUP(D106,SPEC004!$B$2:$D$86,2,FALSE),
IFERROR(VLOOKUP(D106,#REF!,2,FALSE), "")))))</f>
        <v>RA-65</v>
      </c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</row>
    <row r="107" spans="4:19" x14ac:dyDescent="0.3">
      <c r="D107" s="8" t="s">
        <v>169</v>
      </c>
      <c r="E107" s="10" t="s">
        <v>77</v>
      </c>
      <c r="F107" t="str">
        <f>IFERROR(VLOOKUP(D107,SPEC001!$B$2:$D$84,2,FALSE),
IFERROR(VLOOKUP(D107,SPEC002!$B$2:$D$86,2,FALSE),
IFERROR(VLOOKUP(D107,SPEC003!$B$2:$D$80,2,FALSE),
IFERROR(VLOOKUP(D107,SPEC004!$B$2:$D$86,2,FALSE),
IFERROR(VLOOKUP(D107,#REF!,2,FALSE), "")))))</f>
        <v/>
      </c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</row>
    <row r="108" spans="4:19" x14ac:dyDescent="0.3">
      <c r="D108" s="8"/>
      <c r="F108" t="str">
        <f>IFERROR(VLOOKUP(D108,SPEC001!$B$2:$D$84,2,FALSE),
IFERROR(VLOOKUP(D108,SPEC002!$B$2:$D$86,2,FALSE),
IFERROR(VLOOKUP(D108,SPEC003!$B$2:$D$80,2,FALSE),
IFERROR(VLOOKUP(D108,SPEC004!$B$2:$D$86,2,FALSE),
IFERROR(VLOOKUP(D108,#REF!,2,FALSE), "")))))</f>
        <v/>
      </c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</row>
    <row r="109" spans="4:19" x14ac:dyDescent="0.3">
      <c r="D109" s="8"/>
      <c r="F109" t="str">
        <f>IFERROR(VLOOKUP(D109,SPEC001!$B$2:$D$84,2,FALSE),
IFERROR(VLOOKUP(D109,SPEC002!$B$2:$D$86,2,FALSE),
IFERROR(VLOOKUP(D109,SPEC003!$B$2:$D$80,2,FALSE),
IFERROR(VLOOKUP(D109,SPEC004!$B$2:$D$86,2,FALSE),
IFERROR(VLOOKUP(D109,#REF!,2,FALSE), "")))))</f>
        <v/>
      </c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</row>
    <row r="110" spans="4:19" x14ac:dyDescent="0.3">
      <c r="D110" s="8"/>
      <c r="F110" t="str">
        <f>IFERROR(VLOOKUP(D110,SPEC001!$B$2:$D$84,2,FALSE),
IFERROR(VLOOKUP(D110,SPEC002!$B$2:$D$86,2,FALSE),
IFERROR(VLOOKUP(D110,SPEC003!$B$2:$D$80,2,FALSE),
IFERROR(VLOOKUP(D110,SPEC004!$B$2:$D$86,2,FALSE),
IFERROR(VLOOKUP(D110,#REF!,2,FALSE), "")))))</f>
        <v/>
      </c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</row>
    <row r="111" spans="4:19" x14ac:dyDescent="0.3">
      <c r="D111" s="8"/>
      <c r="F111" t="str">
        <f>IFERROR(VLOOKUP(D111,SPEC001!$B$2:$D$84,2,FALSE),
IFERROR(VLOOKUP(D111,SPEC002!$B$2:$D$86,2,FALSE),
IFERROR(VLOOKUP(D111,SPEC003!$B$2:$D$80,2,FALSE),
IFERROR(VLOOKUP(D111,SPEC004!$B$2:$D$86,2,FALSE),
IFERROR(VLOOKUP(D111,#REF!,2,FALSE), "")))))</f>
        <v/>
      </c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</row>
    <row r="112" spans="4:19" x14ac:dyDescent="0.3">
      <c r="D112" s="10" t="s">
        <v>79</v>
      </c>
      <c r="F112" t="str">
        <f>IFERROR(VLOOKUP(D112,SPEC001!$B$2:$D$84,2,FALSE),
IFERROR(VLOOKUP(D112,SPEC002!$B$2:$D$86,2,FALSE),
IFERROR(VLOOKUP(D112,SPEC003!$B$2:$D$80,2,FALSE),
IFERROR(VLOOKUP(D112,SPEC004!$B$2:$D$86,2,FALSE),
IFERROR(VLOOKUP(D112,#REF!,2,FALSE), "")))))</f>
        <v/>
      </c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</row>
    <row r="113" spans="4:19" x14ac:dyDescent="0.3">
      <c r="D113" s="8" t="s">
        <v>170</v>
      </c>
      <c r="E113" s="10" t="s">
        <v>79</v>
      </c>
      <c r="F113" t="str">
        <f>IFERROR(VLOOKUP(D113,SPEC001!$B$2:$D$84,2,FALSE),
IFERROR(VLOOKUP(D113,SPEC002!$B$2:$D$86,2,FALSE),
IFERROR(VLOOKUP(D113,SPEC003!$B$2:$D$80,2,FALSE),
IFERROR(VLOOKUP(D113,SPEC004!$B$2:$D$86,2,FALSE),
IFERROR(VLOOKUP(D113,#REF!,2,FALSE), "")))))</f>
        <v/>
      </c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</row>
    <row r="114" spans="4:19" x14ac:dyDescent="0.3">
      <c r="D114" s="8" t="s">
        <v>143</v>
      </c>
      <c r="E114" s="10" t="s">
        <v>79</v>
      </c>
      <c r="F114" t="str">
        <f>IFERROR(VLOOKUP(D114,SPEC001!$B$2:$D$84,2,FALSE),
IFERROR(VLOOKUP(D114,SPEC002!$B$2:$D$86,2,FALSE),
IFERROR(VLOOKUP(D114,SPEC003!$B$2:$D$80,2,FALSE),
IFERROR(VLOOKUP(D114,SPEC004!$B$2:$D$86,2,FALSE),
IFERROR(VLOOKUP(D114,#REF!,2,FALSE), "")))))</f>
        <v>BEAD WIRE 1.26 MM</v>
      </c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</row>
    <row r="115" spans="4:19" x14ac:dyDescent="0.3">
      <c r="D115" s="8" t="s">
        <v>171</v>
      </c>
      <c r="E115" s="10" t="s">
        <v>79</v>
      </c>
      <c r="F115" t="str">
        <f>IFERROR(VLOOKUP(D115,SPEC001!$B$2:$D$84,2,FALSE),
IFERROR(VLOOKUP(D115,SPEC002!$B$2:$D$86,2,FALSE),
IFERROR(VLOOKUP(D115,SPEC003!$B$2:$D$80,2,FALSE),
IFERROR(VLOOKUP(D115,SPEC004!$B$2:$D$86,2,FALSE),
IFERROR(VLOOKUP(D115,#REF!,2,FALSE), "")))))</f>
        <v/>
      </c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</row>
    <row r="116" spans="4:19" x14ac:dyDescent="0.3">
      <c r="D116" s="8" t="s">
        <v>141</v>
      </c>
      <c r="E116" s="10" t="s">
        <v>79</v>
      </c>
      <c r="F116" t="str">
        <f>IFERROR(VLOOKUP(D116,SPEC001!$B$2:$D$84,2,FALSE),
IFERROR(VLOOKUP(D116,SPEC002!$B$2:$D$86,2,FALSE),
IFERROR(VLOOKUP(D116,SPEC003!$B$2:$D$80,2,FALSE),
IFERROR(VLOOKUP(D116,SPEC004!$B$2:$D$86,2,FALSE),
IFERROR(VLOOKUP(D116,#REF!,2,FALSE), "")))))</f>
        <v>NYLON 66 (840 D/2) 52E</v>
      </c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</row>
    <row r="117" spans="4:19" x14ac:dyDescent="0.3">
      <c r="D117" s="8" t="s">
        <v>172</v>
      </c>
      <c r="E117" s="10" t="s">
        <v>79</v>
      </c>
      <c r="F117" t="str">
        <f>IFERROR(VLOOKUP(D117,SPEC001!$B$2:$D$84,2,FALSE),
IFERROR(VLOOKUP(D117,SPEC002!$B$2:$D$86,2,FALSE),
IFERROR(VLOOKUP(D117,SPEC003!$B$2:$D$80,2,FALSE),
IFERROR(VLOOKUP(D117,SPEC004!$B$2:$D$86,2,FALSE),
IFERROR(VLOOKUP(D117,#REF!,2,FALSE), "")))))</f>
        <v/>
      </c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</row>
    <row r="118" spans="4:19" x14ac:dyDescent="0.3">
      <c r="D118" s="8" t="s">
        <v>173</v>
      </c>
      <c r="E118" s="10" t="s">
        <v>79</v>
      </c>
      <c r="F118" t="str">
        <f>IFERROR(VLOOKUP(D118,SPEC001!$B$2:$D$84,2,FALSE),
IFERROR(VLOOKUP(D118,SPEC002!$B$2:$D$86,2,FALSE),
IFERROR(VLOOKUP(D118,SPEC003!$B$2:$D$80,2,FALSE),
IFERROR(VLOOKUP(D118,SPEC004!$B$2:$D$86,2,FALSE),
IFERROR(VLOOKUP(D118,#REF!,2,FALSE), "")))))</f>
        <v/>
      </c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</row>
    <row r="119" spans="4:19" x14ac:dyDescent="0.3">
      <c r="D119" s="8" t="s">
        <v>174</v>
      </c>
      <c r="E119" s="10" t="s">
        <v>79</v>
      </c>
      <c r="F119" t="str">
        <f>IFERROR(VLOOKUP(D119,SPEC001!$B$2:$D$84,2,FALSE),
IFERROR(VLOOKUP(D119,SPEC002!$B$2:$D$86,2,FALSE),
IFERROR(VLOOKUP(D119,SPEC003!$B$2:$D$80,2,FALSE),
IFERROR(VLOOKUP(D119,SPEC004!$B$2:$D$86,2,FALSE),
IFERROR(VLOOKUP(D119,#REF!,2,FALSE), "")))))</f>
        <v/>
      </c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</row>
    <row r="120" spans="4:19" x14ac:dyDescent="0.3">
      <c r="D120" s="8" t="s">
        <v>175</v>
      </c>
      <c r="E120" s="10" t="s">
        <v>79</v>
      </c>
      <c r="F120" t="str">
        <f>IFERROR(VLOOKUP(D120,SPEC001!$B$2:$D$84,2,FALSE),
IFERROR(VLOOKUP(D120,SPEC002!$B$2:$D$86,2,FALSE),
IFERROR(VLOOKUP(D120,SPEC003!$B$2:$D$80,2,FALSE),
IFERROR(VLOOKUP(D120,SPEC004!$B$2:$D$86,2,FALSE),
IFERROR(VLOOKUP(D120,#REF!,2,FALSE), "")))))</f>
        <v/>
      </c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</row>
    <row r="121" spans="4:19" x14ac:dyDescent="0.3">
      <c r="D121" s="8" t="s">
        <v>176</v>
      </c>
      <c r="E121" s="10" t="s">
        <v>79</v>
      </c>
      <c r="F121" t="str">
        <f>IFERROR(VLOOKUP(D121,SPEC001!$B$2:$D$84,2,FALSE),
IFERROR(VLOOKUP(D121,SPEC002!$B$2:$D$86,2,FALSE),
IFERROR(VLOOKUP(D121,SPEC003!$B$2:$D$80,2,FALSE),
IFERROR(VLOOKUP(D121,SPEC004!$B$2:$D$86,2,FALSE),
IFERROR(VLOOKUP(D121,#REF!,2,FALSE), "")))))</f>
        <v/>
      </c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</row>
    <row r="122" spans="4:19" x14ac:dyDescent="0.3">
      <c r="D122" s="8" t="s">
        <v>186</v>
      </c>
      <c r="E122" s="10" t="s">
        <v>79</v>
      </c>
      <c r="F122" t="str">
        <f>IFERROR(VLOOKUP(D122,SPEC001!$B$2:$D$84,2,FALSE),
IFERROR(VLOOKUP(D122,SPEC002!$B$2:$D$86,2,FALSE),
IFERROR(VLOOKUP(D122,SPEC003!$B$2:$D$80,2,FALSE),
IFERROR(VLOOKUP(D122,SPEC004!$B$2:$D$86,2,FALSE),
IFERROR(VLOOKUP(D122,#REF!,2,FALSE), "")))))</f>
        <v>POLYESTER (1500 D/2) 54E</v>
      </c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</row>
    <row r="123" spans="4:19" x14ac:dyDescent="0.3">
      <c r="D123" s="8" t="s">
        <v>185</v>
      </c>
      <c r="E123" s="10" t="s">
        <v>79</v>
      </c>
      <c r="F123" t="str">
        <f>IFERROR(VLOOKUP(D123,SPEC001!$B$2:$D$84,2,FALSE),
IFERROR(VLOOKUP(D123,SPEC002!$B$2:$D$86,2,FALSE),
IFERROR(VLOOKUP(D123,SPEC003!$B$2:$D$80,2,FALSE),
IFERROR(VLOOKUP(D123,SPEC004!$B$2:$D$86,2,FALSE),
IFERROR(VLOOKUP(D123,#REF!,2,FALSE), "")))))</f>
        <v/>
      </c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</row>
    <row r="124" spans="4:19" x14ac:dyDescent="0.3">
      <c r="D124" s="8" t="s">
        <v>137</v>
      </c>
      <c r="E124" s="10" t="s">
        <v>79</v>
      </c>
      <c r="F124" t="str">
        <f>IFERROR(VLOOKUP(D124,SPEC001!$B$2:$D$84,2,FALSE),
IFERROR(VLOOKUP(D124,SPEC002!$B$2:$D$86,2,FALSE),
IFERROR(VLOOKUP(D124,SPEC003!$B$2:$D$80,2,FALSE),
IFERROR(VLOOKUP(D124,SPEC004!$B$2:$D$86,2,FALSE),
IFERROR(VLOOKUP(D124,#REF!,2,FALSE), "")))))</f>
        <v>POLYESTER (1500 D/2) 54E</v>
      </c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</row>
    <row r="125" spans="4:19" x14ac:dyDescent="0.3">
      <c r="D125" s="8" t="s">
        <v>177</v>
      </c>
      <c r="E125" s="10" t="s">
        <v>79</v>
      </c>
      <c r="F125" t="str">
        <f>IFERROR(VLOOKUP(D125,SPEC001!$B$2:$D$84,2,FALSE),
IFERROR(VLOOKUP(D125,SPEC002!$B$2:$D$86,2,FALSE),
IFERROR(VLOOKUP(D125,SPEC003!$B$2:$D$80,2,FALSE),
IFERROR(VLOOKUP(D125,SPEC004!$B$2:$D$86,2,FALSE),
IFERROR(VLOOKUP(D125,#REF!,2,FALSE), "")))))</f>
        <v/>
      </c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</row>
    <row r="126" spans="4:19" x14ac:dyDescent="0.3">
      <c r="D126" s="8" t="s">
        <v>178</v>
      </c>
      <c r="E126" s="10" t="s">
        <v>79</v>
      </c>
      <c r="F126" t="str">
        <f>IFERROR(VLOOKUP(D126,SPEC001!$B$2:$D$84,2,FALSE),
IFERROR(VLOOKUP(D126,SPEC002!$B$2:$D$86,2,FALSE),
IFERROR(VLOOKUP(D126,SPEC003!$B$2:$D$80,2,FALSE),
IFERROR(VLOOKUP(D126,SPEC004!$B$2:$D$86,2,FALSE),
IFERROR(VLOOKUP(D126,#REF!,2,FALSE), "")))))</f>
        <v/>
      </c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</row>
    <row r="127" spans="4:19" x14ac:dyDescent="0.3">
      <c r="D127" s="8" t="s">
        <v>179</v>
      </c>
      <c r="E127" s="10" t="s">
        <v>79</v>
      </c>
      <c r="F127" t="str">
        <f>IFERROR(VLOOKUP(D127,SPEC001!$B$2:$D$84,2,FALSE),
IFERROR(VLOOKUP(D127,SPEC002!$B$2:$D$86,2,FALSE),
IFERROR(VLOOKUP(D127,SPEC003!$B$2:$D$80,2,FALSE),
IFERROR(VLOOKUP(D127,SPEC004!$B$2:$D$86,2,FALSE),
IFERROR(VLOOKUP(D127,#REF!,2,FALSE), "")))))</f>
        <v/>
      </c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</row>
    <row r="128" spans="4:19" x14ac:dyDescent="0.3">
      <c r="D128" s="8" t="s">
        <v>180</v>
      </c>
      <c r="E128" s="10" t="s">
        <v>79</v>
      </c>
      <c r="F128" t="str">
        <f>IFERROR(VLOOKUP(D128,SPEC001!$B$2:$D$84,2,FALSE),
IFERROR(VLOOKUP(D128,SPEC002!$B$2:$D$86,2,FALSE),
IFERROR(VLOOKUP(D128,SPEC003!$B$2:$D$80,2,FALSE),
IFERROR(VLOOKUP(D128,SPEC004!$B$2:$D$86,2,FALSE),
IFERROR(VLOOKUP(D128,#REF!,2,FALSE), "")))))</f>
        <v/>
      </c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</row>
    <row r="129" spans="4:19" x14ac:dyDescent="0.3">
      <c r="D129" s="8" t="s">
        <v>139</v>
      </c>
      <c r="E129" s="10" t="s">
        <v>79</v>
      </c>
      <c r="F129" t="str">
        <f>IFERROR(VLOOKUP(D129,SPEC001!$B$2:$D$84,2,FALSE),
IFERROR(VLOOKUP(D129,SPEC002!$B$2:$D$86,2,FALSE),
IFERROR(VLOOKUP(D129,SPEC003!$B$2:$D$80,2,FALSE),
IFERROR(VLOOKUP(D129,SPEC004!$B$2:$D$86,2,FALSE),
IFERROR(VLOOKUP(D129,#REF!,2,FALSE), "")))))</f>
        <v>STEEL CORD 3×0.27 HT</v>
      </c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</row>
    <row r="130" spans="4:19" x14ac:dyDescent="0.3">
      <c r="D130" s="8" t="s">
        <v>181</v>
      </c>
      <c r="E130" s="10" t="s">
        <v>79</v>
      </c>
      <c r="F130" t="str">
        <f>IFERROR(VLOOKUP(D130,SPEC001!$B$2:$D$84,2,FALSE),
IFERROR(VLOOKUP(D130,SPEC002!$B$2:$D$86,2,FALSE),
IFERROR(VLOOKUP(D130,SPEC003!$B$2:$D$80,2,FALSE),
IFERROR(VLOOKUP(D130,SPEC004!$B$2:$D$86,2,FALSE),
IFERROR(VLOOKUP(D130,#REF!,2,FALSE), "")))))</f>
        <v/>
      </c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</row>
    <row r="131" spans="4:19" x14ac:dyDescent="0.3">
      <c r="D131" s="8" t="s">
        <v>182</v>
      </c>
      <c r="E131" s="10" t="s">
        <v>79</v>
      </c>
      <c r="F131" t="str">
        <f>IFERROR(VLOOKUP(D131,SPEC001!$B$2:$D$84,2,FALSE),
IFERROR(VLOOKUP(D131,SPEC002!$B$2:$D$86,2,FALSE),
IFERROR(VLOOKUP(D131,SPEC003!$B$2:$D$80,2,FALSE),
IFERROR(VLOOKUP(D131,SPEC004!$B$2:$D$86,2,FALSE),
IFERROR(VLOOKUP(D131,#REF!,2,FALSE), "")))))</f>
        <v/>
      </c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</row>
    <row r="132" spans="4:19" x14ac:dyDescent="0.3">
      <c r="D132" s="8"/>
      <c r="F132" t="str">
        <f>IFERROR(VLOOKUP(D132,SPEC001!$B$2:$D$84,2,FALSE),
IFERROR(VLOOKUP(D132,SPEC002!$B$2:$D$86,2,FALSE),
IFERROR(VLOOKUP(D132,SPEC003!$B$2:$D$80,2,FALSE),
IFERROR(VLOOKUP(D132,SPEC004!$B$2:$D$86,2,FALSE),
IFERROR(VLOOKUP(D132,#REF!,2,FALSE), "")))))</f>
        <v/>
      </c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</row>
    <row r="133" spans="4:19" x14ac:dyDescent="0.3">
      <c r="D133" s="8"/>
      <c r="F133" t="str">
        <f>IFERROR(VLOOKUP(D133,SPEC001!$B$2:$D$84,2,FALSE),
IFERROR(VLOOKUP(D133,SPEC002!$B$2:$D$86,2,FALSE),
IFERROR(VLOOKUP(D133,SPEC003!$B$2:$D$80,2,FALSE),
IFERROR(VLOOKUP(D133,SPEC004!$B$2:$D$86,2,FALSE),
IFERROR(VLOOKUP(D133,#REF!,2,FALSE), "")))))</f>
        <v/>
      </c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</row>
    <row r="134" spans="4:19" x14ac:dyDescent="0.3">
      <c r="D134" s="8"/>
      <c r="F134" t="str">
        <f>IFERROR(VLOOKUP(D134,SPEC001!$B$2:$D$84,2,FALSE),
IFERROR(VLOOKUP(D134,SPEC002!$B$2:$D$86,2,FALSE),
IFERROR(VLOOKUP(D134,SPEC003!$B$2:$D$80,2,FALSE),
IFERROR(VLOOKUP(D134,SPEC004!$B$2:$D$86,2,FALSE),
IFERROR(VLOOKUP(D134,#REF!,2,FALSE), "")))))</f>
        <v/>
      </c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</row>
    <row r="135" spans="4:19" x14ac:dyDescent="0.3">
      <c r="D135" s="8"/>
      <c r="F135" t="str">
        <f>IFERROR(VLOOKUP(D135,SPEC001!$B$2:$D$84,2,FALSE),
IFERROR(VLOOKUP(D135,SPEC002!$B$2:$D$86,2,FALSE),
IFERROR(VLOOKUP(D135,SPEC003!$B$2:$D$80,2,FALSE),
IFERROR(VLOOKUP(D135,SPEC004!$B$2:$D$86,2,FALSE),
IFERROR(VLOOKUP(D135,#REF!,2,FALSE), "")))))</f>
        <v/>
      </c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</row>
    <row r="136" spans="4:19" x14ac:dyDescent="0.3">
      <c r="D136" s="8"/>
      <c r="F136" t="str">
        <f>IFERROR(VLOOKUP(D136,SPEC001!$B$2:$D$84,2,FALSE),
IFERROR(VLOOKUP(D136,SPEC002!$B$2:$D$86,2,FALSE),
IFERROR(VLOOKUP(D136,SPEC003!$B$2:$D$80,2,FALSE),
IFERROR(VLOOKUP(D136,SPEC004!$B$2:$D$86,2,FALSE),
IFERROR(VLOOKUP(D136,#REF!,2,FALSE), "")))))</f>
        <v/>
      </c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</row>
    <row r="137" spans="4:19" x14ac:dyDescent="0.3">
      <c r="D137" s="8"/>
      <c r="F137" t="str">
        <f>IFERROR(VLOOKUP(D137,SPEC001!$B$2:$D$84,2,FALSE),
IFERROR(VLOOKUP(D137,SPEC002!$B$2:$D$86,2,FALSE),
IFERROR(VLOOKUP(D137,SPEC003!$B$2:$D$80,2,FALSE),
IFERROR(VLOOKUP(D137,SPEC004!$B$2:$D$86,2,FALSE),
IFERROR(VLOOKUP(D137,#REF!,2,FALSE), "")))))</f>
        <v/>
      </c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</row>
    <row r="138" spans="4:19" x14ac:dyDescent="0.3">
      <c r="D138" s="8"/>
      <c r="F138" t="str">
        <f>IFERROR(VLOOKUP(D138,SPEC001!$B$2:$D$84,2,FALSE),
IFERROR(VLOOKUP(D138,SPEC002!$B$2:$D$86,2,FALSE),
IFERROR(VLOOKUP(D138,SPEC003!$B$2:$D$80,2,FALSE),
IFERROR(VLOOKUP(D138,SPEC004!$B$2:$D$86,2,FALSE),
IFERROR(VLOOKUP(D138,#REF!,2,FALSE), "")))))</f>
        <v/>
      </c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</row>
    <row r="139" spans="4:19" x14ac:dyDescent="0.3">
      <c r="D139" s="8"/>
      <c r="F139" t="str">
        <f>IFERROR(VLOOKUP(D139,SPEC001!$B$2:$D$84,2,FALSE),
IFERROR(VLOOKUP(D139,SPEC002!$B$2:$D$86,2,FALSE),
IFERROR(VLOOKUP(D139,SPEC003!$B$2:$D$80,2,FALSE),
IFERROR(VLOOKUP(D139,SPEC004!$B$2:$D$86,2,FALSE),
IFERROR(VLOOKUP(D139,#REF!,2,FALSE), "")))))</f>
        <v/>
      </c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</row>
    <row r="140" spans="4:19" x14ac:dyDescent="0.3">
      <c r="D140" s="8"/>
      <c r="F140" t="str">
        <f>IFERROR(VLOOKUP(D140,SPEC001!$B$2:$D$84,2,FALSE),
IFERROR(VLOOKUP(D140,SPEC002!$B$2:$D$86,2,FALSE),
IFERROR(VLOOKUP(D140,SPEC003!$B$2:$D$80,2,FALSE),
IFERROR(VLOOKUP(D140,SPEC004!$B$2:$D$86,2,FALSE),
IFERROR(VLOOKUP(D140,#REF!,2,FALSE), "")))))</f>
        <v/>
      </c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</row>
    <row r="141" spans="4:19" x14ac:dyDescent="0.3">
      <c r="D141" s="8"/>
      <c r="F141" t="str">
        <f>IFERROR(VLOOKUP(D141,SPEC001!$B$2:$D$84,2,FALSE),
IFERROR(VLOOKUP(D141,SPEC002!$B$2:$D$86,2,FALSE),
IFERROR(VLOOKUP(D141,SPEC003!$B$2:$D$80,2,FALSE),
IFERROR(VLOOKUP(D141,SPEC004!$B$2:$D$86,2,FALSE),
IFERROR(VLOOKUP(D141,#REF!,2,FALSE), "")))))</f>
        <v/>
      </c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</row>
    <row r="142" spans="4:19" x14ac:dyDescent="0.3">
      <c r="D142" s="10" t="s">
        <v>80</v>
      </c>
      <c r="F142" t="str">
        <f>IFERROR(VLOOKUP(D142,SPEC001!$B$2:$D$84,2,FALSE),
IFERROR(VLOOKUP(D142,SPEC002!$B$2:$D$86,2,FALSE),
IFERROR(VLOOKUP(D142,SPEC003!$B$2:$D$80,2,FALSE),
IFERROR(VLOOKUP(D142,SPEC004!$B$2:$D$86,2,FALSE),
IFERROR(VLOOKUP(D142,#REF!,2,FALSE), "")))))</f>
        <v/>
      </c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</row>
    <row r="143" spans="4:19" x14ac:dyDescent="0.3">
      <c r="D143" s="8"/>
      <c r="E143" s="10" t="s">
        <v>80</v>
      </c>
      <c r="F143" t="str">
        <f>IFERROR(VLOOKUP(D143,SPEC001!$B$2:$D$84,2,FALSE),
IFERROR(VLOOKUP(D143,SPEC002!$B$2:$D$86,2,FALSE),
IFERROR(VLOOKUP(D143,SPEC003!$B$2:$D$80,2,FALSE),
IFERROR(VLOOKUP(D143,SPEC004!$B$2:$D$86,2,FALSE),
IFERROR(VLOOKUP(D143,#REF!,2,FALSE), "")))))</f>
        <v/>
      </c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</row>
    <row r="144" spans="4:19" x14ac:dyDescent="0.3">
      <c r="D144" s="8"/>
      <c r="E144" s="10" t="s">
        <v>80</v>
      </c>
      <c r="F144" t="str">
        <f>IFERROR(VLOOKUP(D144,SPEC001!$B$2:$D$84,2,FALSE),
IFERROR(VLOOKUP(D144,SPEC002!$B$2:$D$86,2,FALSE),
IFERROR(VLOOKUP(D144,SPEC003!$B$2:$D$80,2,FALSE),
IFERROR(VLOOKUP(D144,SPEC004!$B$2:$D$86,2,FALSE),
IFERROR(VLOOKUP(D144,#REF!,2,FALSE), "")))))</f>
        <v/>
      </c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</row>
    <row r="145" spans="9:19" x14ac:dyDescent="0.3">
      <c r="I145" s="60" t="s">
        <v>70</v>
      </c>
      <c r="J145" s="61" t="s">
        <v>71</v>
      </c>
      <c r="K145" s="46" t="s">
        <v>72</v>
      </c>
      <c r="L145" s="59" t="s">
        <v>73</v>
      </c>
      <c r="M145" s="46" t="s">
        <v>74</v>
      </c>
      <c r="N145" s="46" t="s">
        <v>75</v>
      </c>
      <c r="O145" s="46" t="s">
        <v>76</v>
      </c>
      <c r="P145" s="46" t="s">
        <v>78</v>
      </c>
      <c r="Q145" s="46" t="s">
        <v>77</v>
      </c>
      <c r="R145" s="46" t="s">
        <v>79</v>
      </c>
      <c r="S145" s="46" t="s">
        <v>80</v>
      </c>
    </row>
  </sheetData>
  <customSheetViews>
    <customSheetView guid="{5C7B38D6-29D9-4C20-A92E-817BB499D35F}" topLeftCell="A22">
      <selection activeCell="D52" sqref="D5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3DB9-CCB9-48B6-9F2A-78C5C1FF0354}">
  <sheetPr codeName="Sheet10"/>
  <dimension ref="A1:Q337"/>
  <sheetViews>
    <sheetView zoomScale="70" zoomScaleNormal="70" workbookViewId="0">
      <selection activeCell="A2" sqref="A2:J367"/>
    </sheetView>
  </sheetViews>
  <sheetFormatPr defaultRowHeight="14.4" x14ac:dyDescent="0.3"/>
  <cols>
    <col min="1" max="1" width="16.6640625" bestFit="1" customWidth="1"/>
    <col min="2" max="2" width="8" bestFit="1" customWidth="1"/>
    <col min="3" max="3" width="5" bestFit="1" customWidth="1"/>
    <col min="4" max="4" width="6.44140625" bestFit="1" customWidth="1"/>
    <col min="5" max="5" width="15.6640625" bestFit="1" customWidth="1"/>
    <col min="7" max="7" width="12" bestFit="1" customWidth="1"/>
    <col min="8" max="8" width="20.88671875" style="54" customWidth="1"/>
    <col min="9" max="9" width="12.33203125" bestFit="1" customWidth="1"/>
    <col min="10" max="10" width="38.44140625" customWidth="1"/>
  </cols>
  <sheetData>
    <row r="1" spans="1:17" x14ac:dyDescent="0.3">
      <c r="A1" s="53" t="s">
        <v>239</v>
      </c>
      <c r="B1" s="53" t="s">
        <v>240</v>
      </c>
      <c r="C1" s="53" t="s">
        <v>236</v>
      </c>
      <c r="D1" s="53" t="s">
        <v>237</v>
      </c>
      <c r="E1" s="53" t="s">
        <v>241</v>
      </c>
      <c r="F1" s="53" t="s">
        <v>242</v>
      </c>
      <c r="G1" s="53" t="s">
        <v>243</v>
      </c>
      <c r="H1" s="53" t="s">
        <v>238</v>
      </c>
      <c r="I1" s="53" t="s">
        <v>249</v>
      </c>
      <c r="J1" s="53" t="s">
        <v>255</v>
      </c>
      <c r="K1" s="44"/>
      <c r="L1" s="244" t="s">
        <v>13</v>
      </c>
      <c r="M1" s="244"/>
      <c r="N1" s="244" t="s">
        <v>14</v>
      </c>
      <c r="O1" s="244"/>
      <c r="P1" s="244" t="s">
        <v>60</v>
      </c>
      <c r="Q1" s="244"/>
    </row>
    <row r="2" spans="1:17" x14ac:dyDescent="0.3">
      <c r="A2" s="39">
        <v>45824.46503472222</v>
      </c>
      <c r="B2" t="s">
        <v>223</v>
      </c>
      <c r="C2">
        <v>11</v>
      </c>
      <c r="D2" t="s">
        <v>368</v>
      </c>
      <c r="E2" t="s">
        <v>31</v>
      </c>
      <c r="F2">
        <v>0.2145</v>
      </c>
      <c r="G2">
        <v>0.10725</v>
      </c>
      <c r="H2" s="54">
        <v>40177324</v>
      </c>
      <c r="I2" t="s">
        <v>386</v>
      </c>
      <c r="J2" t="s">
        <v>369</v>
      </c>
    </row>
    <row r="3" spans="1:17" x14ac:dyDescent="0.3">
      <c r="A3" s="39">
        <v>45824.46503472222</v>
      </c>
      <c r="B3" t="s">
        <v>223</v>
      </c>
      <c r="C3">
        <v>82</v>
      </c>
      <c r="D3" t="s">
        <v>368</v>
      </c>
      <c r="E3" t="s">
        <v>44</v>
      </c>
      <c r="F3">
        <v>0.29935</v>
      </c>
      <c r="G3">
        <v>0.149675</v>
      </c>
      <c r="H3" s="54">
        <v>40177324</v>
      </c>
      <c r="I3" t="s">
        <v>461</v>
      </c>
      <c r="J3" t="s">
        <v>369</v>
      </c>
    </row>
    <row r="4" spans="1:17" x14ac:dyDescent="0.3">
      <c r="A4" s="39">
        <v>45824.46503472222</v>
      </c>
      <c r="B4" t="s">
        <v>223</v>
      </c>
      <c r="C4">
        <v>83</v>
      </c>
      <c r="D4" t="s">
        <v>368</v>
      </c>
      <c r="E4" t="s">
        <v>38</v>
      </c>
      <c r="F4">
        <v>0.46</v>
      </c>
      <c r="G4">
        <v>0.23</v>
      </c>
      <c r="H4" s="54">
        <v>40177324</v>
      </c>
      <c r="I4" t="s">
        <v>429</v>
      </c>
      <c r="J4" t="s">
        <v>369</v>
      </c>
    </row>
    <row r="5" spans="1:17" x14ac:dyDescent="0.3">
      <c r="A5" s="39">
        <v>45824.46503472222</v>
      </c>
      <c r="B5" t="s">
        <v>223</v>
      </c>
      <c r="C5">
        <v>37</v>
      </c>
      <c r="D5" t="s">
        <v>387</v>
      </c>
      <c r="E5" t="s">
        <v>386</v>
      </c>
      <c r="G5" t="s">
        <v>386</v>
      </c>
      <c r="H5" s="54">
        <v>40177324</v>
      </c>
      <c r="I5" t="s">
        <v>386</v>
      </c>
      <c r="J5" t="s">
        <v>388</v>
      </c>
    </row>
    <row r="6" spans="1:17" x14ac:dyDescent="0.3">
      <c r="A6" s="39">
        <v>45824.465046296296</v>
      </c>
      <c r="B6" t="s">
        <v>223</v>
      </c>
      <c r="C6">
        <v>37</v>
      </c>
      <c r="D6" t="s">
        <v>368</v>
      </c>
      <c r="E6" t="s">
        <v>386</v>
      </c>
      <c r="F6">
        <v>0</v>
      </c>
      <c r="G6">
        <v>0.10725</v>
      </c>
      <c r="H6" s="54">
        <v>40177324</v>
      </c>
      <c r="I6" t="s">
        <v>386</v>
      </c>
      <c r="J6" t="s">
        <v>389</v>
      </c>
    </row>
    <row r="7" spans="1:17" x14ac:dyDescent="0.3">
      <c r="A7" s="39">
        <v>45824.465046296296</v>
      </c>
      <c r="B7" t="s">
        <v>223</v>
      </c>
      <c r="C7">
        <v>98</v>
      </c>
      <c r="D7" t="s">
        <v>387</v>
      </c>
      <c r="E7" t="s">
        <v>461</v>
      </c>
      <c r="G7" t="s">
        <v>461</v>
      </c>
      <c r="H7" s="54">
        <v>40177324</v>
      </c>
      <c r="I7" t="s">
        <v>461</v>
      </c>
      <c r="J7" t="s">
        <v>388</v>
      </c>
    </row>
    <row r="8" spans="1:17" x14ac:dyDescent="0.3">
      <c r="A8" s="39">
        <v>45824.465046296296</v>
      </c>
      <c r="B8" t="s">
        <v>223</v>
      </c>
      <c r="C8">
        <v>98</v>
      </c>
      <c r="D8" t="s">
        <v>368</v>
      </c>
      <c r="E8" t="s">
        <v>461</v>
      </c>
      <c r="F8">
        <v>0</v>
      </c>
      <c r="G8">
        <v>0.149675</v>
      </c>
      <c r="H8" s="54">
        <v>40177324</v>
      </c>
      <c r="I8" t="s">
        <v>461</v>
      </c>
      <c r="J8" t="s">
        <v>389</v>
      </c>
    </row>
    <row r="9" spans="1:17" x14ac:dyDescent="0.3">
      <c r="A9" s="39">
        <v>45824.465046296296</v>
      </c>
      <c r="B9" t="s">
        <v>223</v>
      </c>
      <c r="C9">
        <v>98</v>
      </c>
      <c r="D9" t="s">
        <v>387</v>
      </c>
      <c r="E9" t="s">
        <v>429</v>
      </c>
      <c r="G9" t="s">
        <v>429</v>
      </c>
      <c r="H9" s="54">
        <v>40177324</v>
      </c>
      <c r="I9" t="s">
        <v>429</v>
      </c>
      <c r="J9" t="s">
        <v>388</v>
      </c>
    </row>
    <row r="10" spans="1:17" x14ac:dyDescent="0.3">
      <c r="A10" s="39">
        <v>45824.465046296296</v>
      </c>
      <c r="B10" t="s">
        <v>223</v>
      </c>
      <c r="C10">
        <v>98</v>
      </c>
      <c r="D10" t="s">
        <v>368</v>
      </c>
      <c r="E10" t="s">
        <v>429</v>
      </c>
      <c r="F10">
        <v>0</v>
      </c>
      <c r="G10">
        <v>0.23</v>
      </c>
      <c r="H10" s="54">
        <v>40177324</v>
      </c>
      <c r="I10" t="s">
        <v>429</v>
      </c>
      <c r="J10" t="s">
        <v>389</v>
      </c>
    </row>
    <row r="11" spans="1:17" x14ac:dyDescent="0.3">
      <c r="A11" s="39">
        <v>45824.465046296296</v>
      </c>
      <c r="B11" t="s">
        <v>58</v>
      </c>
      <c r="C11">
        <v>11</v>
      </c>
      <c r="D11" t="s">
        <v>368</v>
      </c>
      <c r="E11" t="s">
        <v>31</v>
      </c>
      <c r="F11">
        <v>0.15759999999999999</v>
      </c>
      <c r="G11">
        <v>7.8799999999999995E-2</v>
      </c>
      <c r="H11" s="54">
        <v>40177324</v>
      </c>
      <c r="I11" t="s">
        <v>386</v>
      </c>
      <c r="J11" t="s">
        <v>369</v>
      </c>
    </row>
    <row r="12" spans="1:17" x14ac:dyDescent="0.3">
      <c r="A12" s="39">
        <v>45824.465046296296</v>
      </c>
      <c r="B12" t="s">
        <v>58</v>
      </c>
      <c r="C12">
        <v>83</v>
      </c>
      <c r="D12" t="s">
        <v>368</v>
      </c>
      <c r="E12" t="s">
        <v>44</v>
      </c>
      <c r="F12">
        <v>0.33200000000000002</v>
      </c>
      <c r="G12">
        <v>0.16600000000000001</v>
      </c>
      <c r="H12" s="54">
        <v>40177324</v>
      </c>
      <c r="I12" t="s">
        <v>461</v>
      </c>
      <c r="J12" t="s">
        <v>369</v>
      </c>
    </row>
    <row r="13" spans="1:17" x14ac:dyDescent="0.3">
      <c r="A13" s="39">
        <v>45824.465046296296</v>
      </c>
      <c r="B13" t="s">
        <v>58</v>
      </c>
      <c r="C13">
        <v>84</v>
      </c>
      <c r="D13" t="s">
        <v>368</v>
      </c>
      <c r="E13" t="s">
        <v>38</v>
      </c>
      <c r="F13">
        <v>0.83320000000000005</v>
      </c>
      <c r="G13">
        <v>0.41660000000000003</v>
      </c>
      <c r="H13" s="54">
        <v>40177324</v>
      </c>
      <c r="I13" t="s">
        <v>429</v>
      </c>
      <c r="J13" t="s">
        <v>369</v>
      </c>
    </row>
    <row r="14" spans="1:17" x14ac:dyDescent="0.3">
      <c r="A14" s="39">
        <v>45824.465046296296</v>
      </c>
      <c r="B14" t="s">
        <v>58</v>
      </c>
      <c r="C14">
        <v>38</v>
      </c>
      <c r="D14" t="s">
        <v>387</v>
      </c>
      <c r="E14" t="s">
        <v>386</v>
      </c>
      <c r="G14" t="s">
        <v>386</v>
      </c>
      <c r="H14" s="54">
        <v>40177324</v>
      </c>
      <c r="I14" t="s">
        <v>386</v>
      </c>
      <c r="J14" t="s">
        <v>388</v>
      </c>
    </row>
    <row r="15" spans="1:17" x14ac:dyDescent="0.3">
      <c r="A15" s="39">
        <v>45824.465046296296</v>
      </c>
      <c r="B15" t="s">
        <v>58</v>
      </c>
      <c r="C15">
        <v>38</v>
      </c>
      <c r="D15" t="s">
        <v>368</v>
      </c>
      <c r="E15" t="s">
        <v>386</v>
      </c>
      <c r="F15">
        <v>0</v>
      </c>
      <c r="G15">
        <v>7.8799999999999995E-2</v>
      </c>
      <c r="H15" s="54">
        <v>40177324</v>
      </c>
      <c r="I15" t="s">
        <v>386</v>
      </c>
      <c r="J15" t="s">
        <v>389</v>
      </c>
    </row>
    <row r="16" spans="1:17" x14ac:dyDescent="0.3">
      <c r="A16" s="39">
        <v>45824.465046296296</v>
      </c>
      <c r="B16" t="s">
        <v>58</v>
      </c>
      <c r="C16">
        <v>99</v>
      </c>
      <c r="D16" t="s">
        <v>387</v>
      </c>
      <c r="E16" t="s">
        <v>461</v>
      </c>
      <c r="G16" t="s">
        <v>461</v>
      </c>
      <c r="H16" s="54">
        <v>40177324</v>
      </c>
      <c r="I16" t="s">
        <v>461</v>
      </c>
      <c r="J16" t="s">
        <v>388</v>
      </c>
    </row>
    <row r="17" spans="1:10" x14ac:dyDescent="0.3">
      <c r="A17" s="39">
        <v>45824.465046296296</v>
      </c>
      <c r="B17" t="s">
        <v>58</v>
      </c>
      <c r="C17">
        <v>99</v>
      </c>
      <c r="D17" t="s">
        <v>368</v>
      </c>
      <c r="E17" t="s">
        <v>461</v>
      </c>
      <c r="F17">
        <v>0</v>
      </c>
      <c r="G17">
        <v>0.16600000000000001</v>
      </c>
      <c r="H17" s="54">
        <v>40177324</v>
      </c>
      <c r="I17" t="s">
        <v>461</v>
      </c>
      <c r="J17" t="s">
        <v>389</v>
      </c>
    </row>
    <row r="18" spans="1:10" x14ac:dyDescent="0.3">
      <c r="A18" s="39">
        <v>45824.465046296296</v>
      </c>
      <c r="B18" t="s">
        <v>58</v>
      </c>
      <c r="C18">
        <v>99</v>
      </c>
      <c r="D18" t="s">
        <v>387</v>
      </c>
      <c r="E18" t="s">
        <v>429</v>
      </c>
      <c r="G18" t="s">
        <v>429</v>
      </c>
      <c r="H18" s="54">
        <v>40177324</v>
      </c>
      <c r="I18" t="s">
        <v>429</v>
      </c>
      <c r="J18" t="s">
        <v>388</v>
      </c>
    </row>
    <row r="19" spans="1:10" x14ac:dyDescent="0.3">
      <c r="A19" s="39">
        <v>45824.465046296296</v>
      </c>
      <c r="B19" t="s">
        <v>58</v>
      </c>
      <c r="C19">
        <v>99</v>
      </c>
      <c r="D19" t="s">
        <v>368</v>
      </c>
      <c r="E19" t="s">
        <v>429</v>
      </c>
      <c r="F19">
        <v>0</v>
      </c>
      <c r="G19">
        <v>0.41660000000000003</v>
      </c>
      <c r="H19" s="54">
        <v>40177324</v>
      </c>
      <c r="I19" t="s">
        <v>429</v>
      </c>
      <c r="J19" t="s">
        <v>389</v>
      </c>
    </row>
    <row r="20" spans="1:10" x14ac:dyDescent="0.3">
      <c r="A20" s="39">
        <v>45824.465046296296</v>
      </c>
      <c r="B20" t="s">
        <v>217</v>
      </c>
      <c r="C20">
        <v>11</v>
      </c>
      <c r="D20" t="s">
        <v>368</v>
      </c>
      <c r="E20" t="s">
        <v>31</v>
      </c>
      <c r="F20">
        <v>0.81889999999999996</v>
      </c>
      <c r="G20">
        <v>0.40944999999999998</v>
      </c>
      <c r="H20" s="54">
        <v>40177324</v>
      </c>
      <c r="I20" t="s">
        <v>386</v>
      </c>
      <c r="J20" t="s">
        <v>369</v>
      </c>
    </row>
    <row r="21" spans="1:10" x14ac:dyDescent="0.3">
      <c r="A21" s="39">
        <v>45824.465046296296</v>
      </c>
      <c r="B21" t="s">
        <v>217</v>
      </c>
      <c r="C21">
        <v>83</v>
      </c>
      <c r="D21" t="s">
        <v>368</v>
      </c>
      <c r="E21" t="s">
        <v>44</v>
      </c>
      <c r="F21">
        <v>5.6250000000000001E-2</v>
      </c>
      <c r="G21">
        <v>2.8125000000000001E-2</v>
      </c>
      <c r="H21" s="54">
        <v>40177324</v>
      </c>
      <c r="I21" t="s">
        <v>461</v>
      </c>
      <c r="J21" t="s">
        <v>369</v>
      </c>
    </row>
    <row r="22" spans="1:10" x14ac:dyDescent="0.3">
      <c r="A22" s="39">
        <v>45824.465046296296</v>
      </c>
      <c r="B22" t="s">
        <v>217</v>
      </c>
      <c r="C22">
        <v>84</v>
      </c>
      <c r="D22" t="s">
        <v>368</v>
      </c>
      <c r="E22" t="s">
        <v>38</v>
      </c>
      <c r="F22">
        <v>0.78</v>
      </c>
      <c r="G22">
        <v>0.39</v>
      </c>
      <c r="H22" s="54">
        <v>40177324</v>
      </c>
      <c r="I22" t="s">
        <v>429</v>
      </c>
      <c r="J22" t="s">
        <v>369</v>
      </c>
    </row>
    <row r="23" spans="1:10" x14ac:dyDescent="0.3">
      <c r="A23" s="39">
        <v>45824.465046296296</v>
      </c>
      <c r="B23" t="s">
        <v>217</v>
      </c>
      <c r="C23">
        <v>38</v>
      </c>
      <c r="D23" t="s">
        <v>387</v>
      </c>
      <c r="E23" t="s">
        <v>386</v>
      </c>
      <c r="G23" t="s">
        <v>386</v>
      </c>
      <c r="H23" s="54">
        <v>40177324</v>
      </c>
      <c r="I23" t="s">
        <v>386</v>
      </c>
      <c r="J23" t="s">
        <v>388</v>
      </c>
    </row>
    <row r="24" spans="1:10" x14ac:dyDescent="0.3">
      <c r="A24" s="39">
        <v>45824.465046296296</v>
      </c>
      <c r="B24" t="s">
        <v>217</v>
      </c>
      <c r="C24">
        <v>38</v>
      </c>
      <c r="D24" t="s">
        <v>368</v>
      </c>
      <c r="E24" t="s">
        <v>386</v>
      </c>
      <c r="F24">
        <v>0</v>
      </c>
      <c r="G24">
        <v>0.40944999999999998</v>
      </c>
      <c r="H24" s="54">
        <v>40177324</v>
      </c>
      <c r="I24" t="s">
        <v>386</v>
      </c>
      <c r="J24" t="s">
        <v>389</v>
      </c>
    </row>
    <row r="25" spans="1:10" x14ac:dyDescent="0.3">
      <c r="A25" s="39">
        <v>45824.465046296296</v>
      </c>
      <c r="B25" t="s">
        <v>217</v>
      </c>
      <c r="C25">
        <v>99</v>
      </c>
      <c r="D25" t="s">
        <v>387</v>
      </c>
      <c r="E25" t="s">
        <v>461</v>
      </c>
      <c r="G25" t="s">
        <v>461</v>
      </c>
      <c r="H25" s="54">
        <v>40177324</v>
      </c>
      <c r="I25" t="s">
        <v>461</v>
      </c>
      <c r="J25" t="s">
        <v>388</v>
      </c>
    </row>
    <row r="26" spans="1:10" x14ac:dyDescent="0.3">
      <c r="A26" s="39">
        <v>45824.465046296296</v>
      </c>
      <c r="B26" t="s">
        <v>217</v>
      </c>
      <c r="C26">
        <v>99</v>
      </c>
      <c r="D26" t="s">
        <v>368</v>
      </c>
      <c r="E26" t="s">
        <v>461</v>
      </c>
      <c r="F26">
        <v>0</v>
      </c>
      <c r="G26">
        <v>2.8125000000000001E-2</v>
      </c>
      <c r="H26" s="54">
        <v>40177324</v>
      </c>
      <c r="I26" t="s">
        <v>461</v>
      </c>
      <c r="J26" t="s">
        <v>389</v>
      </c>
    </row>
    <row r="27" spans="1:10" x14ac:dyDescent="0.3">
      <c r="A27" s="39">
        <v>45824.465046296296</v>
      </c>
      <c r="B27" t="s">
        <v>217</v>
      </c>
      <c r="C27">
        <v>99</v>
      </c>
      <c r="D27" t="s">
        <v>387</v>
      </c>
      <c r="E27" t="s">
        <v>429</v>
      </c>
      <c r="G27" t="s">
        <v>429</v>
      </c>
      <c r="H27" s="54">
        <v>40177324</v>
      </c>
      <c r="I27" t="s">
        <v>429</v>
      </c>
      <c r="J27" t="s">
        <v>388</v>
      </c>
    </row>
    <row r="28" spans="1:10" x14ac:dyDescent="0.3">
      <c r="A28" s="39">
        <v>45824.465046296296</v>
      </c>
      <c r="B28" t="s">
        <v>217</v>
      </c>
      <c r="C28">
        <v>99</v>
      </c>
      <c r="D28" t="s">
        <v>368</v>
      </c>
      <c r="E28" t="s">
        <v>429</v>
      </c>
      <c r="F28">
        <v>0</v>
      </c>
      <c r="G28">
        <v>0.39</v>
      </c>
      <c r="H28" s="54">
        <v>40177324</v>
      </c>
      <c r="I28" t="s">
        <v>429</v>
      </c>
      <c r="J28" t="s">
        <v>389</v>
      </c>
    </row>
    <row r="29" spans="1:10" x14ac:dyDescent="0.3">
      <c r="A29" s="39">
        <v>45824.465046296296</v>
      </c>
      <c r="B29" t="s">
        <v>218</v>
      </c>
      <c r="C29">
        <v>11</v>
      </c>
      <c r="D29" t="s">
        <v>368</v>
      </c>
      <c r="E29" t="s">
        <v>31</v>
      </c>
      <c r="F29">
        <v>0.71499999999999997</v>
      </c>
      <c r="G29">
        <v>0.35749999999999998</v>
      </c>
      <c r="H29" s="54">
        <v>40177324</v>
      </c>
      <c r="I29" t="s">
        <v>386</v>
      </c>
      <c r="J29" t="s">
        <v>369</v>
      </c>
    </row>
    <row r="30" spans="1:10" x14ac:dyDescent="0.3">
      <c r="A30" s="39">
        <v>45824.465046296296</v>
      </c>
      <c r="B30" t="s">
        <v>218</v>
      </c>
      <c r="C30">
        <v>82</v>
      </c>
      <c r="D30" t="s">
        <v>368</v>
      </c>
      <c r="E30" t="s">
        <v>44</v>
      </c>
      <c r="F30">
        <v>0.33365</v>
      </c>
      <c r="G30">
        <v>0.166825</v>
      </c>
      <c r="H30" s="54">
        <v>40177324</v>
      </c>
      <c r="I30" t="s">
        <v>461</v>
      </c>
      <c r="J30" t="s">
        <v>369</v>
      </c>
    </row>
    <row r="31" spans="1:10" x14ac:dyDescent="0.3">
      <c r="A31" s="39">
        <v>45824.465046296296</v>
      </c>
      <c r="B31" t="s">
        <v>218</v>
      </c>
      <c r="C31">
        <v>83</v>
      </c>
      <c r="D31" t="s">
        <v>368</v>
      </c>
      <c r="E31" t="s">
        <v>38</v>
      </c>
      <c r="F31">
        <v>0.66700000000000004</v>
      </c>
      <c r="G31">
        <v>0.33350000000000002</v>
      </c>
      <c r="H31" s="54">
        <v>40177324</v>
      </c>
      <c r="I31" t="s">
        <v>429</v>
      </c>
      <c r="J31" t="s">
        <v>369</v>
      </c>
    </row>
    <row r="32" spans="1:10" x14ac:dyDescent="0.3">
      <c r="A32" s="39">
        <v>45824.465046296296</v>
      </c>
      <c r="B32" t="s">
        <v>218</v>
      </c>
      <c r="C32">
        <v>37</v>
      </c>
      <c r="D32" t="s">
        <v>387</v>
      </c>
      <c r="E32" t="s">
        <v>386</v>
      </c>
      <c r="G32" t="s">
        <v>386</v>
      </c>
      <c r="H32" s="54">
        <v>40177324</v>
      </c>
      <c r="I32" t="s">
        <v>386</v>
      </c>
      <c r="J32" t="s">
        <v>388</v>
      </c>
    </row>
    <row r="33" spans="1:10" x14ac:dyDescent="0.3">
      <c r="A33" s="39">
        <v>45824.465046296296</v>
      </c>
      <c r="B33" t="s">
        <v>218</v>
      </c>
      <c r="C33">
        <v>37</v>
      </c>
      <c r="D33" t="s">
        <v>368</v>
      </c>
      <c r="E33" t="s">
        <v>386</v>
      </c>
      <c r="F33">
        <v>0</v>
      </c>
      <c r="G33">
        <v>0.35749999999999998</v>
      </c>
      <c r="H33" s="54">
        <v>40177324</v>
      </c>
      <c r="I33" t="s">
        <v>386</v>
      </c>
      <c r="J33" t="s">
        <v>389</v>
      </c>
    </row>
    <row r="34" spans="1:10" x14ac:dyDescent="0.3">
      <c r="A34" s="39">
        <v>45824.465046296296</v>
      </c>
      <c r="B34" t="s">
        <v>218</v>
      </c>
      <c r="C34">
        <v>98</v>
      </c>
      <c r="D34" t="s">
        <v>387</v>
      </c>
      <c r="E34" t="s">
        <v>461</v>
      </c>
      <c r="G34" t="s">
        <v>461</v>
      </c>
      <c r="H34" s="54">
        <v>40177324</v>
      </c>
      <c r="I34" t="s">
        <v>461</v>
      </c>
      <c r="J34" t="s">
        <v>388</v>
      </c>
    </row>
    <row r="35" spans="1:10" x14ac:dyDescent="0.3">
      <c r="A35" s="39">
        <v>45824.465046296296</v>
      </c>
      <c r="B35" t="s">
        <v>218</v>
      </c>
      <c r="C35">
        <v>98</v>
      </c>
      <c r="D35" t="s">
        <v>368</v>
      </c>
      <c r="E35" t="s">
        <v>461</v>
      </c>
      <c r="F35">
        <v>0</v>
      </c>
      <c r="G35">
        <v>0.166825</v>
      </c>
      <c r="H35" s="54">
        <v>40177324</v>
      </c>
      <c r="I35" t="s">
        <v>461</v>
      </c>
      <c r="J35" t="s">
        <v>389</v>
      </c>
    </row>
    <row r="36" spans="1:10" x14ac:dyDescent="0.3">
      <c r="A36" s="39">
        <v>45824.465046296296</v>
      </c>
      <c r="B36" t="s">
        <v>218</v>
      </c>
      <c r="C36">
        <v>98</v>
      </c>
      <c r="D36" t="s">
        <v>387</v>
      </c>
      <c r="E36" t="s">
        <v>429</v>
      </c>
      <c r="G36" t="s">
        <v>429</v>
      </c>
      <c r="H36" s="54">
        <v>40177324</v>
      </c>
      <c r="I36" t="s">
        <v>429</v>
      </c>
      <c r="J36" t="s">
        <v>388</v>
      </c>
    </row>
    <row r="37" spans="1:10" x14ac:dyDescent="0.3">
      <c r="A37" s="39">
        <v>45824.465046296296</v>
      </c>
      <c r="B37" t="s">
        <v>218</v>
      </c>
      <c r="C37">
        <v>98</v>
      </c>
      <c r="D37" t="s">
        <v>368</v>
      </c>
      <c r="E37" t="s">
        <v>429</v>
      </c>
      <c r="F37">
        <v>0</v>
      </c>
      <c r="G37">
        <v>0.33350000000000002</v>
      </c>
      <c r="H37" s="54">
        <v>40177324</v>
      </c>
      <c r="I37" t="s">
        <v>429</v>
      </c>
      <c r="J37" t="s">
        <v>389</v>
      </c>
    </row>
    <row r="38" spans="1:10" x14ac:dyDescent="0.3">
      <c r="A38" s="39">
        <v>45824.465046296296</v>
      </c>
      <c r="B38" t="s">
        <v>219</v>
      </c>
      <c r="C38">
        <v>11</v>
      </c>
      <c r="D38" t="s">
        <v>368</v>
      </c>
      <c r="E38" t="s">
        <v>31</v>
      </c>
      <c r="F38">
        <v>0.14799999999999999</v>
      </c>
      <c r="G38">
        <v>7.3999999999999996E-2</v>
      </c>
      <c r="H38" s="54">
        <v>40177324</v>
      </c>
      <c r="I38" t="s">
        <v>386</v>
      </c>
      <c r="J38" t="s">
        <v>369</v>
      </c>
    </row>
    <row r="39" spans="1:10" x14ac:dyDescent="0.3">
      <c r="A39" s="39">
        <v>45824.465046296296</v>
      </c>
      <c r="B39" t="s">
        <v>219</v>
      </c>
      <c r="C39">
        <v>83</v>
      </c>
      <c r="D39" t="s">
        <v>368</v>
      </c>
      <c r="E39" t="s">
        <v>44</v>
      </c>
      <c r="F39">
        <v>0.1807</v>
      </c>
      <c r="G39">
        <v>9.035E-2</v>
      </c>
      <c r="H39" s="54">
        <v>40177324</v>
      </c>
      <c r="I39" t="s">
        <v>461</v>
      </c>
      <c r="J39" t="s">
        <v>369</v>
      </c>
    </row>
    <row r="40" spans="1:10" x14ac:dyDescent="0.3">
      <c r="A40" s="39">
        <v>45824.465046296296</v>
      </c>
      <c r="B40" t="s">
        <v>219</v>
      </c>
      <c r="C40">
        <v>84</v>
      </c>
      <c r="D40" t="s">
        <v>368</v>
      </c>
      <c r="E40" t="s">
        <v>38</v>
      </c>
      <c r="F40">
        <v>0.85419999999999996</v>
      </c>
      <c r="G40">
        <v>0.42709999999999998</v>
      </c>
      <c r="H40" s="54">
        <v>40177324</v>
      </c>
      <c r="I40" t="s">
        <v>429</v>
      </c>
      <c r="J40" t="s">
        <v>369</v>
      </c>
    </row>
    <row r="41" spans="1:10" x14ac:dyDescent="0.3">
      <c r="A41" s="39">
        <v>45824.465046296296</v>
      </c>
      <c r="B41" t="s">
        <v>219</v>
      </c>
      <c r="C41">
        <v>38</v>
      </c>
      <c r="D41" t="s">
        <v>387</v>
      </c>
      <c r="E41" t="s">
        <v>386</v>
      </c>
      <c r="G41" t="s">
        <v>386</v>
      </c>
      <c r="H41" s="54">
        <v>40177324</v>
      </c>
      <c r="I41" t="s">
        <v>386</v>
      </c>
      <c r="J41" t="s">
        <v>388</v>
      </c>
    </row>
    <row r="42" spans="1:10" x14ac:dyDescent="0.3">
      <c r="A42" s="39">
        <v>45824.465046296296</v>
      </c>
      <c r="B42" t="s">
        <v>219</v>
      </c>
      <c r="C42">
        <v>38</v>
      </c>
      <c r="D42" t="s">
        <v>368</v>
      </c>
      <c r="E42" t="s">
        <v>386</v>
      </c>
      <c r="F42">
        <v>0</v>
      </c>
      <c r="G42">
        <v>7.3999999999999996E-2</v>
      </c>
      <c r="H42" s="54">
        <v>40177324</v>
      </c>
      <c r="I42" t="s">
        <v>386</v>
      </c>
      <c r="J42" t="s">
        <v>389</v>
      </c>
    </row>
    <row r="43" spans="1:10" x14ac:dyDescent="0.3">
      <c r="A43" s="39">
        <v>45824.465046296296</v>
      </c>
      <c r="B43" t="s">
        <v>219</v>
      </c>
      <c r="C43">
        <v>99</v>
      </c>
      <c r="D43" t="s">
        <v>387</v>
      </c>
      <c r="E43" t="s">
        <v>461</v>
      </c>
      <c r="G43" t="s">
        <v>461</v>
      </c>
      <c r="H43" s="54">
        <v>40177324</v>
      </c>
      <c r="I43" t="s">
        <v>461</v>
      </c>
      <c r="J43" t="s">
        <v>388</v>
      </c>
    </row>
    <row r="44" spans="1:10" x14ac:dyDescent="0.3">
      <c r="A44" s="39">
        <v>45824.465046296296</v>
      </c>
      <c r="B44" t="s">
        <v>219</v>
      </c>
      <c r="C44">
        <v>99</v>
      </c>
      <c r="D44" t="s">
        <v>368</v>
      </c>
      <c r="E44" t="s">
        <v>461</v>
      </c>
      <c r="F44">
        <v>0</v>
      </c>
      <c r="G44">
        <v>9.035E-2</v>
      </c>
      <c r="H44" s="54">
        <v>40177324</v>
      </c>
      <c r="I44" t="s">
        <v>461</v>
      </c>
      <c r="J44" t="s">
        <v>389</v>
      </c>
    </row>
    <row r="45" spans="1:10" x14ac:dyDescent="0.3">
      <c r="A45" s="39">
        <v>45824.465046296296</v>
      </c>
      <c r="B45" t="s">
        <v>219</v>
      </c>
      <c r="C45">
        <v>99</v>
      </c>
      <c r="D45" t="s">
        <v>387</v>
      </c>
      <c r="E45" t="s">
        <v>429</v>
      </c>
      <c r="G45" t="s">
        <v>429</v>
      </c>
      <c r="H45" s="54">
        <v>40177324</v>
      </c>
      <c r="I45" t="s">
        <v>429</v>
      </c>
      <c r="J45" t="s">
        <v>388</v>
      </c>
    </row>
    <row r="46" spans="1:10" x14ac:dyDescent="0.3">
      <c r="A46" s="39">
        <v>45824.465046296296</v>
      </c>
      <c r="B46" t="s">
        <v>219</v>
      </c>
      <c r="C46">
        <v>99</v>
      </c>
      <c r="D46" t="s">
        <v>368</v>
      </c>
      <c r="E46" t="s">
        <v>429</v>
      </c>
      <c r="F46">
        <v>0</v>
      </c>
      <c r="G46">
        <v>0.42709999999999998</v>
      </c>
      <c r="H46" s="54">
        <v>40177324</v>
      </c>
      <c r="I46" t="s">
        <v>429</v>
      </c>
      <c r="J46" t="s">
        <v>389</v>
      </c>
    </row>
    <row r="47" spans="1:10" x14ac:dyDescent="0.3">
      <c r="A47" s="39">
        <v>45824.465046296296</v>
      </c>
      <c r="B47" t="s">
        <v>220</v>
      </c>
      <c r="C47">
        <v>11</v>
      </c>
      <c r="D47" t="s">
        <v>368</v>
      </c>
      <c r="E47" t="s">
        <v>31</v>
      </c>
      <c r="F47">
        <v>0.14799999999999999</v>
      </c>
      <c r="G47">
        <v>7.3999999999999996E-2</v>
      </c>
      <c r="H47" s="54">
        <v>40177324</v>
      </c>
      <c r="I47" t="s">
        <v>386</v>
      </c>
      <c r="J47" t="s">
        <v>369</v>
      </c>
    </row>
    <row r="48" spans="1:10" x14ac:dyDescent="0.3">
      <c r="A48" s="39">
        <v>45824.465046296296</v>
      </c>
      <c r="B48" t="s">
        <v>220</v>
      </c>
      <c r="C48">
        <v>83</v>
      </c>
      <c r="D48" t="s">
        <v>368</v>
      </c>
      <c r="E48" t="s">
        <v>44</v>
      </c>
      <c r="F48">
        <v>0.1807</v>
      </c>
      <c r="G48">
        <v>9.035E-2</v>
      </c>
      <c r="H48" s="54">
        <v>40177324</v>
      </c>
      <c r="I48" t="s">
        <v>461</v>
      </c>
      <c r="J48" t="s">
        <v>369</v>
      </c>
    </row>
    <row r="49" spans="1:10" x14ac:dyDescent="0.3">
      <c r="A49" s="39">
        <v>45824.465046296296</v>
      </c>
      <c r="B49" t="s">
        <v>220</v>
      </c>
      <c r="C49">
        <v>84</v>
      </c>
      <c r="D49" t="s">
        <v>368</v>
      </c>
      <c r="E49" t="s">
        <v>38</v>
      </c>
      <c r="F49">
        <v>0.85419999999999996</v>
      </c>
      <c r="G49">
        <v>0.42709999999999998</v>
      </c>
      <c r="H49" s="54">
        <v>40177324</v>
      </c>
      <c r="I49" t="s">
        <v>429</v>
      </c>
      <c r="J49" t="s">
        <v>369</v>
      </c>
    </row>
    <row r="50" spans="1:10" x14ac:dyDescent="0.3">
      <c r="A50" s="39">
        <v>45824.465046296296</v>
      </c>
      <c r="B50" t="s">
        <v>220</v>
      </c>
      <c r="C50">
        <v>38</v>
      </c>
      <c r="D50" t="s">
        <v>387</v>
      </c>
      <c r="E50" t="s">
        <v>386</v>
      </c>
      <c r="G50" t="s">
        <v>386</v>
      </c>
      <c r="H50" s="54">
        <v>40177324</v>
      </c>
      <c r="I50" t="s">
        <v>386</v>
      </c>
      <c r="J50" t="s">
        <v>388</v>
      </c>
    </row>
    <row r="51" spans="1:10" x14ac:dyDescent="0.3">
      <c r="A51" s="39">
        <v>45824.465046296296</v>
      </c>
      <c r="B51" t="s">
        <v>220</v>
      </c>
      <c r="C51">
        <v>38</v>
      </c>
      <c r="D51" t="s">
        <v>368</v>
      </c>
      <c r="E51" t="s">
        <v>386</v>
      </c>
      <c r="F51">
        <v>0</v>
      </c>
      <c r="G51">
        <v>7.3999999999999996E-2</v>
      </c>
      <c r="H51" s="54">
        <v>40177324</v>
      </c>
      <c r="I51" t="s">
        <v>386</v>
      </c>
      <c r="J51" t="s">
        <v>389</v>
      </c>
    </row>
    <row r="52" spans="1:10" x14ac:dyDescent="0.3">
      <c r="A52" s="39">
        <v>45824.465046296296</v>
      </c>
      <c r="B52" t="s">
        <v>220</v>
      </c>
      <c r="C52">
        <v>99</v>
      </c>
      <c r="D52" t="s">
        <v>387</v>
      </c>
      <c r="E52" t="s">
        <v>461</v>
      </c>
      <c r="G52" t="s">
        <v>461</v>
      </c>
      <c r="H52" s="54">
        <v>40177324</v>
      </c>
      <c r="I52" t="s">
        <v>461</v>
      </c>
      <c r="J52" t="s">
        <v>388</v>
      </c>
    </row>
    <row r="53" spans="1:10" x14ac:dyDescent="0.3">
      <c r="A53" s="39">
        <v>45824.465046296296</v>
      </c>
      <c r="B53" t="s">
        <v>220</v>
      </c>
      <c r="C53">
        <v>99</v>
      </c>
      <c r="D53" t="s">
        <v>368</v>
      </c>
      <c r="E53" t="s">
        <v>461</v>
      </c>
      <c r="F53">
        <v>0</v>
      </c>
      <c r="G53">
        <v>9.035E-2</v>
      </c>
      <c r="H53" s="54">
        <v>40177324</v>
      </c>
      <c r="I53" t="s">
        <v>461</v>
      </c>
      <c r="J53" t="s">
        <v>389</v>
      </c>
    </row>
    <row r="54" spans="1:10" x14ac:dyDescent="0.3">
      <c r="A54" s="39">
        <v>45824.465046296296</v>
      </c>
      <c r="B54" t="s">
        <v>220</v>
      </c>
      <c r="C54">
        <v>99</v>
      </c>
      <c r="D54" t="s">
        <v>387</v>
      </c>
      <c r="E54" t="s">
        <v>429</v>
      </c>
      <c r="G54" t="s">
        <v>429</v>
      </c>
      <c r="H54" s="54">
        <v>40177324</v>
      </c>
      <c r="I54" t="s">
        <v>429</v>
      </c>
      <c r="J54" t="s">
        <v>388</v>
      </c>
    </row>
    <row r="55" spans="1:10" x14ac:dyDescent="0.3">
      <c r="A55" s="39">
        <v>45824.465046296296</v>
      </c>
      <c r="B55" t="s">
        <v>220</v>
      </c>
      <c r="C55">
        <v>99</v>
      </c>
      <c r="D55" t="s">
        <v>368</v>
      </c>
      <c r="E55" t="s">
        <v>429</v>
      </c>
      <c r="F55">
        <v>0</v>
      </c>
      <c r="G55">
        <v>0.42709999999999998</v>
      </c>
      <c r="H55" s="54">
        <v>40177324</v>
      </c>
      <c r="I55" t="s">
        <v>429</v>
      </c>
      <c r="J55" t="s">
        <v>389</v>
      </c>
    </row>
    <row r="56" spans="1:10" x14ac:dyDescent="0.3">
      <c r="A56" s="39"/>
    </row>
    <row r="57" spans="1:10" x14ac:dyDescent="0.3">
      <c r="A57" s="39"/>
    </row>
    <row r="58" spans="1:10" x14ac:dyDescent="0.3">
      <c r="A58" s="39"/>
    </row>
    <row r="59" spans="1:10" x14ac:dyDescent="0.3">
      <c r="A59" s="39"/>
    </row>
    <row r="60" spans="1:10" x14ac:dyDescent="0.3">
      <c r="A60" s="39"/>
    </row>
    <row r="61" spans="1:10" x14ac:dyDescent="0.3">
      <c r="A61" s="39"/>
    </row>
    <row r="62" spans="1:10" x14ac:dyDescent="0.3">
      <c r="A62" s="39"/>
    </row>
    <row r="63" spans="1:10" x14ac:dyDescent="0.3">
      <c r="A63" s="39"/>
    </row>
    <row r="64" spans="1:10" x14ac:dyDescent="0.3">
      <c r="A64" s="39"/>
    </row>
    <row r="65" spans="1:1" x14ac:dyDescent="0.3">
      <c r="A65" s="39"/>
    </row>
    <row r="66" spans="1:1" x14ac:dyDescent="0.3">
      <c r="A66" s="39"/>
    </row>
    <row r="67" spans="1:1" x14ac:dyDescent="0.3">
      <c r="A67" s="39"/>
    </row>
    <row r="68" spans="1:1" x14ac:dyDescent="0.3">
      <c r="A68" s="39"/>
    </row>
    <row r="69" spans="1:1" x14ac:dyDescent="0.3">
      <c r="A69" s="39"/>
    </row>
    <row r="70" spans="1:1" x14ac:dyDescent="0.3">
      <c r="A70" s="39"/>
    </row>
    <row r="71" spans="1:1" x14ac:dyDescent="0.3">
      <c r="A71" s="39"/>
    </row>
    <row r="72" spans="1:1" x14ac:dyDescent="0.3">
      <c r="A72" s="39"/>
    </row>
    <row r="73" spans="1:1" x14ac:dyDescent="0.3">
      <c r="A73" s="39"/>
    </row>
    <row r="74" spans="1:1" x14ac:dyDescent="0.3">
      <c r="A74" s="39"/>
    </row>
    <row r="75" spans="1:1" x14ac:dyDescent="0.3">
      <c r="A75" s="39"/>
    </row>
    <row r="76" spans="1:1" x14ac:dyDescent="0.3">
      <c r="A76" s="39"/>
    </row>
    <row r="77" spans="1:1" x14ac:dyDescent="0.3">
      <c r="A77" s="39"/>
    </row>
    <row r="78" spans="1:1" x14ac:dyDescent="0.3">
      <c r="A78" s="39"/>
    </row>
    <row r="79" spans="1:1" x14ac:dyDescent="0.3">
      <c r="A79" s="39"/>
    </row>
    <row r="80" spans="1:1" x14ac:dyDescent="0.3">
      <c r="A80" s="39"/>
    </row>
    <row r="81" spans="1:1" x14ac:dyDescent="0.3">
      <c r="A81" s="39"/>
    </row>
    <row r="82" spans="1:1" x14ac:dyDescent="0.3">
      <c r="A82" s="39"/>
    </row>
    <row r="83" spans="1:1" x14ac:dyDescent="0.3">
      <c r="A83" s="39"/>
    </row>
    <row r="84" spans="1:1" x14ac:dyDescent="0.3">
      <c r="A84" s="39"/>
    </row>
    <row r="85" spans="1:1" x14ac:dyDescent="0.3">
      <c r="A85" s="39"/>
    </row>
    <row r="86" spans="1:1" x14ac:dyDescent="0.3">
      <c r="A86" s="39"/>
    </row>
    <row r="87" spans="1:1" x14ac:dyDescent="0.3">
      <c r="A87" s="39"/>
    </row>
    <row r="88" spans="1:1" x14ac:dyDescent="0.3">
      <c r="A88" s="39"/>
    </row>
    <row r="89" spans="1:1" x14ac:dyDescent="0.3">
      <c r="A89" s="39"/>
    </row>
    <row r="90" spans="1:1" x14ac:dyDescent="0.3">
      <c r="A90" s="39"/>
    </row>
    <row r="91" spans="1:1" x14ac:dyDescent="0.3">
      <c r="A91" s="39"/>
    </row>
    <row r="92" spans="1:1" x14ac:dyDescent="0.3">
      <c r="A92" s="39"/>
    </row>
    <row r="93" spans="1:1" x14ac:dyDescent="0.3">
      <c r="A93" s="39"/>
    </row>
    <row r="94" spans="1:1" x14ac:dyDescent="0.3">
      <c r="A94" s="39"/>
    </row>
    <row r="95" spans="1:1" x14ac:dyDescent="0.3">
      <c r="A95" s="39"/>
    </row>
    <row r="96" spans="1:1" x14ac:dyDescent="0.3">
      <c r="A96" s="39"/>
    </row>
    <row r="97" spans="1:1" x14ac:dyDescent="0.3">
      <c r="A97" s="39"/>
    </row>
    <row r="98" spans="1:1" x14ac:dyDescent="0.3">
      <c r="A98" s="39"/>
    </row>
    <row r="99" spans="1:1" x14ac:dyDescent="0.3">
      <c r="A99" s="39"/>
    </row>
    <row r="100" spans="1:1" x14ac:dyDescent="0.3">
      <c r="A100" s="39"/>
    </row>
    <row r="101" spans="1:1" x14ac:dyDescent="0.3">
      <c r="A101" s="39"/>
    </row>
    <row r="102" spans="1:1" x14ac:dyDescent="0.3">
      <c r="A102" s="39"/>
    </row>
    <row r="103" spans="1:1" x14ac:dyDescent="0.3">
      <c r="A103" s="39"/>
    </row>
    <row r="104" spans="1:1" x14ac:dyDescent="0.3">
      <c r="A104" s="39"/>
    </row>
    <row r="105" spans="1:1" x14ac:dyDescent="0.3">
      <c r="A105" s="39"/>
    </row>
    <row r="106" spans="1:1" x14ac:dyDescent="0.3">
      <c r="A106" s="39"/>
    </row>
    <row r="107" spans="1:1" x14ac:dyDescent="0.3">
      <c r="A107" s="39"/>
    </row>
    <row r="108" spans="1:1" x14ac:dyDescent="0.3">
      <c r="A108" s="39"/>
    </row>
    <row r="109" spans="1:1" x14ac:dyDescent="0.3">
      <c r="A109" s="39"/>
    </row>
    <row r="110" spans="1:1" x14ac:dyDescent="0.3">
      <c r="A110" s="39"/>
    </row>
    <row r="111" spans="1:1" x14ac:dyDescent="0.3">
      <c r="A111" s="39"/>
    </row>
    <row r="112" spans="1:1" x14ac:dyDescent="0.3">
      <c r="A112" s="39"/>
    </row>
    <row r="113" spans="1:1" x14ac:dyDescent="0.3">
      <c r="A113" s="39"/>
    </row>
    <row r="114" spans="1:1" x14ac:dyDescent="0.3">
      <c r="A114" s="39"/>
    </row>
    <row r="115" spans="1:1" x14ac:dyDescent="0.3">
      <c r="A115" s="39"/>
    </row>
    <row r="116" spans="1:1" x14ac:dyDescent="0.3">
      <c r="A116" s="39"/>
    </row>
    <row r="117" spans="1:1" x14ac:dyDescent="0.3">
      <c r="A117" s="39"/>
    </row>
    <row r="118" spans="1:1" x14ac:dyDescent="0.3">
      <c r="A118" s="39"/>
    </row>
    <row r="119" spans="1:1" x14ac:dyDescent="0.3">
      <c r="A119" s="39"/>
    </row>
    <row r="120" spans="1:1" x14ac:dyDescent="0.3">
      <c r="A120" s="39"/>
    </row>
    <row r="121" spans="1:1" x14ac:dyDescent="0.3">
      <c r="A121" s="39"/>
    </row>
    <row r="122" spans="1:1" x14ac:dyDescent="0.3">
      <c r="A122" s="39"/>
    </row>
    <row r="123" spans="1:1" x14ac:dyDescent="0.3">
      <c r="A123" s="39"/>
    </row>
    <row r="124" spans="1:1" x14ac:dyDescent="0.3">
      <c r="A124" s="39"/>
    </row>
    <row r="125" spans="1:1" x14ac:dyDescent="0.3">
      <c r="A125" s="39"/>
    </row>
    <row r="126" spans="1:1" x14ac:dyDescent="0.3">
      <c r="A126" s="39"/>
    </row>
    <row r="127" spans="1:1" x14ac:dyDescent="0.3">
      <c r="A127" s="39"/>
    </row>
    <row r="128" spans="1:1" x14ac:dyDescent="0.3">
      <c r="A128" s="39"/>
    </row>
    <row r="129" spans="1:1" x14ac:dyDescent="0.3">
      <c r="A129" s="39"/>
    </row>
    <row r="130" spans="1:1" x14ac:dyDescent="0.3">
      <c r="A130" s="39"/>
    </row>
    <row r="131" spans="1:1" x14ac:dyDescent="0.3">
      <c r="A131" s="39"/>
    </row>
    <row r="132" spans="1:1" x14ac:dyDescent="0.3">
      <c r="A132" s="39"/>
    </row>
    <row r="133" spans="1:1" x14ac:dyDescent="0.3">
      <c r="A133" s="39"/>
    </row>
    <row r="134" spans="1:1" x14ac:dyDescent="0.3">
      <c r="A134" s="39"/>
    </row>
    <row r="135" spans="1:1" x14ac:dyDescent="0.3">
      <c r="A135" s="39"/>
    </row>
    <row r="136" spans="1:1" x14ac:dyDescent="0.3">
      <c r="A136" s="39"/>
    </row>
    <row r="137" spans="1:1" x14ac:dyDescent="0.3">
      <c r="A137" s="39"/>
    </row>
    <row r="138" spans="1:1" x14ac:dyDescent="0.3">
      <c r="A138" s="39"/>
    </row>
    <row r="139" spans="1:1" x14ac:dyDescent="0.3">
      <c r="A139" s="39"/>
    </row>
    <row r="140" spans="1:1" x14ac:dyDescent="0.3">
      <c r="A140" s="39"/>
    </row>
    <row r="141" spans="1:1" x14ac:dyDescent="0.3">
      <c r="A141" s="39"/>
    </row>
    <row r="142" spans="1:1" x14ac:dyDescent="0.3">
      <c r="A142" s="39"/>
    </row>
    <row r="143" spans="1:1" x14ac:dyDescent="0.3">
      <c r="A143" s="39"/>
    </row>
    <row r="144" spans="1:1" x14ac:dyDescent="0.3">
      <c r="A144" s="39"/>
    </row>
    <row r="145" spans="1:1" x14ac:dyDescent="0.3">
      <c r="A145" s="39"/>
    </row>
    <row r="146" spans="1:1" x14ac:dyDescent="0.3">
      <c r="A146" s="39"/>
    </row>
    <row r="147" spans="1:1" x14ac:dyDescent="0.3">
      <c r="A147" s="39"/>
    </row>
    <row r="148" spans="1:1" x14ac:dyDescent="0.3">
      <c r="A148" s="39"/>
    </row>
    <row r="149" spans="1:1" x14ac:dyDescent="0.3">
      <c r="A149" s="39"/>
    </row>
    <row r="150" spans="1:1" x14ac:dyDescent="0.3">
      <c r="A150" s="39"/>
    </row>
    <row r="151" spans="1:1" x14ac:dyDescent="0.3">
      <c r="A151" s="39"/>
    </row>
    <row r="152" spans="1:1" x14ac:dyDescent="0.3">
      <c r="A152" s="39"/>
    </row>
    <row r="153" spans="1:1" x14ac:dyDescent="0.3">
      <c r="A153" s="39"/>
    </row>
    <row r="154" spans="1:1" x14ac:dyDescent="0.3">
      <c r="A154" s="39"/>
    </row>
    <row r="155" spans="1:1" x14ac:dyDescent="0.3">
      <c r="A155" s="39"/>
    </row>
    <row r="156" spans="1:1" x14ac:dyDescent="0.3">
      <c r="A156" s="39"/>
    </row>
    <row r="157" spans="1:1" x14ac:dyDescent="0.3">
      <c r="A157" s="39"/>
    </row>
    <row r="158" spans="1:1" x14ac:dyDescent="0.3">
      <c r="A158" s="39"/>
    </row>
    <row r="159" spans="1:1" x14ac:dyDescent="0.3">
      <c r="A159" s="39"/>
    </row>
    <row r="160" spans="1:1" x14ac:dyDescent="0.3">
      <c r="A160" s="39"/>
    </row>
    <row r="161" spans="1:1" x14ac:dyDescent="0.3">
      <c r="A161" s="39"/>
    </row>
    <row r="162" spans="1:1" x14ac:dyDescent="0.3">
      <c r="A162" s="39"/>
    </row>
    <row r="163" spans="1:1" x14ac:dyDescent="0.3">
      <c r="A163" s="39"/>
    </row>
    <row r="164" spans="1:1" x14ac:dyDescent="0.3">
      <c r="A164" s="39"/>
    </row>
    <row r="165" spans="1:1" x14ac:dyDescent="0.3">
      <c r="A165" s="39"/>
    </row>
    <row r="166" spans="1:1" x14ac:dyDescent="0.3">
      <c r="A166" s="39"/>
    </row>
    <row r="167" spans="1:1" x14ac:dyDescent="0.3">
      <c r="A167" s="39"/>
    </row>
    <row r="168" spans="1:1" x14ac:dyDescent="0.3">
      <c r="A168" s="39"/>
    </row>
    <row r="169" spans="1:1" x14ac:dyDescent="0.3">
      <c r="A169" s="39"/>
    </row>
    <row r="170" spans="1:1" x14ac:dyDescent="0.3">
      <c r="A170" s="39"/>
    </row>
    <row r="171" spans="1:1" x14ac:dyDescent="0.3">
      <c r="A171" s="39"/>
    </row>
    <row r="172" spans="1:1" x14ac:dyDescent="0.3">
      <c r="A172" s="39"/>
    </row>
    <row r="173" spans="1:1" x14ac:dyDescent="0.3">
      <c r="A173" s="39"/>
    </row>
    <row r="174" spans="1:1" x14ac:dyDescent="0.3">
      <c r="A174" s="39"/>
    </row>
    <row r="175" spans="1:1" x14ac:dyDescent="0.3">
      <c r="A175" s="39"/>
    </row>
    <row r="176" spans="1:1" x14ac:dyDescent="0.3">
      <c r="A176" s="39"/>
    </row>
    <row r="177" spans="1:1" x14ac:dyDescent="0.3">
      <c r="A177" s="39"/>
    </row>
    <row r="178" spans="1:1" x14ac:dyDescent="0.3">
      <c r="A178" s="39"/>
    </row>
    <row r="179" spans="1:1" x14ac:dyDescent="0.3">
      <c r="A179" s="39"/>
    </row>
    <row r="180" spans="1:1" x14ac:dyDescent="0.3">
      <c r="A180" s="39"/>
    </row>
    <row r="181" spans="1:1" x14ac:dyDescent="0.3">
      <c r="A181" s="39"/>
    </row>
    <row r="182" spans="1:1" x14ac:dyDescent="0.3">
      <c r="A182" s="39"/>
    </row>
    <row r="183" spans="1:1" x14ac:dyDescent="0.3">
      <c r="A183" s="39"/>
    </row>
    <row r="184" spans="1:1" x14ac:dyDescent="0.3">
      <c r="A184" s="39"/>
    </row>
    <row r="185" spans="1:1" x14ac:dyDescent="0.3">
      <c r="A185" s="39"/>
    </row>
    <row r="186" spans="1:1" x14ac:dyDescent="0.3">
      <c r="A186" s="39"/>
    </row>
    <row r="187" spans="1:1" x14ac:dyDescent="0.3">
      <c r="A187" s="39"/>
    </row>
    <row r="188" spans="1:1" x14ac:dyDescent="0.3">
      <c r="A188" s="39"/>
    </row>
    <row r="189" spans="1:1" x14ac:dyDescent="0.3">
      <c r="A189" s="39"/>
    </row>
    <row r="190" spans="1:1" x14ac:dyDescent="0.3">
      <c r="A190" s="39"/>
    </row>
    <row r="191" spans="1:1" x14ac:dyDescent="0.3">
      <c r="A191" s="39"/>
    </row>
    <row r="192" spans="1:1" x14ac:dyDescent="0.3">
      <c r="A192" s="39"/>
    </row>
    <row r="193" spans="1:1" x14ac:dyDescent="0.3">
      <c r="A193" s="39"/>
    </row>
    <row r="194" spans="1:1" x14ac:dyDescent="0.3">
      <c r="A194" s="39"/>
    </row>
    <row r="195" spans="1:1" x14ac:dyDescent="0.3">
      <c r="A195" s="39"/>
    </row>
    <row r="196" spans="1:1" x14ac:dyDescent="0.3">
      <c r="A196" s="39"/>
    </row>
    <row r="197" spans="1:1" x14ac:dyDescent="0.3">
      <c r="A197" s="39"/>
    </row>
    <row r="198" spans="1:1" x14ac:dyDescent="0.3">
      <c r="A198" s="39"/>
    </row>
    <row r="199" spans="1:1" x14ac:dyDescent="0.3">
      <c r="A199" s="39"/>
    </row>
    <row r="200" spans="1:1" x14ac:dyDescent="0.3">
      <c r="A200" s="39"/>
    </row>
    <row r="201" spans="1:1" x14ac:dyDescent="0.3">
      <c r="A201" s="39"/>
    </row>
    <row r="202" spans="1:1" x14ac:dyDescent="0.3">
      <c r="A202" s="39"/>
    </row>
    <row r="203" spans="1:1" x14ac:dyDescent="0.3">
      <c r="A203" s="39"/>
    </row>
    <row r="204" spans="1:1" x14ac:dyDescent="0.3">
      <c r="A204" s="39"/>
    </row>
    <row r="205" spans="1:1" x14ac:dyDescent="0.3">
      <c r="A205" s="39"/>
    </row>
    <row r="206" spans="1:1" x14ac:dyDescent="0.3">
      <c r="A206" s="39"/>
    </row>
    <row r="207" spans="1:1" x14ac:dyDescent="0.3">
      <c r="A207" s="39"/>
    </row>
    <row r="208" spans="1:1" x14ac:dyDescent="0.3">
      <c r="A208" s="39"/>
    </row>
    <row r="209" spans="1:1" x14ac:dyDescent="0.3">
      <c r="A209" s="39"/>
    </row>
    <row r="210" spans="1:1" x14ac:dyDescent="0.3">
      <c r="A210" s="39"/>
    </row>
    <row r="211" spans="1:1" x14ac:dyDescent="0.3">
      <c r="A211" s="39"/>
    </row>
    <row r="212" spans="1:1" x14ac:dyDescent="0.3">
      <c r="A212" s="39"/>
    </row>
    <row r="213" spans="1:1" x14ac:dyDescent="0.3">
      <c r="A213" s="39"/>
    </row>
    <row r="214" spans="1:1" x14ac:dyDescent="0.3">
      <c r="A214" s="39"/>
    </row>
    <row r="215" spans="1:1" x14ac:dyDescent="0.3">
      <c r="A215" s="39"/>
    </row>
    <row r="216" spans="1:1" x14ac:dyDescent="0.3">
      <c r="A216" s="39"/>
    </row>
    <row r="217" spans="1:1" x14ac:dyDescent="0.3">
      <c r="A217" s="39"/>
    </row>
    <row r="218" spans="1:1" x14ac:dyDescent="0.3">
      <c r="A218" s="39"/>
    </row>
    <row r="219" spans="1:1" x14ac:dyDescent="0.3">
      <c r="A219" s="39"/>
    </row>
    <row r="220" spans="1:1" x14ac:dyDescent="0.3">
      <c r="A220" s="39"/>
    </row>
    <row r="221" spans="1:1" x14ac:dyDescent="0.3">
      <c r="A221" s="39"/>
    </row>
    <row r="222" spans="1:1" x14ac:dyDescent="0.3">
      <c r="A222" s="39"/>
    </row>
    <row r="223" spans="1:1" x14ac:dyDescent="0.3">
      <c r="A223" s="39"/>
    </row>
    <row r="224" spans="1:1" x14ac:dyDescent="0.3">
      <c r="A224" s="39"/>
    </row>
    <row r="225" spans="1:1" x14ac:dyDescent="0.3">
      <c r="A225" s="39"/>
    </row>
    <row r="226" spans="1:1" x14ac:dyDescent="0.3">
      <c r="A226" s="39"/>
    </row>
    <row r="227" spans="1:1" x14ac:dyDescent="0.3">
      <c r="A227" s="39"/>
    </row>
    <row r="228" spans="1:1" x14ac:dyDescent="0.3">
      <c r="A228" s="39"/>
    </row>
    <row r="229" spans="1:1" x14ac:dyDescent="0.3">
      <c r="A229" s="39"/>
    </row>
    <row r="230" spans="1:1" x14ac:dyDescent="0.3">
      <c r="A230" s="39"/>
    </row>
    <row r="231" spans="1:1" x14ac:dyDescent="0.3">
      <c r="A231" s="39"/>
    </row>
    <row r="232" spans="1:1" x14ac:dyDescent="0.3">
      <c r="A232" s="39"/>
    </row>
    <row r="233" spans="1:1" x14ac:dyDescent="0.3">
      <c r="A233" s="39"/>
    </row>
    <row r="234" spans="1:1" x14ac:dyDescent="0.3">
      <c r="A234" s="39"/>
    </row>
    <row r="235" spans="1:1" x14ac:dyDescent="0.3">
      <c r="A235" s="39"/>
    </row>
    <row r="236" spans="1:1" x14ac:dyDescent="0.3">
      <c r="A236" s="39"/>
    </row>
    <row r="237" spans="1:1" x14ac:dyDescent="0.3">
      <c r="A237" s="39"/>
    </row>
    <row r="238" spans="1:1" x14ac:dyDescent="0.3">
      <c r="A238" s="39"/>
    </row>
    <row r="239" spans="1:1" x14ac:dyDescent="0.3">
      <c r="A239" s="39"/>
    </row>
    <row r="240" spans="1:1" x14ac:dyDescent="0.3">
      <c r="A240" s="39"/>
    </row>
    <row r="241" spans="1:1" x14ac:dyDescent="0.3">
      <c r="A241" s="39"/>
    </row>
    <row r="242" spans="1:1" x14ac:dyDescent="0.3">
      <c r="A242" s="39"/>
    </row>
    <row r="243" spans="1:1" x14ac:dyDescent="0.3">
      <c r="A243" s="39"/>
    </row>
    <row r="244" spans="1:1" x14ac:dyDescent="0.3">
      <c r="A244" s="39"/>
    </row>
    <row r="245" spans="1:1" x14ac:dyDescent="0.3">
      <c r="A245" s="39"/>
    </row>
    <row r="246" spans="1:1" x14ac:dyDescent="0.3">
      <c r="A246" s="39"/>
    </row>
    <row r="247" spans="1:1" x14ac:dyDescent="0.3">
      <c r="A247" s="39"/>
    </row>
    <row r="248" spans="1:1" x14ac:dyDescent="0.3">
      <c r="A248" s="39"/>
    </row>
    <row r="249" spans="1:1" x14ac:dyDescent="0.3">
      <c r="A249" s="39"/>
    </row>
    <row r="250" spans="1:1" x14ac:dyDescent="0.3">
      <c r="A250" s="39"/>
    </row>
    <row r="251" spans="1:1" x14ac:dyDescent="0.3">
      <c r="A251" s="39"/>
    </row>
    <row r="252" spans="1:1" x14ac:dyDescent="0.3">
      <c r="A252" s="39"/>
    </row>
    <row r="253" spans="1:1" x14ac:dyDescent="0.3">
      <c r="A253" s="39"/>
    </row>
    <row r="254" spans="1:1" x14ac:dyDescent="0.3">
      <c r="A254" s="39"/>
    </row>
    <row r="255" spans="1:1" x14ac:dyDescent="0.3">
      <c r="A255" s="39"/>
    </row>
    <row r="256" spans="1:1" x14ac:dyDescent="0.3">
      <c r="A256" s="39"/>
    </row>
    <row r="257" spans="1:1" x14ac:dyDescent="0.3">
      <c r="A257" s="39"/>
    </row>
    <row r="258" spans="1:1" x14ac:dyDescent="0.3">
      <c r="A258" s="39"/>
    </row>
    <row r="259" spans="1:1" x14ac:dyDescent="0.3">
      <c r="A259" s="39"/>
    </row>
    <row r="260" spans="1:1" x14ac:dyDescent="0.3">
      <c r="A260" s="39"/>
    </row>
    <row r="261" spans="1:1" x14ac:dyDescent="0.3">
      <c r="A261" s="39"/>
    </row>
    <row r="262" spans="1:1" x14ac:dyDescent="0.3">
      <c r="A262" s="39"/>
    </row>
    <row r="263" spans="1:1" x14ac:dyDescent="0.3">
      <c r="A263" s="39"/>
    </row>
    <row r="264" spans="1:1" x14ac:dyDescent="0.3">
      <c r="A264" s="39"/>
    </row>
    <row r="265" spans="1:1" x14ac:dyDescent="0.3">
      <c r="A265" s="39"/>
    </row>
    <row r="266" spans="1:1" x14ac:dyDescent="0.3">
      <c r="A266" s="39"/>
    </row>
    <row r="267" spans="1:1" x14ac:dyDescent="0.3">
      <c r="A267" s="39"/>
    </row>
    <row r="268" spans="1:1" x14ac:dyDescent="0.3">
      <c r="A268" s="39"/>
    </row>
    <row r="269" spans="1:1" x14ac:dyDescent="0.3">
      <c r="A269" s="39"/>
    </row>
    <row r="270" spans="1:1" x14ac:dyDescent="0.3">
      <c r="A270" s="39"/>
    </row>
    <row r="271" spans="1:1" x14ac:dyDescent="0.3">
      <c r="A271" s="39"/>
    </row>
    <row r="272" spans="1:1" x14ac:dyDescent="0.3">
      <c r="A272" s="39"/>
    </row>
    <row r="273" spans="1:1" x14ac:dyDescent="0.3">
      <c r="A273" s="39"/>
    </row>
    <row r="274" spans="1:1" x14ac:dyDescent="0.3">
      <c r="A274" s="39"/>
    </row>
    <row r="275" spans="1:1" x14ac:dyDescent="0.3">
      <c r="A275" s="39"/>
    </row>
    <row r="276" spans="1:1" x14ac:dyDescent="0.3">
      <c r="A276" s="39"/>
    </row>
    <row r="277" spans="1:1" x14ac:dyDescent="0.3">
      <c r="A277" s="39"/>
    </row>
    <row r="278" spans="1:1" x14ac:dyDescent="0.3">
      <c r="A278" s="39"/>
    </row>
    <row r="279" spans="1:1" x14ac:dyDescent="0.3">
      <c r="A279" s="39"/>
    </row>
    <row r="280" spans="1:1" x14ac:dyDescent="0.3">
      <c r="A280" s="39"/>
    </row>
    <row r="281" spans="1:1" x14ac:dyDescent="0.3">
      <c r="A281" s="39"/>
    </row>
    <row r="282" spans="1:1" x14ac:dyDescent="0.3">
      <c r="A282" s="39"/>
    </row>
    <row r="283" spans="1:1" x14ac:dyDescent="0.3">
      <c r="A283" s="39"/>
    </row>
    <row r="284" spans="1:1" x14ac:dyDescent="0.3">
      <c r="A284" s="39"/>
    </row>
    <row r="285" spans="1:1" x14ac:dyDescent="0.3">
      <c r="A285" s="39"/>
    </row>
    <row r="286" spans="1:1" x14ac:dyDescent="0.3">
      <c r="A286" s="39"/>
    </row>
    <row r="287" spans="1:1" x14ac:dyDescent="0.3">
      <c r="A287" s="39"/>
    </row>
    <row r="288" spans="1:1" x14ac:dyDescent="0.3">
      <c r="A288" s="39"/>
    </row>
    <row r="289" spans="1:1" x14ac:dyDescent="0.3">
      <c r="A289" s="39"/>
    </row>
    <row r="290" spans="1:1" x14ac:dyDescent="0.3">
      <c r="A290" s="39"/>
    </row>
    <row r="291" spans="1:1" x14ac:dyDescent="0.3">
      <c r="A291" s="39"/>
    </row>
    <row r="292" spans="1:1" x14ac:dyDescent="0.3">
      <c r="A292" s="39"/>
    </row>
    <row r="293" spans="1:1" x14ac:dyDescent="0.3">
      <c r="A293" s="39"/>
    </row>
    <row r="294" spans="1:1" x14ac:dyDescent="0.3">
      <c r="A294" s="39"/>
    </row>
    <row r="295" spans="1:1" x14ac:dyDescent="0.3">
      <c r="A295" s="39"/>
    </row>
    <row r="296" spans="1:1" x14ac:dyDescent="0.3">
      <c r="A296" s="39"/>
    </row>
    <row r="297" spans="1:1" x14ac:dyDescent="0.3">
      <c r="A297" s="39"/>
    </row>
    <row r="298" spans="1:1" x14ac:dyDescent="0.3">
      <c r="A298" s="39"/>
    </row>
    <row r="299" spans="1:1" x14ac:dyDescent="0.3">
      <c r="A299" s="39"/>
    </row>
    <row r="300" spans="1:1" x14ac:dyDescent="0.3">
      <c r="A300" s="39"/>
    </row>
    <row r="301" spans="1:1" x14ac:dyDescent="0.3">
      <c r="A301" s="39"/>
    </row>
    <row r="302" spans="1:1" x14ac:dyDescent="0.3">
      <c r="A302" s="39"/>
    </row>
    <row r="303" spans="1:1" x14ac:dyDescent="0.3">
      <c r="A303" s="39"/>
    </row>
    <row r="304" spans="1:1" x14ac:dyDescent="0.3">
      <c r="A304" s="39"/>
    </row>
    <row r="305" spans="1:1" x14ac:dyDescent="0.3">
      <c r="A305" s="39"/>
    </row>
    <row r="306" spans="1:1" x14ac:dyDescent="0.3">
      <c r="A306" s="39"/>
    </row>
    <row r="307" spans="1:1" x14ac:dyDescent="0.3">
      <c r="A307" s="39"/>
    </row>
    <row r="308" spans="1:1" x14ac:dyDescent="0.3">
      <c r="A308" s="39"/>
    </row>
    <row r="309" spans="1:1" x14ac:dyDescent="0.3">
      <c r="A309" s="39"/>
    </row>
    <row r="310" spans="1:1" x14ac:dyDescent="0.3">
      <c r="A310" s="39"/>
    </row>
    <row r="311" spans="1:1" x14ac:dyDescent="0.3">
      <c r="A311" s="39"/>
    </row>
    <row r="312" spans="1:1" x14ac:dyDescent="0.3">
      <c r="A312" s="39"/>
    </row>
    <row r="313" spans="1:1" x14ac:dyDescent="0.3">
      <c r="A313" s="39"/>
    </row>
    <row r="314" spans="1:1" x14ac:dyDescent="0.3">
      <c r="A314" s="39"/>
    </row>
    <row r="315" spans="1:1" x14ac:dyDescent="0.3">
      <c r="A315" s="39"/>
    </row>
    <row r="316" spans="1:1" x14ac:dyDescent="0.3">
      <c r="A316" s="39"/>
    </row>
    <row r="317" spans="1:1" x14ac:dyDescent="0.3">
      <c r="A317" s="39"/>
    </row>
    <row r="318" spans="1:1" x14ac:dyDescent="0.3">
      <c r="A318" s="39"/>
    </row>
    <row r="319" spans="1:1" x14ac:dyDescent="0.3">
      <c r="A319" s="39"/>
    </row>
    <row r="320" spans="1:1" x14ac:dyDescent="0.3">
      <c r="A320" s="39"/>
    </row>
    <row r="321" spans="1:1" x14ac:dyDescent="0.3">
      <c r="A321" s="39"/>
    </row>
    <row r="322" spans="1:1" x14ac:dyDescent="0.3">
      <c r="A322" s="39"/>
    </row>
    <row r="323" spans="1:1" x14ac:dyDescent="0.3">
      <c r="A323" s="39"/>
    </row>
    <row r="324" spans="1:1" x14ac:dyDescent="0.3">
      <c r="A324" s="39"/>
    </row>
    <row r="325" spans="1:1" x14ac:dyDescent="0.3">
      <c r="A325" s="39"/>
    </row>
    <row r="326" spans="1:1" x14ac:dyDescent="0.3">
      <c r="A326" s="39"/>
    </row>
    <row r="327" spans="1:1" x14ac:dyDescent="0.3">
      <c r="A327" s="39"/>
    </row>
    <row r="328" spans="1:1" x14ac:dyDescent="0.3">
      <c r="A328" s="39"/>
    </row>
    <row r="329" spans="1:1" x14ac:dyDescent="0.3">
      <c r="A329" s="39"/>
    </row>
    <row r="330" spans="1:1" x14ac:dyDescent="0.3">
      <c r="A330" s="39"/>
    </row>
    <row r="331" spans="1:1" x14ac:dyDescent="0.3">
      <c r="A331" s="39"/>
    </row>
    <row r="332" spans="1:1" x14ac:dyDescent="0.3">
      <c r="A332" s="39"/>
    </row>
    <row r="333" spans="1:1" x14ac:dyDescent="0.3">
      <c r="A333" s="39"/>
    </row>
    <row r="334" spans="1:1" x14ac:dyDescent="0.3">
      <c r="A334" s="39"/>
    </row>
    <row r="335" spans="1:1" x14ac:dyDescent="0.3">
      <c r="A335" s="39"/>
    </row>
    <row r="336" spans="1:1" x14ac:dyDescent="0.3">
      <c r="A336" s="39"/>
    </row>
    <row r="337" spans="1:1" x14ac:dyDescent="0.3">
      <c r="A337" s="39"/>
    </row>
  </sheetData>
  <mergeCells count="3">
    <mergeCell ref="L1:M1"/>
    <mergeCell ref="N1:O1"/>
    <mergeCell ref="P1: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2D28-61D1-44F5-BF60-DA85F158584F}">
  <sheetPr codeName="Sheet16"/>
  <dimension ref="B3:U80"/>
  <sheetViews>
    <sheetView showGridLines="0" zoomScale="55" zoomScaleNormal="55" workbookViewId="0">
      <selection activeCell="W11" sqref="W11"/>
    </sheetView>
  </sheetViews>
  <sheetFormatPr defaultRowHeight="14.4" x14ac:dyDescent="0.3"/>
  <cols>
    <col min="1" max="1" width="3.44140625" bestFit="1" customWidth="1"/>
    <col min="2" max="2" width="5.88671875" bestFit="1" customWidth="1"/>
    <col min="3" max="3" width="36.5546875" bestFit="1" customWidth="1"/>
    <col min="4" max="4" width="41.77734375" customWidth="1"/>
    <col min="5" max="5" width="24.109375" customWidth="1"/>
    <col min="6" max="6" width="22.44140625" bestFit="1" customWidth="1"/>
    <col min="7" max="7" width="16.6640625" bestFit="1" customWidth="1"/>
    <col min="8" max="8" width="16.44140625" bestFit="1" customWidth="1"/>
    <col min="14" max="14" width="29.5546875" customWidth="1"/>
    <col min="17" max="17" width="3.5546875" bestFit="1" customWidth="1"/>
    <col min="18" max="18" width="28.21875" bestFit="1" customWidth="1"/>
    <col min="19" max="19" width="22.5546875" customWidth="1"/>
  </cols>
  <sheetData>
    <row r="3" spans="2:21" x14ac:dyDescent="0.3"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3"/>
    </row>
    <row r="4" spans="2:21" x14ac:dyDescent="0.3">
      <c r="B4" s="25"/>
      <c r="C4" s="245" t="s">
        <v>406</v>
      </c>
      <c r="D4" s="245"/>
      <c r="E4" s="26"/>
      <c r="F4" s="26"/>
      <c r="G4" s="26"/>
      <c r="H4" s="26"/>
      <c r="I4" s="26"/>
      <c r="J4" s="26"/>
      <c r="K4" s="26"/>
      <c r="L4" s="26"/>
      <c r="M4" s="26"/>
      <c r="N4" s="27"/>
    </row>
    <row r="5" spans="2:21" x14ac:dyDescent="0.3">
      <c r="B5" s="25"/>
      <c r="C5" s="245"/>
      <c r="D5" s="245"/>
      <c r="E5" s="26"/>
      <c r="F5" s="26"/>
      <c r="G5" s="26"/>
      <c r="H5" s="26"/>
      <c r="I5" s="26"/>
      <c r="J5" s="26"/>
      <c r="K5" s="26"/>
      <c r="L5" s="26"/>
      <c r="M5" s="26"/>
      <c r="N5" s="27"/>
      <c r="U5" s="26"/>
    </row>
    <row r="6" spans="2:21" x14ac:dyDescent="0.3">
      <c r="B6" s="25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7"/>
      <c r="U6" s="26"/>
    </row>
    <row r="7" spans="2:21" ht="36" x14ac:dyDescent="0.35">
      <c r="B7" s="92" t="s">
        <v>245</v>
      </c>
      <c r="C7" s="96" t="s">
        <v>315</v>
      </c>
      <c r="D7" s="91" t="s">
        <v>69</v>
      </c>
      <c r="E7" s="96" t="s">
        <v>410</v>
      </c>
      <c r="F7" s="96" t="s">
        <v>411</v>
      </c>
      <c r="G7" s="164" t="s">
        <v>404</v>
      </c>
      <c r="H7" s="164" t="s">
        <v>405</v>
      </c>
      <c r="I7" s="26"/>
      <c r="J7" s="26"/>
      <c r="K7" s="26"/>
      <c r="L7" s="26"/>
      <c r="M7" s="26"/>
      <c r="N7" s="27"/>
    </row>
    <row r="8" spans="2:21" ht="18" x14ac:dyDescent="0.35">
      <c r="B8" s="92">
        <v>1</v>
      </c>
      <c r="C8" s="97" t="s">
        <v>316</v>
      </c>
      <c r="D8" s="98" t="s">
        <v>386</v>
      </c>
      <c r="E8" s="169">
        <v>0</v>
      </c>
      <c r="F8" s="167">
        <v>5.9704581976496772E-2</v>
      </c>
      <c r="G8" s="163">
        <v>0</v>
      </c>
      <c r="H8" s="165">
        <v>1.013123359390234E-2</v>
      </c>
      <c r="I8" s="26"/>
      <c r="J8" s="26"/>
      <c r="K8" s="26"/>
      <c r="L8" s="26"/>
      <c r="M8" s="26"/>
      <c r="N8" s="27"/>
    </row>
    <row r="9" spans="2:21" ht="18" x14ac:dyDescent="0.35">
      <c r="B9" s="99">
        <v>2</v>
      </c>
      <c r="C9" s="97" t="s">
        <v>334</v>
      </c>
      <c r="D9" s="98" t="s">
        <v>461</v>
      </c>
      <c r="E9" s="169">
        <v>0</v>
      </c>
      <c r="F9" s="168">
        <v>9.5222162639846758E-2</v>
      </c>
      <c r="G9" s="163">
        <v>0</v>
      </c>
      <c r="H9" s="165">
        <v>1.6415978925940048E-2</v>
      </c>
      <c r="I9" s="26"/>
      <c r="J9" s="26"/>
      <c r="K9" s="26"/>
      <c r="L9" s="26"/>
      <c r="M9" s="26"/>
      <c r="N9" s="27"/>
    </row>
    <row r="10" spans="2:21" ht="18" x14ac:dyDescent="0.35">
      <c r="B10" s="99">
        <v>3</v>
      </c>
      <c r="C10" s="100" t="s">
        <v>335</v>
      </c>
      <c r="D10" s="98" t="s">
        <v>429</v>
      </c>
      <c r="E10" s="169">
        <v>0</v>
      </c>
      <c r="F10" s="168">
        <v>0.20389592032165305</v>
      </c>
      <c r="G10" s="163">
        <v>0</v>
      </c>
      <c r="H10" s="165">
        <v>3.4036321831215709E-2</v>
      </c>
      <c r="I10" s="26"/>
      <c r="J10" s="26"/>
      <c r="K10" s="26"/>
      <c r="L10" s="26"/>
      <c r="M10" s="26"/>
      <c r="N10" s="27"/>
    </row>
    <row r="11" spans="2:21" ht="18" x14ac:dyDescent="0.35">
      <c r="B11" s="101"/>
      <c r="C11" s="102"/>
      <c r="D11" s="102"/>
      <c r="E11" s="102"/>
      <c r="F11" s="102"/>
      <c r="G11" s="26"/>
      <c r="H11" s="26"/>
      <c r="I11" s="26"/>
      <c r="J11" s="26"/>
      <c r="K11" s="26"/>
      <c r="L11" s="26"/>
      <c r="M11" s="26"/>
      <c r="N11" s="27"/>
    </row>
    <row r="12" spans="2:21" ht="18" x14ac:dyDescent="0.35">
      <c r="B12" s="103" t="s">
        <v>245</v>
      </c>
      <c r="C12" s="104" t="s">
        <v>69</v>
      </c>
      <c r="D12" s="92" t="s">
        <v>318</v>
      </c>
      <c r="G12" s="26"/>
      <c r="H12" s="26"/>
      <c r="I12" s="26"/>
      <c r="J12" s="26"/>
      <c r="K12" s="26"/>
      <c r="L12" s="26"/>
      <c r="M12" s="26"/>
      <c r="N12" s="27"/>
    </row>
    <row r="13" spans="2:21" ht="18" x14ac:dyDescent="0.35">
      <c r="B13" s="92">
        <v>1</v>
      </c>
      <c r="C13" s="105" t="str">
        <f>D8</f>
        <v>SUS-SBDA</v>
      </c>
      <c r="D13" s="105" t="s">
        <v>462</v>
      </c>
      <c r="G13" s="26"/>
      <c r="H13" s="26"/>
      <c r="I13" s="26"/>
      <c r="J13" s="26"/>
      <c r="K13" s="26"/>
      <c r="L13" s="26"/>
      <c r="M13" s="26"/>
      <c r="N13" s="27"/>
    </row>
    <row r="14" spans="2:21" ht="18" x14ac:dyDescent="0.35">
      <c r="B14" s="92">
        <v>2</v>
      </c>
      <c r="C14" s="105" t="str">
        <f>D9</f>
        <v>SUS-CBAB</v>
      </c>
      <c r="D14" s="105" t="s">
        <v>443</v>
      </c>
      <c r="G14" s="26"/>
      <c r="H14" s="26"/>
      <c r="I14" s="26"/>
      <c r="J14" s="26"/>
      <c r="K14" s="26"/>
      <c r="L14" s="26"/>
      <c r="M14" s="26"/>
      <c r="N14" s="27"/>
    </row>
    <row r="15" spans="2:21" ht="18" x14ac:dyDescent="0.35">
      <c r="B15" s="92">
        <v>3</v>
      </c>
      <c r="C15" s="105" t="str">
        <f>D10</f>
        <v>SUS-CBAC</v>
      </c>
      <c r="D15" s="105" t="s">
        <v>443</v>
      </c>
      <c r="G15" s="26"/>
      <c r="H15" s="26"/>
      <c r="I15" s="26"/>
      <c r="J15" s="26"/>
      <c r="K15" s="26"/>
      <c r="L15" s="26"/>
      <c r="M15" s="26"/>
      <c r="N15" s="27"/>
    </row>
    <row r="16" spans="2:21" x14ac:dyDescent="0.3">
      <c r="B16" s="25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7"/>
    </row>
    <row r="17" spans="2:14" x14ac:dyDescent="0.3">
      <c r="B17" s="25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7"/>
    </row>
    <row r="18" spans="2:14" x14ac:dyDescent="0.3">
      <c r="B18" s="25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7"/>
    </row>
    <row r="19" spans="2:14" ht="35.4" customHeight="1" x14ac:dyDescent="0.3">
      <c r="B19" s="28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30"/>
    </row>
    <row r="22" spans="2:14" x14ac:dyDescent="0.3">
      <c r="B22" s="31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3"/>
    </row>
    <row r="23" spans="2:14" x14ac:dyDescent="0.3">
      <c r="B23" s="25"/>
      <c r="C23" s="245" t="s">
        <v>407</v>
      </c>
      <c r="D23" s="245"/>
      <c r="E23" s="26"/>
      <c r="F23" s="26"/>
      <c r="G23" s="26"/>
      <c r="H23" s="26"/>
      <c r="I23" s="26"/>
      <c r="J23" s="26"/>
      <c r="K23" s="26"/>
      <c r="L23" s="26"/>
      <c r="M23" s="26"/>
      <c r="N23" s="27"/>
    </row>
    <row r="24" spans="2:14" x14ac:dyDescent="0.3">
      <c r="B24" s="25"/>
      <c r="C24" s="245"/>
      <c r="D24" s="245"/>
      <c r="E24" s="26"/>
      <c r="F24" s="26"/>
      <c r="G24" s="26"/>
      <c r="H24" s="26"/>
      <c r="I24" s="26"/>
      <c r="J24" s="26"/>
      <c r="K24" s="26"/>
      <c r="L24" s="26"/>
      <c r="M24" s="26"/>
      <c r="N24" s="27"/>
    </row>
    <row r="25" spans="2:14" x14ac:dyDescent="0.3"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7"/>
    </row>
    <row r="26" spans="2:14" ht="25.8" x14ac:dyDescent="0.5">
      <c r="B26" s="93" t="s">
        <v>245</v>
      </c>
      <c r="C26" s="94" t="s">
        <v>314</v>
      </c>
      <c r="D26" s="94" t="s">
        <v>398</v>
      </c>
      <c r="E26" s="94" t="s">
        <v>381</v>
      </c>
      <c r="G26" s="26"/>
      <c r="H26" s="26"/>
      <c r="I26" s="26"/>
      <c r="J26" s="26"/>
      <c r="K26" s="26"/>
      <c r="L26" s="26"/>
      <c r="M26" s="26"/>
      <c r="N26" s="27"/>
    </row>
    <row r="27" spans="2:14" ht="25.8" x14ac:dyDescent="0.3">
      <c r="B27" s="93">
        <v>1</v>
      </c>
      <c r="C27" s="95" t="s">
        <v>408</v>
      </c>
      <c r="D27" s="173">
        <v>0</v>
      </c>
      <c r="E27" s="173">
        <v>0</v>
      </c>
      <c r="G27" s="26"/>
      <c r="H27" s="26"/>
      <c r="I27" s="26"/>
      <c r="J27" s="26"/>
      <c r="K27" s="26"/>
      <c r="L27" s="26"/>
      <c r="M27" s="26"/>
      <c r="N27" s="27"/>
    </row>
    <row r="28" spans="2:14" ht="25.8" x14ac:dyDescent="0.5">
      <c r="B28" s="93">
        <v>2</v>
      </c>
      <c r="C28" s="95" t="s">
        <v>409</v>
      </c>
      <c r="D28" s="178">
        <v>0.20389592032165305</v>
      </c>
      <c r="E28" s="172">
        <v>3.4036321831215709E-2</v>
      </c>
      <c r="G28" s="26"/>
      <c r="H28" s="26"/>
      <c r="I28" s="26"/>
      <c r="J28" s="26"/>
      <c r="K28" s="26"/>
      <c r="L28" s="26"/>
      <c r="M28" s="26"/>
      <c r="N28" s="27"/>
    </row>
    <row r="29" spans="2:14" ht="25.8" x14ac:dyDescent="0.5">
      <c r="B29" s="94">
        <v>3</v>
      </c>
      <c r="C29" s="174" t="s">
        <v>317</v>
      </c>
      <c r="D29" s="210">
        <f>D28-D27</f>
        <v>0.20389592032165305</v>
      </c>
      <c r="E29" s="210">
        <f>E28-E27</f>
        <v>3.4036321831215709E-2</v>
      </c>
      <c r="G29" s="26"/>
      <c r="H29" s="26"/>
      <c r="I29" s="26"/>
      <c r="J29" s="26"/>
      <c r="K29" s="26"/>
      <c r="L29" s="26"/>
      <c r="M29" s="26"/>
      <c r="N29" s="27"/>
    </row>
    <row r="30" spans="2:14" x14ac:dyDescent="0.3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7"/>
    </row>
    <row r="31" spans="2:14" x14ac:dyDescent="0.3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7"/>
    </row>
    <row r="32" spans="2:14" x14ac:dyDescent="0.3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7"/>
    </row>
    <row r="33" spans="2:14" x14ac:dyDescent="0.3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7"/>
    </row>
    <row r="34" spans="2:14" x14ac:dyDescent="0.3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7"/>
    </row>
    <row r="35" spans="2:14" x14ac:dyDescent="0.3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7"/>
    </row>
    <row r="36" spans="2:14" x14ac:dyDescent="0.3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</row>
    <row r="37" spans="2:14" x14ac:dyDescent="0.3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</row>
    <row r="38" spans="2:14" x14ac:dyDescent="0.3">
      <c r="B38" s="28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30"/>
    </row>
    <row r="41" spans="2:14" hidden="1" x14ac:dyDescent="0.3">
      <c r="B41" s="31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3"/>
    </row>
    <row r="42" spans="2:14" hidden="1" x14ac:dyDescent="0.3">
      <c r="B42" s="25"/>
      <c r="C42" s="245" t="s">
        <v>323</v>
      </c>
      <c r="D42" s="245"/>
      <c r="E42" s="26"/>
      <c r="F42" s="26"/>
      <c r="G42" s="26"/>
      <c r="H42" s="26"/>
      <c r="I42" s="26"/>
      <c r="J42" s="26"/>
      <c r="K42" s="26"/>
      <c r="L42" s="26"/>
      <c r="M42" s="26"/>
      <c r="N42" s="27"/>
    </row>
    <row r="43" spans="2:14" hidden="1" x14ac:dyDescent="0.3">
      <c r="B43" s="25"/>
      <c r="C43" s="245"/>
      <c r="D43" s="245"/>
      <c r="E43" s="26"/>
      <c r="F43" s="26"/>
      <c r="G43" s="26"/>
      <c r="H43" s="26"/>
      <c r="I43" s="26"/>
      <c r="J43" s="26"/>
      <c r="K43" s="26"/>
      <c r="L43" s="26"/>
      <c r="M43" s="26"/>
      <c r="N43" s="27"/>
    </row>
    <row r="44" spans="2:14" hidden="1" x14ac:dyDescent="0.3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</row>
    <row r="45" spans="2:14" hidden="1" x14ac:dyDescent="0.3">
      <c r="B45" s="55" t="s">
        <v>245</v>
      </c>
      <c r="C45" s="53" t="s">
        <v>313</v>
      </c>
      <c r="D45" s="53" t="s">
        <v>242</v>
      </c>
      <c r="E45" s="53" t="s">
        <v>243</v>
      </c>
      <c r="F45" s="57" t="s">
        <v>255</v>
      </c>
      <c r="G45" s="26"/>
      <c r="H45" s="26"/>
      <c r="I45" s="26"/>
      <c r="J45" s="26"/>
      <c r="K45" s="26"/>
      <c r="L45" s="26"/>
      <c r="M45" s="26"/>
      <c r="N45" s="27"/>
    </row>
    <row r="46" spans="2:14" hidden="1" x14ac:dyDescent="0.3">
      <c r="B46" s="55">
        <v>1</v>
      </c>
      <c r="C46" s="56" t="str">
        <f>D13</f>
        <v>RECLAIM RUBBER</v>
      </c>
      <c r="D46" s="58"/>
      <c r="E46" s="58"/>
      <c r="F46" s="43"/>
      <c r="G46" s="26"/>
      <c r="H46" s="26">
        <v>1.7999999999999998</v>
      </c>
      <c r="I46" s="26">
        <v>1.8376142837079998</v>
      </c>
      <c r="J46" s="26">
        <v>8.7986563270748306</v>
      </c>
      <c r="K46" s="26">
        <v>8.9629085416986616</v>
      </c>
      <c r="L46" s="26"/>
      <c r="M46" s="26"/>
      <c r="N46" s="27"/>
    </row>
    <row r="47" spans="2:14" hidden="1" x14ac:dyDescent="0.3">
      <c r="B47" s="55">
        <v>2</v>
      </c>
      <c r="C47" s="56" t="str">
        <f>D14</f>
        <v>SUSTAINABLE FILLER</v>
      </c>
      <c r="D47" s="58"/>
      <c r="E47" s="58"/>
      <c r="F47" s="43"/>
      <c r="G47" s="26"/>
      <c r="H47" s="26">
        <v>15.473197497596939</v>
      </c>
      <c r="I47" s="26">
        <v>15.478551497596939</v>
      </c>
      <c r="J47" s="26">
        <v>75.635192812394308</v>
      </c>
      <c r="K47" s="26">
        <v>75.496170584283021</v>
      </c>
      <c r="L47" s="26"/>
      <c r="M47" s="26"/>
      <c r="N47" s="27"/>
    </row>
    <row r="48" spans="2:14" hidden="1" x14ac:dyDescent="0.3">
      <c r="B48" s="55">
        <v>3</v>
      </c>
      <c r="C48" s="56" t="str">
        <f>D15</f>
        <v>SUSTAINABLE FILLER</v>
      </c>
      <c r="D48" s="58"/>
      <c r="E48" s="58"/>
      <c r="F48" s="43"/>
      <c r="G48" s="26"/>
      <c r="H48" s="26">
        <v>3.1844716406</v>
      </c>
      <c r="I48" s="26">
        <v>3.1862668292562399</v>
      </c>
      <c r="J48" s="26">
        <v>15.566150860530866</v>
      </c>
      <c r="K48" s="26">
        <v>15.540920874018312</v>
      </c>
      <c r="L48" s="26"/>
      <c r="M48" s="26"/>
      <c r="N48" s="27"/>
    </row>
    <row r="49" spans="2:14" hidden="1" x14ac:dyDescent="0.3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</row>
    <row r="50" spans="2:14" hidden="1" x14ac:dyDescent="0.3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</row>
    <row r="51" spans="2:14" hidden="1" x14ac:dyDescent="0.3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</row>
    <row r="52" spans="2:14" hidden="1" x14ac:dyDescent="0.3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</row>
    <row r="53" spans="2:14" hidden="1" x14ac:dyDescent="0.3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</row>
    <row r="54" spans="2:14" hidden="1" x14ac:dyDescent="0.3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</row>
    <row r="55" spans="2:14" hidden="1" x14ac:dyDescent="0.3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</row>
    <row r="56" spans="2:14" hidden="1" x14ac:dyDescent="0.3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</row>
    <row r="57" spans="2:14" hidden="1" x14ac:dyDescent="0.3">
      <c r="B57" s="28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30"/>
    </row>
    <row r="60" spans="2:14" x14ac:dyDescent="0.3">
      <c r="B60" s="31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3"/>
    </row>
    <row r="61" spans="2:14" x14ac:dyDescent="0.3">
      <c r="B61" s="25"/>
      <c r="C61" s="245" t="s">
        <v>412</v>
      </c>
      <c r="D61" s="245"/>
      <c r="E61" s="26"/>
      <c r="F61" s="26"/>
      <c r="G61" s="26"/>
      <c r="H61" s="26"/>
      <c r="I61" s="26"/>
      <c r="J61" s="26"/>
      <c r="K61" s="26"/>
      <c r="L61" s="26"/>
      <c r="M61" s="26"/>
      <c r="N61" s="27"/>
    </row>
    <row r="62" spans="2:14" x14ac:dyDescent="0.3">
      <c r="B62" s="25"/>
      <c r="C62" s="245"/>
      <c r="D62" s="245"/>
      <c r="E62" s="26"/>
      <c r="F62" s="26"/>
      <c r="G62" s="26"/>
      <c r="H62" s="26"/>
      <c r="I62" s="26"/>
      <c r="J62" s="26"/>
      <c r="K62" s="26"/>
      <c r="L62" s="26"/>
      <c r="M62" s="26"/>
      <c r="N62" s="27"/>
    </row>
    <row r="63" spans="2:14" x14ac:dyDescent="0.3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7"/>
    </row>
    <row r="64" spans="2:14" ht="18" x14ac:dyDescent="0.35">
      <c r="B64" s="91" t="s">
        <v>245</v>
      </c>
      <c r="C64" s="92" t="s">
        <v>320</v>
      </c>
      <c r="D64" s="92" t="s">
        <v>318</v>
      </c>
      <c r="E64" s="92" t="s">
        <v>242</v>
      </c>
      <c r="F64" s="92" t="s">
        <v>243</v>
      </c>
      <c r="H64" s="26"/>
      <c r="I64" s="26"/>
      <c r="J64" s="26"/>
      <c r="K64" s="26"/>
      <c r="L64" s="26"/>
      <c r="M64" s="26"/>
      <c r="N64" s="27"/>
    </row>
    <row r="65" spans="2:14" ht="14.4" customHeight="1" x14ac:dyDescent="0.3">
      <c r="B65" s="91">
        <v>1</v>
      </c>
      <c r="C65" s="105" t="s">
        <v>31</v>
      </c>
      <c r="D65" s="105" t="str">
        <f>IFERROR(VLOOKUP(C65,'CATEGORY SPESIFICATION'!D3:E144,2,FALSE),"")</f>
        <v>Synthetic Rubber</v>
      </c>
      <c r="E65" s="106">
        <v>2.202</v>
      </c>
      <c r="F65" s="166">
        <v>1.101</v>
      </c>
      <c r="G65" s="85"/>
      <c r="H65" s="26"/>
      <c r="I65" s="26"/>
      <c r="J65" s="26"/>
      <c r="K65" s="26"/>
      <c r="L65" s="26"/>
      <c r="M65" s="26"/>
      <c r="N65" s="27"/>
    </row>
    <row r="66" spans="2:14" ht="14.4" customHeight="1" x14ac:dyDescent="0.3">
      <c r="B66" s="91">
        <v>2</v>
      </c>
      <c r="C66" s="105" t="s">
        <v>44</v>
      </c>
      <c r="D66" s="105" t="str">
        <f>IFERROR(VLOOKUP(C66,'CATEGORY SPESIFICATION'!D4:E145,2,FALSE),"")</f>
        <v>Filler</v>
      </c>
      <c r="E66" s="106">
        <v>1.3826500000000004</v>
      </c>
      <c r="F66" s="166">
        <v>0.69132500000000019</v>
      </c>
      <c r="H66" s="26"/>
      <c r="I66" s="26"/>
      <c r="J66" s="26"/>
      <c r="K66" s="26"/>
      <c r="L66" s="26"/>
      <c r="M66" s="26"/>
      <c r="N66" s="27"/>
    </row>
    <row r="67" spans="2:14" ht="18" x14ac:dyDescent="0.3">
      <c r="B67" s="91">
        <v>3</v>
      </c>
      <c r="C67" s="105" t="s">
        <v>38</v>
      </c>
      <c r="D67" s="105" t="str">
        <f>IFERROR(VLOOKUP(C67,'CATEGORY SPESIFICATION'!D5:E146,2,FALSE),"")</f>
        <v>Filler</v>
      </c>
      <c r="E67" s="106">
        <v>4.4485999999999999</v>
      </c>
      <c r="F67" s="166">
        <v>2.2242999999999999</v>
      </c>
      <c r="H67" s="26"/>
      <c r="I67" s="26"/>
      <c r="J67" s="26"/>
      <c r="K67" s="26"/>
      <c r="L67" s="26"/>
      <c r="M67" s="26"/>
      <c r="N67" s="27"/>
    </row>
    <row r="68" spans="2:14" ht="18" x14ac:dyDescent="0.35">
      <c r="B68" s="101"/>
      <c r="C68" s="102"/>
      <c r="D68" s="102"/>
      <c r="E68" s="102"/>
      <c r="F68" s="102"/>
      <c r="G68" s="102"/>
      <c r="H68" s="26"/>
      <c r="I68" s="26"/>
      <c r="J68" s="26"/>
      <c r="K68" s="26"/>
      <c r="L68" s="26"/>
      <c r="M68" s="26"/>
      <c r="N68" s="27"/>
    </row>
    <row r="69" spans="2:14" ht="18" x14ac:dyDescent="0.35">
      <c r="B69" s="101"/>
      <c r="C69" s="102"/>
      <c r="D69" s="102"/>
      <c r="E69" s="102"/>
      <c r="F69" s="102"/>
      <c r="G69" s="102"/>
      <c r="H69" s="26"/>
      <c r="I69" s="26"/>
      <c r="J69" s="26"/>
      <c r="K69" s="26"/>
      <c r="L69" s="26"/>
      <c r="M69" s="26"/>
      <c r="N69" s="27"/>
    </row>
    <row r="70" spans="2:14" ht="18" x14ac:dyDescent="0.35">
      <c r="B70" s="91" t="s">
        <v>245</v>
      </c>
      <c r="C70" s="92" t="s">
        <v>321</v>
      </c>
      <c r="D70" s="92" t="s">
        <v>318</v>
      </c>
      <c r="E70" s="92" t="s">
        <v>242</v>
      </c>
      <c r="F70" s="92" t="s">
        <v>243</v>
      </c>
      <c r="H70" s="26"/>
      <c r="I70" s="26"/>
      <c r="J70" s="26"/>
      <c r="K70" s="26"/>
      <c r="L70" s="26"/>
      <c r="M70" s="26"/>
      <c r="N70" s="27"/>
    </row>
    <row r="71" spans="2:14" ht="18" x14ac:dyDescent="0.3">
      <c r="B71" s="91">
        <v>1</v>
      </c>
      <c r="C71" s="105" t="str">
        <f>D8</f>
        <v>SUS-SBDA</v>
      </c>
      <c r="D71" s="105" t="str">
        <f>D13</f>
        <v>RECLAIM RUBBER</v>
      </c>
      <c r="E71" s="106">
        <v>0</v>
      </c>
      <c r="F71" s="166">
        <v>1.101</v>
      </c>
      <c r="H71" s="26"/>
      <c r="I71" s="26"/>
      <c r="J71" s="26"/>
      <c r="K71" s="26"/>
      <c r="L71" s="26"/>
      <c r="M71" s="26"/>
      <c r="N71" s="27"/>
    </row>
    <row r="72" spans="2:14" ht="18" x14ac:dyDescent="0.3">
      <c r="B72" s="91">
        <v>2</v>
      </c>
      <c r="C72" s="105" t="str">
        <f>D9</f>
        <v>SUS-CBAB</v>
      </c>
      <c r="D72" s="105" t="str">
        <f>D14</f>
        <v>SUSTAINABLE FILLER</v>
      </c>
      <c r="E72" s="106">
        <v>0</v>
      </c>
      <c r="F72" s="166">
        <v>0.69132500000000019</v>
      </c>
      <c r="H72" s="26"/>
      <c r="I72" s="26"/>
      <c r="J72" s="26"/>
      <c r="K72" s="26"/>
      <c r="L72" s="26"/>
      <c r="M72" s="26"/>
      <c r="N72" s="27"/>
    </row>
    <row r="73" spans="2:14" ht="18" x14ac:dyDescent="0.3">
      <c r="B73" s="91">
        <v>3</v>
      </c>
      <c r="C73" s="105" t="str">
        <f>D10</f>
        <v>SUS-CBAC</v>
      </c>
      <c r="D73" s="105" t="str">
        <f>D15</f>
        <v>SUSTAINABLE FILLER</v>
      </c>
      <c r="E73" s="106">
        <v>0</v>
      </c>
      <c r="F73" s="166">
        <v>2.2242999999999999</v>
      </c>
      <c r="H73" s="26"/>
      <c r="I73" s="26"/>
      <c r="J73" s="26"/>
      <c r="K73" s="26"/>
      <c r="L73" s="26"/>
      <c r="M73" s="26"/>
      <c r="N73" s="27"/>
    </row>
    <row r="74" spans="2:14" x14ac:dyDescent="0.3"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7"/>
    </row>
    <row r="75" spans="2:14" x14ac:dyDescent="0.3"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7"/>
    </row>
    <row r="76" spans="2:14" x14ac:dyDescent="0.3">
      <c r="B76" s="28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30"/>
    </row>
    <row r="78" spans="2:14" x14ac:dyDescent="0.3">
      <c r="D78" s="86"/>
    </row>
    <row r="80" spans="2:14" x14ac:dyDescent="0.3">
      <c r="E80" s="85"/>
    </row>
  </sheetData>
  <mergeCells count="4">
    <mergeCell ref="C4:D5"/>
    <mergeCell ref="C23:D24"/>
    <mergeCell ref="C42:D43"/>
    <mergeCell ref="C61:D62"/>
  </mergeCells>
  <pageMargins left="0.7" right="0.7" top="0.75" bottom="0.75" header="0.3" footer="0.3"/>
  <cellWatches>
    <cellWatch r="E8"/>
    <cellWatch r="F8"/>
    <cellWatch r="G8"/>
    <cellWatch r="H8"/>
    <cellWatch r="E9"/>
    <cellWatch r="F9"/>
    <cellWatch r="G9"/>
    <cellWatch r="H9"/>
    <cellWatch r="E10"/>
    <cellWatch r="F10"/>
    <cellWatch r="G10"/>
    <cellWatch r="H10"/>
  </cellWatches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B97A9-6DA5-482C-882F-472D492D88DE}">
  <sheetPr codeName="Sheet11"/>
  <dimension ref="A2:K26"/>
  <sheetViews>
    <sheetView zoomScale="85" zoomScaleNormal="85" workbookViewId="0">
      <selection activeCell="I6" sqref="I6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</cols>
  <sheetData>
    <row r="2" spans="2:11" ht="15" thickBot="1" x14ac:dyDescent="0.35"/>
    <row r="3" spans="2:11" x14ac:dyDescent="0.3">
      <c r="B3" s="14" t="s">
        <v>69</v>
      </c>
      <c r="C3" s="15" t="s">
        <v>223</v>
      </c>
      <c r="D3" s="15" t="s">
        <v>58</v>
      </c>
      <c r="E3" s="15" t="s">
        <v>217</v>
      </c>
      <c r="F3" s="15" t="s">
        <v>218</v>
      </c>
      <c r="G3" s="16" t="s">
        <v>219</v>
      </c>
      <c r="H3" s="17" t="s">
        <v>220</v>
      </c>
      <c r="I3" s="16" t="s">
        <v>345</v>
      </c>
      <c r="J3" s="16">
        <v>2023</v>
      </c>
      <c r="K3" s="17">
        <v>2024</v>
      </c>
    </row>
    <row r="4" spans="2:11" x14ac:dyDescent="0.3">
      <c r="B4" s="18" t="s">
        <v>70</v>
      </c>
      <c r="C4" s="19">
        <f ca="1">VLOOKUP($B4,XYZTU!$L$2:$N$15,3,FALSE)</f>
        <v>0</v>
      </c>
      <c r="D4" s="19">
        <f>VLOOKUP($B4,SPEC001!$L$2:$N$15,3,FALSE)</f>
        <v>0</v>
      </c>
      <c r="E4" s="19">
        <f>VLOOKUP($B4,SPEC002!$L$2:$N$15,3,FALSE)</f>
        <v>0</v>
      </c>
      <c r="F4" s="19">
        <f>VLOOKUP($B4,SPEC003!$L$2:$N$15,3,FALSE)</f>
        <v>0</v>
      </c>
      <c r="G4" s="19">
        <f>VLOOKUP($B4,SPEC004!$L$2:$N$15,3,FALSE)</f>
        <v>0</v>
      </c>
      <c r="H4" s="19">
        <f>VLOOKUP($B4,SPEC005!$L$2:$N$15,3,FALSE)</f>
        <v>0</v>
      </c>
      <c r="I4" s="19">
        <f ca="1">AVERAGE(C4:H4)</f>
        <v>0</v>
      </c>
      <c r="J4" s="20" cm="1">
        <f t="array" aca="1" ref="J4" ca="1">SUM(C4:I4*$C$17:$I$17)/$J$17</f>
        <v>0</v>
      </c>
      <c r="K4" s="20" cm="1">
        <f t="array" aca="1" ref="K4" ca="1">SUM(C4:I4*$C$20:$I$20)/$K$20</f>
        <v>0</v>
      </c>
    </row>
    <row r="5" spans="2:11" x14ac:dyDescent="0.3">
      <c r="B5" s="22" t="s">
        <v>71</v>
      </c>
      <c r="C5" s="19">
        <f ca="1">VLOOKUP($B5,XYZTU!$L$2:$N$15,3,FALSE)</f>
        <v>0.11399955938976952</v>
      </c>
      <c r="D5" s="19">
        <f>VLOOKUP($B5,SPEC001!$L$2:$N$15,3,FALSE)</f>
        <v>0.17459866073544447</v>
      </c>
      <c r="E5" s="19">
        <f>VLOOKUP($B5,SPEC002!$L$2:$N$15,3,FALSE)</f>
        <v>0.15755406487785342</v>
      </c>
      <c r="F5" s="19">
        <f>VLOOKUP($B5,SPEC003!$L$2:$N$15,3,FALSE)</f>
        <v>0.12787013849816137</v>
      </c>
      <c r="G5" s="19">
        <f>VLOOKUP($B5,SPEC004!$L$2:$N$15,3,FALSE)</f>
        <v>0.1560281743026565</v>
      </c>
      <c r="H5" s="19">
        <f>VLOOKUP($B5,SPEC005!$L$2:$N$15,3,FALSE)</f>
        <v>0.1560281743026565</v>
      </c>
      <c r="I5" s="19">
        <f t="shared" ref="I5:I14" ca="1" si="0">AVERAGE(C5:H5)</f>
        <v>0.1476797953510903</v>
      </c>
      <c r="J5" s="20" cm="1">
        <f t="array" aca="1" ref="J5" ca="1">SUM(C5:I5*$C$17:$I$17)/$J$17</f>
        <v>0.14518484157336273</v>
      </c>
      <c r="K5" s="20" cm="1">
        <f t="array" aca="1" ref="K5" ca="1">SUM(C5:I5*$C$20:$I$20)/$K$20</f>
        <v>0.14560066720298398</v>
      </c>
    </row>
    <row r="6" spans="2:11" x14ac:dyDescent="0.3">
      <c r="B6" s="18" t="s">
        <v>72</v>
      </c>
      <c r="C6" s="19">
        <f ca="1">VLOOKUP($B6,XYZTU!$L$2:$N$15,3,FALSE)</f>
        <v>5.6738524147618204E-3</v>
      </c>
      <c r="D6" s="19">
        <f>VLOOKUP($B6,SPEC001!$L$2:$N$15,3,FALSE)</f>
        <v>3.5569277713455162E-3</v>
      </c>
      <c r="E6" s="19">
        <f>VLOOKUP($B6,SPEC002!$L$2:$N$15,3,FALSE)</f>
        <v>2.0497096515818981E-2</v>
      </c>
      <c r="F6" s="19">
        <f>VLOOKUP($B6,SPEC003!$L$2:$N$15,3,FALSE)</f>
        <v>2.3732625021263304E-2</v>
      </c>
      <c r="G6" s="19">
        <f>VLOOKUP($B6,SPEC004!$L$2:$N$15,3,FALSE)</f>
        <v>3.1220401266535743E-3</v>
      </c>
      <c r="H6" s="19">
        <f>VLOOKUP($B6,SPEC005!$L$2:$N$15,3,FALSE)</f>
        <v>3.1220401266535743E-3</v>
      </c>
      <c r="I6" s="19">
        <f t="shared" ca="1" si="0"/>
        <v>9.9507636627494626E-3</v>
      </c>
      <c r="J6" s="20" cm="1">
        <f t="array" aca="1" ref="J6" ca="1">SUM(C6:I6*$C$17:$I$17)/$J$17</f>
        <v>1.0167327580132918E-2</v>
      </c>
      <c r="K6" s="20" cm="1">
        <f t="array" aca="1" ref="K6" ca="1">SUM(C6:I6*$C$20:$I$20)/$K$20</f>
        <v>1.0131233593902342E-2</v>
      </c>
    </row>
    <row r="7" spans="2:11" x14ac:dyDescent="0.3">
      <c r="B7" s="22" t="s">
        <v>73</v>
      </c>
      <c r="C7" s="19">
        <f ca="1">VLOOKUP($B7,XYZTU!$L$2:$N$15,3,FALSE)</f>
        <v>0.12126008145774222</v>
      </c>
      <c r="D7" s="19">
        <f>VLOOKUP($B7,SPEC001!$L$2:$N$15,3,FALSE)</f>
        <v>0.16264368205218482</v>
      </c>
      <c r="E7" s="19">
        <f>VLOOKUP($B7,SPEC002!$L$2:$N$15,3,FALSE)</f>
        <v>0.10296981377653183</v>
      </c>
      <c r="F7" s="19">
        <f>VLOOKUP($B7,SPEC003!$L$2:$N$15,3,FALSE)</f>
        <v>9.3661491929959262E-2</v>
      </c>
      <c r="G7" s="19">
        <f>VLOOKUP($B7,SPEC004!$L$2:$N$15,3,FALSE)</f>
        <v>9.792025718860288E-2</v>
      </c>
      <c r="H7" s="19">
        <f>VLOOKUP($B7,SPEC005!$L$2:$N$15,3,FALSE)</f>
        <v>9.792025718860288E-2</v>
      </c>
      <c r="I7" s="19">
        <f t="shared" ca="1" si="0"/>
        <v>0.11272926393227066</v>
      </c>
      <c r="J7" s="20" cm="1">
        <f t="array" aca="1" ref="J7" ca="1">SUM(C7:I7*$C$17:$I$17)/$J$17</f>
        <v>0.11913281828793094</v>
      </c>
      <c r="K7" s="20" cm="1">
        <f t="array" aca="1" ref="K7" ca="1">SUM(C7:I7*$C$20:$I$20)/$K$20</f>
        <v>0.11806555922865425</v>
      </c>
    </row>
    <row r="8" spans="2:11" x14ac:dyDescent="0.3">
      <c r="B8" s="18" t="s">
        <v>74</v>
      </c>
      <c r="C8" s="19">
        <f ca="1">VLOOKUP($B8,XYZTU!$L$2:$N$15,3,FALSE)</f>
        <v>2.0085966578785027E-2</v>
      </c>
      <c r="D8" s="19">
        <f>VLOOKUP($B8,SPEC001!$L$2:$N$15,3,FALSE)</f>
        <v>2.6297793395760126E-2</v>
      </c>
      <c r="E8" s="19">
        <v>1.2948110221686719</v>
      </c>
      <c r="F8" s="19">
        <v>0</v>
      </c>
      <c r="G8" s="19">
        <f>VLOOKUP($B8,SPEC004!$L$2:$N$15,3,FALSE)</f>
        <v>2.1831076534282325E-2</v>
      </c>
      <c r="H8" s="19">
        <f>VLOOKUP($B8,SPEC005!$L$2:$N$15,3,FALSE)</f>
        <v>2.1831076534282325E-2</v>
      </c>
      <c r="I8" s="19">
        <f t="shared" ca="1" si="0"/>
        <v>0.23080948920196365</v>
      </c>
      <c r="J8" s="20" cm="1">
        <f t="array" aca="1" ref="J8" ca="1">SUM(C8:I8*$C$17:$I$17)/$J$17</f>
        <v>0.25679920166147602</v>
      </c>
      <c r="K8" s="20" cm="1">
        <f t="array" aca="1" ref="K8" ca="1">SUM(C8:I8*$C$20:$I$20)/$K$20</f>
        <v>0.25246758291822397</v>
      </c>
    </row>
    <row r="9" spans="2:11" x14ac:dyDescent="0.3">
      <c r="B9" s="22" t="s">
        <v>75</v>
      </c>
      <c r="C9" s="19">
        <f ca="1">VLOOKUP($B9,XYZTU!$L$2:$N$15,3,FALSE)</f>
        <v>5.1921446111153249E-2</v>
      </c>
      <c r="D9" s="19">
        <f>VLOOKUP($B9,SPEC001!$L$2:$N$15,3,FALSE)</f>
        <v>1.5175623308710187E-2</v>
      </c>
      <c r="E9" s="19">
        <f>VLOOKUP($B9,SPEC002!$L$2:$N$15,3,FALSE)</f>
        <v>2.1025230276331595E-2</v>
      </c>
      <c r="F9" s="19">
        <f>VLOOKUP($B9,SPEC003!$L$2:$N$15,3,FALSE)</f>
        <v>7.3778931800556951E-3</v>
      </c>
      <c r="G9" s="19">
        <f>VLOOKUP($B9,SPEC004!$L$2:$N$15,3,FALSE)</f>
        <v>3.9287077918105519E-2</v>
      </c>
      <c r="H9" s="19">
        <f>VLOOKUP($B9,SPEC005!$L$2:$N$15,3,FALSE)</f>
        <v>3.9287077918105519E-2</v>
      </c>
      <c r="I9" s="19">
        <f t="shared" ca="1" si="0"/>
        <v>2.9012391452076958E-2</v>
      </c>
      <c r="J9" s="20" cm="1">
        <f t="array" aca="1" ref="J9" ca="1">SUM(C9:I9*$C$17:$I$17)/$J$17</f>
        <v>2.9102087736743533E-2</v>
      </c>
      <c r="K9" s="20" cm="1">
        <f t="array" aca="1" ref="K9" ca="1">SUM(C9:I9*$C$20:$I$20)/$K$20</f>
        <v>2.9087138355965773E-2</v>
      </c>
    </row>
    <row r="10" spans="2:11" x14ac:dyDescent="0.3">
      <c r="B10" s="18" t="s">
        <v>76</v>
      </c>
      <c r="C10" s="19">
        <f ca="1">VLOOKUP($B10,XYZTU!$L$2:$N$15,3,FALSE)</f>
        <v>0</v>
      </c>
      <c r="D10" s="19">
        <f>VLOOKUP($B10,SPEC001!$L$2:$N$15,3,FALSE)</f>
        <v>0</v>
      </c>
      <c r="E10" s="19">
        <f>VLOOKUP($B10,SPEC002!$L$2:$N$15,3,FALSE)</f>
        <v>0</v>
      </c>
      <c r="F10" s="19">
        <f>VLOOKUP($B10,SPEC003!$L$2:$N$15,3,FALSE)</f>
        <v>0</v>
      </c>
      <c r="G10" s="19">
        <f>VLOOKUP($B10,SPEC004!$L$2:$N$15,3,FALSE)</f>
        <v>0</v>
      </c>
      <c r="H10" s="19">
        <f>VLOOKUP($B10,SPEC005!$L$2:$N$15,3,FALSE)</f>
        <v>0</v>
      </c>
      <c r="I10" s="19">
        <f t="shared" ca="1" si="0"/>
        <v>0</v>
      </c>
      <c r="J10" s="20" cm="1">
        <f t="array" aca="1" ref="J10" ca="1">SUM(C10:I10*$C$17:$I$17)/$J$17</f>
        <v>0</v>
      </c>
      <c r="K10" s="20" cm="1">
        <f t="array" aca="1" ref="K10" ca="1">SUM(C10:I10*$C$20:$I$20)/$K$20</f>
        <v>0</v>
      </c>
    </row>
    <row r="11" spans="2:11" x14ac:dyDescent="0.3">
      <c r="B11" s="22" t="s">
        <v>77</v>
      </c>
      <c r="C11" s="19">
        <f ca="1">VLOOKUP($B11,XYZTU!$L$2:$N$15,3,FALSE)</f>
        <v>0.53971351133828127</v>
      </c>
      <c r="D11" s="19">
        <f>VLOOKUP($B11,SPEC001!$L$2:$N$15,3,FALSE)</f>
        <v>0.57964832456514526</v>
      </c>
      <c r="E11" s="19">
        <f>VLOOKUP($B11,SPEC002!$L$2:$N$15,3,FALSE)</f>
        <v>0.58691429715658794</v>
      </c>
      <c r="F11" s="19">
        <f>VLOOKUP($B11,SPEC003!$L$2:$N$15,3,FALSE)</f>
        <v>0.64755967371995715</v>
      </c>
      <c r="G11" s="19">
        <f>VLOOKUP($B11,SPEC004!$L$2:$N$15,3,FALSE)</f>
        <v>0.59728424698712579</v>
      </c>
      <c r="H11" s="19">
        <f>VLOOKUP($B11,SPEC005!$L$2:$N$15,3,FALSE)</f>
        <v>0.59728424698712579</v>
      </c>
      <c r="I11" s="19">
        <f t="shared" ca="1" si="0"/>
        <v>0.59140071679237061</v>
      </c>
      <c r="J11" s="20" cm="1">
        <f t="array" aca="1" ref="J11" ca="1">SUM(C11:I11*$C$17:$I$17)/$J$17</f>
        <v>0.58337258035089989</v>
      </c>
      <c r="K11" s="20" cm="1">
        <f t="array" aca="1" ref="K11" ca="1">SUM(C11:I11*$C$20:$I$20)/$K$20</f>
        <v>0.58471060309114498</v>
      </c>
    </row>
    <row r="12" spans="2:11" x14ac:dyDescent="0.3">
      <c r="B12" s="18" t="s">
        <v>78</v>
      </c>
      <c r="C12" s="19">
        <f ca="1">VLOOKUP($B12,XYZTU!$L$2:$N$15,3,FALSE)</f>
        <v>0</v>
      </c>
      <c r="D12" s="19">
        <f>VLOOKUP($B12,SPEC001!$L$2:$N$15,3,FALSE)</f>
        <v>0</v>
      </c>
      <c r="E12" s="19">
        <f>VLOOKUP($B12,SPEC002!$L$2:$N$15,3,FALSE)</f>
        <v>0</v>
      </c>
      <c r="F12" s="19">
        <f>VLOOKUP($B12,SPEC003!$L$2:$N$15,3,FALSE)</f>
        <v>0</v>
      </c>
      <c r="G12" s="19">
        <f>VLOOKUP($B12,SPEC004!$L$2:$N$15,3,FALSE)</f>
        <v>0</v>
      </c>
      <c r="H12" s="19">
        <f>VLOOKUP($B12,SPEC005!$L$2:$N$15,3,FALSE)</f>
        <v>0</v>
      </c>
      <c r="I12" s="19">
        <f t="shared" ca="1" si="0"/>
        <v>0</v>
      </c>
      <c r="J12" s="20" cm="1">
        <f t="array" aca="1" ref="J12" ca="1">SUM(C12:I12*$C$17:$I$17)/$J$17</f>
        <v>0</v>
      </c>
      <c r="K12" s="20" cm="1">
        <f t="array" aca="1" ref="K12" ca="1">SUM(C12:I12*$C$20:$I$20)/$K$20</f>
        <v>0</v>
      </c>
    </row>
    <row r="13" spans="2:11" x14ac:dyDescent="0.3">
      <c r="B13" s="22" t="s">
        <v>79</v>
      </c>
      <c r="C13" s="19">
        <f ca="1">VLOOKUP($B13,XYZTU!$L$2:$N$15,3,FALSE)</f>
        <v>0.14734558270950698</v>
      </c>
      <c r="D13" s="19">
        <f>VLOOKUP($B13,SPEC001!$L$2:$N$15,3,FALSE)</f>
        <v>3.8078988171409617E-2</v>
      </c>
      <c r="E13" s="19">
        <f>VLOOKUP($B13,SPEC002!$L$2:$N$15,3,FALSE)</f>
        <v>9.0108129755706826E-2</v>
      </c>
      <c r="F13" s="19">
        <f>VLOOKUP($B13,SPEC003!$L$2:$N$15,3,FALSE)</f>
        <v>6.6584119989726145E-2</v>
      </c>
      <c r="G13" s="19">
        <f>VLOOKUP($B13,SPEC004!$L$2:$N$15,3,FALSE)</f>
        <v>8.4527126942573458E-2</v>
      </c>
      <c r="H13" s="19">
        <f>VLOOKUP($B13,SPEC005!$L$2:$N$15,3,FALSE)</f>
        <v>8.4527126942573458E-2</v>
      </c>
      <c r="I13" s="19">
        <f t="shared" ca="1" si="0"/>
        <v>8.5195179085249415E-2</v>
      </c>
      <c r="J13" s="20" cm="1">
        <f t="array" aca="1" ref="J13" ca="1">SUM(C13:I13*$C$17:$I$17)/$J$17</f>
        <v>8.916061653099254E-2</v>
      </c>
      <c r="K13" s="20" cm="1">
        <f t="array" aca="1" ref="K13" ca="1">SUM(C13:I13*$C$20:$I$20)/$K$20</f>
        <v>8.8499710290035366E-2</v>
      </c>
    </row>
    <row r="14" spans="2:11" x14ac:dyDescent="0.3">
      <c r="B14" s="18" t="s">
        <v>80</v>
      </c>
      <c r="C14" s="19">
        <f ca="1">VLOOKUP($B14,XYZTU!$L$2:$N$15,3,FALSE)</f>
        <v>0</v>
      </c>
      <c r="D14" s="19">
        <f>VLOOKUP($B14,SPEC001!$L$2:$N$15,3,FALSE)</f>
        <v>0</v>
      </c>
      <c r="E14" s="19">
        <f>VLOOKUP($B14,SPEC002!$L$2:$N$15,3,FALSE)</f>
        <v>0</v>
      </c>
      <c r="F14" s="19">
        <f>VLOOKUP($B14,SPEC003!$L$2:$N$15,3,FALSE)</f>
        <v>0</v>
      </c>
      <c r="G14" s="19">
        <f>VLOOKUP($B14,SPEC004!$L$2:$N$15,3,FALSE)</f>
        <v>0</v>
      </c>
      <c r="H14" s="19">
        <f>VLOOKUP($B14,SPEC005!$L$2:$N$15,3,FALSE)</f>
        <v>0</v>
      </c>
      <c r="I14" s="19">
        <f t="shared" ca="1" si="0"/>
        <v>0</v>
      </c>
      <c r="J14" s="20" cm="1">
        <f t="array" aca="1" ref="J14" ca="1">SUM(C14:I14*$C$17:$I$17)/$J$17</f>
        <v>0</v>
      </c>
      <c r="K14" s="20" cm="1">
        <f t="array" aca="1" ref="K14" ca="1">SUM(C14:I14*$C$20:$I$20)/$K$20</f>
        <v>0</v>
      </c>
    </row>
    <row r="15" spans="2:11" x14ac:dyDescent="0.3">
      <c r="B15" s="23" t="s">
        <v>81</v>
      </c>
      <c r="C15" s="19">
        <f ca="1">VLOOKUP($B15,XYZTU!$L$2:$N$15,3,FALSE)</f>
        <v>1</v>
      </c>
      <c r="D15" s="19">
        <f>VLOOKUP($B15,SPEC001!$L$2:$N$15,3,FALSE)</f>
        <v>1</v>
      </c>
      <c r="E15" s="19">
        <f>VLOOKUP($B15,SPEC002!$L$2:$N$15,3,FALSE)</f>
        <v>0.99999999999999989</v>
      </c>
      <c r="F15" s="19">
        <f>VLOOKUP($B15,SPEC003!$L$2:$N$15,3,FALSE)</f>
        <v>1</v>
      </c>
      <c r="G15" s="20">
        <f>VLOOKUP($B15,SPEC004!$L$2:$N$15,3,FALSE)</f>
        <v>1</v>
      </c>
      <c r="H15" s="21">
        <f>SUM(H4:H14)</f>
        <v>1</v>
      </c>
      <c r="I15" s="19">
        <f ca="1">SUM(I4:I14)</f>
        <v>1.2067775994777712</v>
      </c>
      <c r="J15" s="19">
        <f ca="1">SUM(J4:J14)</f>
        <v>1.2329194737215385</v>
      </c>
      <c r="K15" s="19">
        <f ca="1">SUM(K4:K14)</f>
        <v>1.2285624946809106</v>
      </c>
    </row>
    <row r="16" spans="2:11" ht="15" thickBot="1" x14ac:dyDescent="0.35">
      <c r="B16" s="77" t="s">
        <v>82</v>
      </c>
      <c r="C16" s="78">
        <f ca="1">VLOOKUP($B16,XYZTU!$L$2:$N$15,3,FALSE)</f>
        <v>2.5759818993546846E-2</v>
      </c>
      <c r="D16" s="78">
        <f>SUM(D4,D6,D8,D10,D12,D14)</f>
        <v>2.9854721167105643E-2</v>
      </c>
      <c r="E16" s="78">
        <f>VLOOKUP($B16,SPEC002!$L$2:$N$15,3,FALSE)</f>
        <v>4.1428464156988379E-2</v>
      </c>
      <c r="F16" s="78">
        <f>VLOOKUP($B16,SPEC003!$L$2:$N$15,3,FALSE)</f>
        <v>5.6946682682140405E-2</v>
      </c>
      <c r="G16" s="78">
        <f>VLOOKUP($B16,SPEC004!$L$2:$N$15,3,FALSE)</f>
        <v>2.4953116660935901E-2</v>
      </c>
      <c r="H16" s="78">
        <f>VLOOKUP($B16,SPEC004!$L$2:$N$15,3,FALSE)</f>
        <v>2.4953116660935901E-2</v>
      </c>
      <c r="I16" s="63">
        <f ca="1">SUM(I14,I12,I10,I8,I6,I4)</f>
        <v>0.24076025286471311</v>
      </c>
      <c r="J16" s="63">
        <f ca="1">SUM(J14,J12,J10,J8,J6,J4)</f>
        <v>0.26696652924160891</v>
      </c>
      <c r="K16" s="63">
        <f ca="1">SUM(K14,K12,K10,K8,K6,K4)</f>
        <v>0.2625988165121263</v>
      </c>
    </row>
    <row r="17" spans="1:11" x14ac:dyDescent="0.3">
      <c r="A17" s="216">
        <v>2023</v>
      </c>
      <c r="B17" s="64" t="s">
        <v>336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65">
        <v>1000</v>
      </c>
      <c r="I17" s="65">
        <f>J17-SUM(C17:H17)</f>
        <v>4000</v>
      </c>
      <c r="J17" s="65">
        <v>25000</v>
      </c>
      <c r="K17" s="66"/>
    </row>
    <row r="18" spans="1:11" x14ac:dyDescent="0.3">
      <c r="A18" s="217"/>
      <c r="B18" s="67" t="s">
        <v>337</v>
      </c>
      <c r="C18" s="62">
        <f>C17/$J$17</f>
        <v>0.24</v>
      </c>
      <c r="D18" s="62">
        <f t="shared" ref="D18:I18" si="1">D17/$J$17</f>
        <v>0.2</v>
      </c>
      <c r="E18" s="62">
        <f t="shared" si="1"/>
        <v>0.16</v>
      </c>
      <c r="F18" s="62">
        <f t="shared" si="1"/>
        <v>0.12</v>
      </c>
      <c r="G18" s="62">
        <f t="shared" si="1"/>
        <v>0.08</v>
      </c>
      <c r="H18" s="62">
        <f t="shared" si="1"/>
        <v>0.04</v>
      </c>
      <c r="I18" s="62">
        <f t="shared" si="1"/>
        <v>0.16</v>
      </c>
      <c r="J18" s="74">
        <f>SUM(C18:I18)</f>
        <v>1</v>
      </c>
      <c r="K18" s="68"/>
    </row>
    <row r="19" spans="1:11" ht="15" thickBot="1" x14ac:dyDescent="0.35">
      <c r="A19" s="217"/>
      <c r="B19" s="69" t="s">
        <v>338</v>
      </c>
      <c r="C19" s="70">
        <f ca="1">C16*C18</f>
        <v>6.1823565584512427E-3</v>
      </c>
      <c r="D19" s="70">
        <f t="shared" ref="D19:I19" si="2">D16*D18</f>
        <v>5.9709442334211285E-3</v>
      </c>
      <c r="E19" s="70">
        <f t="shared" si="2"/>
        <v>6.628554265118141E-3</v>
      </c>
      <c r="F19" s="70">
        <f t="shared" si="2"/>
        <v>6.8336019218568486E-3</v>
      </c>
      <c r="G19" s="70">
        <f t="shared" si="2"/>
        <v>1.9962493328748721E-3</v>
      </c>
      <c r="H19" s="70">
        <f t="shared" si="2"/>
        <v>9.9812466643743603E-4</v>
      </c>
      <c r="I19" s="70">
        <f t="shared" ca="1" si="2"/>
        <v>3.8521640458354101E-2</v>
      </c>
      <c r="J19" s="71">
        <f ca="1">SUM(C19:I19)</f>
        <v>6.7131471436513768E-2</v>
      </c>
      <c r="K19" s="72"/>
    </row>
    <row r="20" spans="1:11" x14ac:dyDescent="0.3">
      <c r="A20" s="217">
        <v>2024</v>
      </c>
      <c r="B20" s="64" t="s">
        <v>336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65">
        <v>2000</v>
      </c>
      <c r="I20" s="65">
        <f>K20-SUM(C20:H20)</f>
        <v>3000</v>
      </c>
      <c r="J20" s="65"/>
      <c r="K20" s="66">
        <v>30000</v>
      </c>
    </row>
    <row r="21" spans="1:11" x14ac:dyDescent="0.3">
      <c r="A21" s="217"/>
      <c r="B21" s="67" t="s">
        <v>337</v>
      </c>
      <c r="C21" s="62">
        <f>C20/$K$20</f>
        <v>0.23333333333333334</v>
      </c>
      <c r="D21" s="62">
        <f t="shared" ref="D21:I21" si="3">D20/$K$20</f>
        <v>0.2</v>
      </c>
      <c r="E21" s="62">
        <f t="shared" si="3"/>
        <v>0.16666666666666666</v>
      </c>
      <c r="F21" s="62">
        <f t="shared" si="3"/>
        <v>0.13333333333333333</v>
      </c>
      <c r="G21" s="62">
        <f t="shared" si="3"/>
        <v>0.1</v>
      </c>
      <c r="H21" s="62">
        <f t="shared" si="3"/>
        <v>6.6666666666666666E-2</v>
      </c>
      <c r="I21" s="62">
        <f t="shared" si="3"/>
        <v>0.1</v>
      </c>
      <c r="J21" s="74"/>
      <c r="K21" s="75">
        <f>SUM(C21:I21)</f>
        <v>0.99999999999999989</v>
      </c>
    </row>
    <row r="22" spans="1:11" ht="15" thickBot="1" x14ac:dyDescent="0.35">
      <c r="A22" s="218"/>
      <c r="B22" s="69" t="s">
        <v>338</v>
      </c>
      <c r="C22" s="70">
        <f ca="1">C21*C16</f>
        <v>6.0106244318275971E-3</v>
      </c>
      <c r="D22" s="70">
        <f t="shared" ref="D22:I22" si="4">D21*D16</f>
        <v>5.9709442334211285E-3</v>
      </c>
      <c r="E22" s="70">
        <f t="shared" si="4"/>
        <v>6.9047440261647292E-3</v>
      </c>
      <c r="F22" s="70">
        <f t="shared" si="4"/>
        <v>7.5928910242853871E-3</v>
      </c>
      <c r="G22" s="70">
        <f t="shared" si="4"/>
        <v>2.4953116660935901E-3</v>
      </c>
      <c r="H22" s="70">
        <f t="shared" si="4"/>
        <v>1.66354111072906E-3</v>
      </c>
      <c r="I22" s="70">
        <f t="shared" ca="1" si="4"/>
        <v>2.4076025286471313E-2</v>
      </c>
      <c r="J22" s="73"/>
      <c r="K22" s="76">
        <f ca="1">SUM(C22:I22)</f>
        <v>5.4714081778992806E-2</v>
      </c>
    </row>
    <row r="25" spans="1:11" x14ac:dyDescent="0.3">
      <c r="B25" s="52"/>
    </row>
    <row r="26" spans="1:11" x14ac:dyDescent="0.3">
      <c r="B26" s="81">
        <f ca="1">SUM(C16:H16)</f>
        <v>0.2038959203216531</v>
      </c>
    </row>
  </sheetData>
  <mergeCells count="2">
    <mergeCell ref="A17:A19"/>
    <mergeCell ref="A20:A2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048D9-38F0-422A-A14C-A6C51686E25F}">
  <sheetPr codeName="Sheet9"/>
  <dimension ref="A2:D101"/>
  <sheetViews>
    <sheetView workbookViewId="0">
      <selection activeCell="H17" sqref="H17"/>
    </sheetView>
  </sheetViews>
  <sheetFormatPr defaultRowHeight="14.4" x14ac:dyDescent="0.3"/>
  <cols>
    <col min="2" max="2" width="15.6640625" bestFit="1" customWidth="1"/>
    <col min="3" max="3" width="17.44140625" bestFit="1" customWidth="1"/>
    <col min="4" max="4" width="17.77734375" bestFit="1" customWidth="1"/>
  </cols>
  <sheetData>
    <row r="2" spans="1:4" x14ac:dyDescent="0.3">
      <c r="A2">
        <v>1</v>
      </c>
      <c r="B2" s="39">
        <v>45812.643796296295</v>
      </c>
      <c r="C2" t="s">
        <v>232</v>
      </c>
      <c r="D2" t="s">
        <v>234</v>
      </c>
    </row>
    <row r="3" spans="1:4" x14ac:dyDescent="0.3">
      <c r="A3">
        <v>2</v>
      </c>
      <c r="B3" s="39">
        <v>45812.644861111112</v>
      </c>
      <c r="C3" t="s">
        <v>232</v>
      </c>
      <c r="D3" t="s">
        <v>234</v>
      </c>
    </row>
    <row r="4" spans="1:4" x14ac:dyDescent="0.3">
      <c r="A4">
        <v>3</v>
      </c>
      <c r="B4" s="39">
        <v>45812.681006944447</v>
      </c>
      <c r="C4" t="s">
        <v>235</v>
      </c>
      <c r="D4" t="s">
        <v>234</v>
      </c>
    </row>
    <row r="5" spans="1:4" x14ac:dyDescent="0.3">
      <c r="A5">
        <v>4</v>
      </c>
      <c r="B5" s="39">
        <v>45816.487118055556</v>
      </c>
      <c r="C5" t="s">
        <v>235</v>
      </c>
    </row>
    <row r="6" spans="1:4" x14ac:dyDescent="0.3">
      <c r="A6">
        <v>5</v>
      </c>
      <c r="B6" s="39">
        <v>45816.488703703704</v>
      </c>
      <c r="C6" t="s">
        <v>244</v>
      </c>
    </row>
    <row r="7" spans="1:4" x14ac:dyDescent="0.3">
      <c r="A7">
        <v>6</v>
      </c>
      <c r="B7" s="39">
        <v>45816.489027777781</v>
      </c>
      <c r="C7" t="s">
        <v>235</v>
      </c>
      <c r="D7" t="s">
        <v>244</v>
      </c>
    </row>
    <row r="8" spans="1:4" x14ac:dyDescent="0.3">
      <c r="A8">
        <v>7</v>
      </c>
      <c r="B8" s="39">
        <v>45816.505891203706</v>
      </c>
      <c r="D8" t="s">
        <v>244</v>
      </c>
    </row>
    <row r="9" spans="1:4" x14ac:dyDescent="0.3">
      <c r="A9">
        <v>8</v>
      </c>
      <c r="B9" s="39">
        <v>45816.506168981483</v>
      </c>
      <c r="D9" t="s">
        <v>244</v>
      </c>
    </row>
    <row r="10" spans="1:4" x14ac:dyDescent="0.3">
      <c r="A10">
        <v>9</v>
      </c>
      <c r="B10" s="39">
        <v>45816.506319444445</v>
      </c>
      <c r="D10" t="s">
        <v>244</v>
      </c>
    </row>
    <row r="11" spans="1:4" x14ac:dyDescent="0.3">
      <c r="A11">
        <v>10</v>
      </c>
      <c r="B11" s="39">
        <v>45816.507037037038</v>
      </c>
      <c r="D11" t="s">
        <v>244</v>
      </c>
    </row>
    <row r="12" spans="1:4" x14ac:dyDescent="0.3">
      <c r="A12">
        <v>11</v>
      </c>
      <c r="B12" s="39">
        <v>45816.507071759261</v>
      </c>
      <c r="D12" t="s">
        <v>244</v>
      </c>
    </row>
    <row r="13" spans="1:4" x14ac:dyDescent="0.3">
      <c r="A13">
        <v>12</v>
      </c>
      <c r="B13" s="39">
        <v>45816.507106481484</v>
      </c>
      <c r="D13" t="s">
        <v>244</v>
      </c>
    </row>
    <row r="14" spans="1:4" x14ac:dyDescent="0.3">
      <c r="A14">
        <v>13</v>
      </c>
      <c r="B14" s="39">
        <v>45816.56821759259</v>
      </c>
      <c r="D14" t="s">
        <v>250</v>
      </c>
    </row>
    <row r="15" spans="1:4" x14ac:dyDescent="0.3">
      <c r="A15">
        <v>14</v>
      </c>
      <c r="B15" s="39">
        <v>45816.568333333336</v>
      </c>
      <c r="D15" t="s">
        <v>251</v>
      </c>
    </row>
    <row r="16" spans="1:4" x14ac:dyDescent="0.3">
      <c r="A16">
        <v>15</v>
      </c>
      <c r="B16" s="39">
        <v>45816.568541666667</v>
      </c>
      <c r="D16" t="s">
        <v>252</v>
      </c>
    </row>
    <row r="17" spans="1:4" x14ac:dyDescent="0.3">
      <c r="A17">
        <v>16</v>
      </c>
      <c r="B17" s="39">
        <v>45816.568611111114</v>
      </c>
      <c r="D17" t="s">
        <v>253</v>
      </c>
    </row>
    <row r="18" spans="1:4" x14ac:dyDescent="0.3">
      <c r="A18">
        <v>17</v>
      </c>
      <c r="B18" s="39">
        <v>45816.568738425929</v>
      </c>
      <c r="D18" t="s">
        <v>254</v>
      </c>
    </row>
    <row r="19" spans="1:4" x14ac:dyDescent="0.3">
      <c r="A19">
        <v>18</v>
      </c>
      <c r="B19" s="39">
        <v>45816.569675925923</v>
      </c>
      <c r="C19" t="s">
        <v>235</v>
      </c>
      <c r="D19" t="s">
        <v>256</v>
      </c>
    </row>
    <row r="20" spans="1:4" x14ac:dyDescent="0.3">
      <c r="A20">
        <v>19</v>
      </c>
      <c r="B20" s="39">
        <v>45816.57104166667</v>
      </c>
      <c r="C20" t="s">
        <v>235</v>
      </c>
      <c r="D20" t="s">
        <v>257</v>
      </c>
    </row>
    <row r="21" spans="1:4" x14ac:dyDescent="0.3">
      <c r="A21">
        <v>20</v>
      </c>
      <c r="B21" s="39">
        <v>45816.574641203704</v>
      </c>
      <c r="C21" t="s">
        <v>235</v>
      </c>
      <c r="D21" t="s">
        <v>264</v>
      </c>
    </row>
    <row r="22" spans="1:4" x14ac:dyDescent="0.3">
      <c r="A22">
        <v>21</v>
      </c>
      <c r="B22" s="39">
        <v>45816.575868055559</v>
      </c>
      <c r="C22" t="s">
        <v>235</v>
      </c>
      <c r="D22" t="s">
        <v>265</v>
      </c>
    </row>
    <row r="23" spans="1:4" x14ac:dyDescent="0.3">
      <c r="A23">
        <v>22</v>
      </c>
      <c r="B23" s="39">
        <v>45816.577094907407</v>
      </c>
      <c r="C23" t="s">
        <v>235</v>
      </c>
      <c r="D23" t="s">
        <v>266</v>
      </c>
    </row>
    <row r="24" spans="1:4" x14ac:dyDescent="0.3">
      <c r="A24">
        <v>23</v>
      </c>
      <c r="B24" s="39">
        <v>45816.577916666669</v>
      </c>
      <c r="C24" t="s">
        <v>235</v>
      </c>
      <c r="D24" t="s">
        <v>267</v>
      </c>
    </row>
    <row r="25" spans="1:4" x14ac:dyDescent="0.3">
      <c r="A25">
        <v>24</v>
      </c>
      <c r="B25" s="39">
        <v>45816.578148148146</v>
      </c>
      <c r="C25" t="s">
        <v>235</v>
      </c>
      <c r="D25" t="s">
        <v>268</v>
      </c>
    </row>
    <row r="26" spans="1:4" x14ac:dyDescent="0.3">
      <c r="A26">
        <v>25</v>
      </c>
      <c r="B26" s="39">
        <v>45816.584699074076</v>
      </c>
      <c r="C26" t="s">
        <v>235</v>
      </c>
      <c r="D26" t="s">
        <v>270</v>
      </c>
    </row>
    <row r="27" spans="1:4" x14ac:dyDescent="0.3">
      <c r="A27">
        <v>26</v>
      </c>
      <c r="B27" s="39">
        <v>45816.586342592593</v>
      </c>
      <c r="C27" t="s">
        <v>235</v>
      </c>
      <c r="D27" t="s">
        <v>271</v>
      </c>
    </row>
    <row r="28" spans="1:4" x14ac:dyDescent="0.3">
      <c r="A28">
        <v>27</v>
      </c>
      <c r="B28" s="39">
        <v>45816.587951388887</v>
      </c>
      <c r="C28" t="s">
        <v>235</v>
      </c>
      <c r="D28" t="s">
        <v>272</v>
      </c>
    </row>
    <row r="29" spans="1:4" x14ac:dyDescent="0.3">
      <c r="A29">
        <v>28</v>
      </c>
      <c r="B29" s="39">
        <v>45816.588645833333</v>
      </c>
      <c r="C29" t="s">
        <v>235</v>
      </c>
      <c r="D29" t="s">
        <v>273</v>
      </c>
    </row>
    <row r="30" spans="1:4" x14ac:dyDescent="0.3">
      <c r="A30">
        <v>29</v>
      </c>
      <c r="B30" s="39">
        <v>45816.707199074073</v>
      </c>
      <c r="C30" t="s">
        <v>274</v>
      </c>
      <c r="D30" t="s">
        <v>275</v>
      </c>
    </row>
    <row r="31" spans="1:4" x14ac:dyDescent="0.3">
      <c r="A31">
        <v>30</v>
      </c>
      <c r="B31" s="39">
        <v>45816.708240740743</v>
      </c>
      <c r="C31" t="s">
        <v>274</v>
      </c>
      <c r="D31" t="s">
        <v>276</v>
      </c>
    </row>
    <row r="32" spans="1:4" x14ac:dyDescent="0.3">
      <c r="A32">
        <v>31</v>
      </c>
      <c r="B32" s="39">
        <v>45816.709270833337</v>
      </c>
      <c r="C32" t="s">
        <v>235</v>
      </c>
      <c r="D32" t="s">
        <v>277</v>
      </c>
    </row>
    <row r="33" spans="1:4" x14ac:dyDescent="0.3">
      <c r="A33">
        <v>32</v>
      </c>
      <c r="B33" s="39">
        <v>45816.710682870369</v>
      </c>
      <c r="C33" t="s">
        <v>235</v>
      </c>
      <c r="D33" t="s">
        <v>278</v>
      </c>
    </row>
    <row r="34" spans="1:4" x14ac:dyDescent="0.3">
      <c r="A34">
        <v>33</v>
      </c>
      <c r="B34" s="39">
        <v>45816.715428240743</v>
      </c>
      <c r="C34" t="s">
        <v>235</v>
      </c>
      <c r="D34" t="s">
        <v>279</v>
      </c>
    </row>
    <row r="35" spans="1:4" x14ac:dyDescent="0.3">
      <c r="A35">
        <v>34</v>
      </c>
      <c r="B35" s="39">
        <v>45816.715856481482</v>
      </c>
      <c r="C35" t="s">
        <v>235</v>
      </c>
      <c r="D35" t="s">
        <v>280</v>
      </c>
    </row>
    <row r="36" spans="1:4" x14ac:dyDescent="0.3">
      <c r="A36">
        <v>35</v>
      </c>
      <c r="B36" s="39">
        <v>45816.716145833336</v>
      </c>
      <c r="C36" t="s">
        <v>235</v>
      </c>
      <c r="D36" t="s">
        <v>281</v>
      </c>
    </row>
    <row r="37" spans="1:4" x14ac:dyDescent="0.3">
      <c r="A37">
        <v>36</v>
      </c>
      <c r="B37" s="39">
        <v>45816.716377314813</v>
      </c>
      <c r="C37" t="s">
        <v>235</v>
      </c>
      <c r="D37" t="s">
        <v>282</v>
      </c>
    </row>
    <row r="38" spans="1:4" x14ac:dyDescent="0.3">
      <c r="A38">
        <v>37</v>
      </c>
      <c r="B38" s="39">
        <v>45816.716597222221</v>
      </c>
      <c r="C38" t="s">
        <v>235</v>
      </c>
      <c r="D38" t="s">
        <v>283</v>
      </c>
    </row>
    <row r="39" spans="1:4" x14ac:dyDescent="0.3">
      <c r="A39">
        <v>38</v>
      </c>
      <c r="B39" s="39">
        <v>45816.717199074075</v>
      </c>
      <c r="C39" t="s">
        <v>235</v>
      </c>
      <c r="D39" t="s">
        <v>284</v>
      </c>
    </row>
    <row r="40" spans="1:4" x14ac:dyDescent="0.3">
      <c r="A40">
        <v>39</v>
      </c>
      <c r="B40" s="39">
        <v>45816.717777777776</v>
      </c>
      <c r="C40" t="s">
        <v>235</v>
      </c>
      <c r="D40" t="s">
        <v>284</v>
      </c>
    </row>
    <row r="41" spans="1:4" x14ac:dyDescent="0.3">
      <c r="A41">
        <v>40</v>
      </c>
      <c r="B41" s="39">
        <v>45816.717928240738</v>
      </c>
      <c r="C41" t="s">
        <v>235</v>
      </c>
      <c r="D41" t="s">
        <v>284</v>
      </c>
    </row>
    <row r="42" spans="1:4" x14ac:dyDescent="0.3">
      <c r="A42">
        <v>41</v>
      </c>
      <c r="B42" s="39">
        <v>45816.720185185186</v>
      </c>
      <c r="C42" t="s">
        <v>235</v>
      </c>
      <c r="D42" t="s">
        <v>284</v>
      </c>
    </row>
    <row r="43" spans="1:4" x14ac:dyDescent="0.3">
      <c r="A43">
        <v>42</v>
      </c>
      <c r="B43" s="39">
        <v>45816.727326388886</v>
      </c>
      <c r="C43" t="s">
        <v>235</v>
      </c>
      <c r="D43" t="s">
        <v>285</v>
      </c>
    </row>
    <row r="44" spans="1:4" x14ac:dyDescent="0.3">
      <c r="A44">
        <v>43</v>
      </c>
      <c r="B44" s="39">
        <v>45816.728750000002</v>
      </c>
      <c r="C44" t="s">
        <v>235</v>
      </c>
      <c r="D44" t="s">
        <v>286</v>
      </c>
    </row>
    <row r="45" spans="1:4" x14ac:dyDescent="0.3">
      <c r="A45">
        <v>44</v>
      </c>
      <c r="B45" s="39">
        <v>45816.729780092595</v>
      </c>
      <c r="C45" t="s">
        <v>274</v>
      </c>
      <c r="D45" t="s">
        <v>286</v>
      </c>
    </row>
    <row r="46" spans="1:4" x14ac:dyDescent="0.3">
      <c r="A46">
        <v>45</v>
      </c>
      <c r="B46" s="39">
        <v>45816.730023148149</v>
      </c>
      <c r="C46" t="s">
        <v>274</v>
      </c>
      <c r="D46" t="s">
        <v>286</v>
      </c>
    </row>
    <row r="47" spans="1:4" x14ac:dyDescent="0.3">
      <c r="A47">
        <v>46</v>
      </c>
      <c r="B47" s="39">
        <v>45816.730196759258</v>
      </c>
      <c r="C47" t="s">
        <v>274</v>
      </c>
      <c r="D47" t="s">
        <v>287</v>
      </c>
    </row>
    <row r="48" spans="1:4" x14ac:dyDescent="0.3">
      <c r="A48">
        <v>47</v>
      </c>
      <c r="B48" s="39">
        <v>45816.730555555558</v>
      </c>
      <c r="C48" t="s">
        <v>274</v>
      </c>
      <c r="D48" t="s">
        <v>288</v>
      </c>
    </row>
    <row r="49" spans="1:4" x14ac:dyDescent="0.3">
      <c r="A49">
        <v>48</v>
      </c>
      <c r="B49" s="39">
        <v>45816.730983796297</v>
      </c>
      <c r="C49" t="s">
        <v>274</v>
      </c>
      <c r="D49" t="s">
        <v>289</v>
      </c>
    </row>
    <row r="50" spans="1:4" x14ac:dyDescent="0.3">
      <c r="A50">
        <v>49</v>
      </c>
      <c r="B50" s="39">
        <v>45816.731539351851</v>
      </c>
      <c r="C50" t="s">
        <v>274</v>
      </c>
      <c r="D50" t="s">
        <v>290</v>
      </c>
    </row>
    <row r="51" spans="1:4" x14ac:dyDescent="0.3">
      <c r="A51">
        <v>50</v>
      </c>
      <c r="B51" s="39">
        <v>45816.746967592589</v>
      </c>
      <c r="C51" t="s">
        <v>291</v>
      </c>
      <c r="D51" t="s">
        <v>292</v>
      </c>
    </row>
    <row r="52" spans="1:4" x14ac:dyDescent="0.3">
      <c r="A52">
        <v>51</v>
      </c>
      <c r="B52" s="39">
        <v>45816.757453703707</v>
      </c>
      <c r="C52" t="s">
        <v>291</v>
      </c>
      <c r="D52" t="s">
        <v>293</v>
      </c>
    </row>
    <row r="53" spans="1:4" x14ac:dyDescent="0.3">
      <c r="A53">
        <v>52</v>
      </c>
      <c r="B53" s="39">
        <v>45816.759560185186</v>
      </c>
      <c r="C53" t="s">
        <v>291</v>
      </c>
      <c r="D53" t="s">
        <v>294</v>
      </c>
    </row>
    <row r="54" spans="1:4" x14ac:dyDescent="0.3">
      <c r="A54">
        <v>53</v>
      </c>
      <c r="B54" s="39">
        <v>45816.766643518517</v>
      </c>
      <c r="C54" t="s">
        <v>291</v>
      </c>
      <c r="D54" t="s">
        <v>295</v>
      </c>
    </row>
    <row r="55" spans="1:4" x14ac:dyDescent="0.3">
      <c r="A55">
        <v>54</v>
      </c>
      <c r="B55" s="39">
        <v>45816.767013888886</v>
      </c>
      <c r="C55" t="s">
        <v>291</v>
      </c>
      <c r="D55" t="s">
        <v>296</v>
      </c>
    </row>
    <row r="56" spans="1:4" x14ac:dyDescent="0.3">
      <c r="A56">
        <v>55</v>
      </c>
      <c r="B56" s="39">
        <v>45816.767777777779</v>
      </c>
      <c r="C56" t="s">
        <v>291</v>
      </c>
      <c r="D56" t="s">
        <v>297</v>
      </c>
    </row>
    <row r="57" spans="1:4" x14ac:dyDescent="0.3">
      <c r="A57">
        <v>56</v>
      </c>
      <c r="B57" s="39">
        <v>45816.767939814818</v>
      </c>
      <c r="C57" t="s">
        <v>291</v>
      </c>
      <c r="D57" t="s">
        <v>298</v>
      </c>
    </row>
    <row r="58" spans="1:4" x14ac:dyDescent="0.3">
      <c r="A58">
        <v>57</v>
      </c>
      <c r="B58" s="39">
        <v>45816.768576388888</v>
      </c>
      <c r="C58" t="s">
        <v>291</v>
      </c>
      <c r="D58" t="s">
        <v>299</v>
      </c>
    </row>
    <row r="59" spans="1:4" x14ac:dyDescent="0.3">
      <c r="A59">
        <v>58</v>
      </c>
      <c r="B59" s="39">
        <v>45816.768877314818</v>
      </c>
      <c r="C59" t="s">
        <v>291</v>
      </c>
      <c r="D59" t="s">
        <v>300</v>
      </c>
    </row>
    <row r="60" spans="1:4" x14ac:dyDescent="0.3">
      <c r="A60">
        <v>59</v>
      </c>
      <c r="B60" s="39">
        <v>45816.769861111112</v>
      </c>
      <c r="C60" t="s">
        <v>291</v>
      </c>
      <c r="D60" t="s">
        <v>301</v>
      </c>
    </row>
    <row r="61" spans="1:4" x14ac:dyDescent="0.3">
      <c r="A61">
        <v>60</v>
      </c>
      <c r="B61" s="39">
        <v>45816.77071759259</v>
      </c>
      <c r="C61" t="s">
        <v>291</v>
      </c>
      <c r="D61" t="s">
        <v>302</v>
      </c>
    </row>
    <row r="62" spans="1:4" x14ac:dyDescent="0.3">
      <c r="A62">
        <v>61</v>
      </c>
      <c r="B62" s="39">
        <v>45816.773263888892</v>
      </c>
      <c r="C62" t="s">
        <v>291</v>
      </c>
      <c r="D62" t="s">
        <v>303</v>
      </c>
    </row>
    <row r="63" spans="1:4" x14ac:dyDescent="0.3">
      <c r="A63">
        <v>62</v>
      </c>
      <c r="B63" s="39">
        <v>45816.773784722223</v>
      </c>
      <c r="C63" t="s">
        <v>291</v>
      </c>
      <c r="D63" t="s">
        <v>304</v>
      </c>
    </row>
    <row r="64" spans="1:4" x14ac:dyDescent="0.3">
      <c r="A64">
        <v>63</v>
      </c>
      <c r="B64" s="39">
        <v>45816.98537037037</v>
      </c>
      <c r="C64" t="s">
        <v>235</v>
      </c>
      <c r="D64" t="s">
        <v>305</v>
      </c>
    </row>
    <row r="65" spans="1:4" x14ac:dyDescent="0.3">
      <c r="A65">
        <v>64</v>
      </c>
      <c r="B65" s="39">
        <v>45816.986030092594</v>
      </c>
      <c r="C65" t="s">
        <v>235</v>
      </c>
      <c r="D65" t="s">
        <v>306</v>
      </c>
    </row>
    <row r="66" spans="1:4" x14ac:dyDescent="0.3">
      <c r="A66">
        <v>65</v>
      </c>
      <c r="B66" s="39">
        <v>45817.422951388886</v>
      </c>
      <c r="C66" t="s">
        <v>235</v>
      </c>
      <c r="D66" t="s">
        <v>307</v>
      </c>
    </row>
    <row r="67" spans="1:4" x14ac:dyDescent="0.3">
      <c r="A67">
        <v>66</v>
      </c>
      <c r="B67" s="39">
        <v>45817.435856481483</v>
      </c>
      <c r="C67" t="s">
        <v>235</v>
      </c>
      <c r="D67" t="s">
        <v>308</v>
      </c>
    </row>
    <row r="68" spans="1:4" x14ac:dyDescent="0.3">
      <c r="A68">
        <v>67</v>
      </c>
      <c r="B68" s="39">
        <v>45817.436851851853</v>
      </c>
      <c r="C68" t="s">
        <v>235</v>
      </c>
      <c r="D68" t="s">
        <v>309</v>
      </c>
    </row>
    <row r="69" spans="1:4" x14ac:dyDescent="0.3">
      <c r="A69">
        <v>68</v>
      </c>
      <c r="B69" s="39">
        <v>45817.437592592592</v>
      </c>
      <c r="C69" t="s">
        <v>235</v>
      </c>
      <c r="D69" t="s">
        <v>310</v>
      </c>
    </row>
    <row r="70" spans="1:4" x14ac:dyDescent="0.3">
      <c r="A70">
        <v>69</v>
      </c>
      <c r="B70" s="39">
        <v>45817.439259259256</v>
      </c>
      <c r="C70" t="s">
        <v>235</v>
      </c>
      <c r="D70" t="s">
        <v>311</v>
      </c>
    </row>
    <row r="71" spans="1:4" x14ac:dyDescent="0.3">
      <c r="A71">
        <v>70</v>
      </c>
      <c r="B71" s="39">
        <v>45817.439409722225</v>
      </c>
      <c r="C71" t="s">
        <v>235</v>
      </c>
      <c r="D71" t="s">
        <v>312</v>
      </c>
    </row>
    <row r="72" spans="1:4" x14ac:dyDescent="0.3">
      <c r="A72">
        <v>71</v>
      </c>
      <c r="B72" s="39">
        <v>45818.005300925928</v>
      </c>
      <c r="C72" t="s">
        <v>235</v>
      </c>
      <c r="D72" t="s">
        <v>322</v>
      </c>
    </row>
    <row r="73" spans="1:4" x14ac:dyDescent="0.3">
      <c r="A73">
        <v>72</v>
      </c>
      <c r="B73" s="39">
        <v>45818.036377314813</v>
      </c>
      <c r="C73" t="s">
        <v>235</v>
      </c>
      <c r="D73" t="s">
        <v>324</v>
      </c>
    </row>
    <row r="74" spans="1:4" x14ac:dyDescent="0.3">
      <c r="A74">
        <v>73</v>
      </c>
      <c r="B74" s="39">
        <v>45818.369189814817</v>
      </c>
      <c r="C74" t="s">
        <v>235</v>
      </c>
      <c r="D74" t="s">
        <v>326</v>
      </c>
    </row>
    <row r="75" spans="1:4" x14ac:dyDescent="0.3">
      <c r="A75">
        <v>74</v>
      </c>
      <c r="B75" s="39">
        <v>45818.398993055554</v>
      </c>
      <c r="C75" t="s">
        <v>235</v>
      </c>
      <c r="D75" t="s">
        <v>327</v>
      </c>
    </row>
    <row r="76" spans="1:4" x14ac:dyDescent="0.3">
      <c r="A76">
        <v>75</v>
      </c>
      <c r="B76" s="39">
        <v>45818.403298611112</v>
      </c>
      <c r="C76" t="s">
        <v>235</v>
      </c>
      <c r="D76" t="s">
        <v>328</v>
      </c>
    </row>
    <row r="77" spans="1:4" x14ac:dyDescent="0.3">
      <c r="A77">
        <v>76</v>
      </c>
      <c r="B77" s="39">
        <v>45818.407129629632</v>
      </c>
      <c r="C77" t="s">
        <v>235</v>
      </c>
      <c r="D77" t="s">
        <v>329</v>
      </c>
    </row>
    <row r="78" spans="1:4" x14ac:dyDescent="0.3">
      <c r="A78">
        <v>77</v>
      </c>
      <c r="B78" s="39">
        <v>45818.408726851849</v>
      </c>
      <c r="C78" t="s">
        <v>235</v>
      </c>
      <c r="D78" t="s">
        <v>330</v>
      </c>
    </row>
    <row r="79" spans="1:4" x14ac:dyDescent="0.3">
      <c r="A79">
        <v>78</v>
      </c>
      <c r="B79" s="39">
        <v>45818.409050925926</v>
      </c>
      <c r="C79" t="s">
        <v>235</v>
      </c>
      <c r="D79" t="s">
        <v>331</v>
      </c>
    </row>
    <row r="80" spans="1:4" x14ac:dyDescent="0.3">
      <c r="A80">
        <v>79</v>
      </c>
      <c r="B80" s="39">
        <v>45818.409120370372</v>
      </c>
      <c r="C80" t="s">
        <v>235</v>
      </c>
      <c r="D80" t="s">
        <v>332</v>
      </c>
    </row>
    <row r="81" spans="1:4" x14ac:dyDescent="0.3">
      <c r="A81">
        <v>80</v>
      </c>
      <c r="B81" s="39">
        <v>45818.409432870372</v>
      </c>
      <c r="C81" t="s">
        <v>235</v>
      </c>
      <c r="D81" t="s">
        <v>333</v>
      </c>
    </row>
    <row r="82" spans="1:4" x14ac:dyDescent="0.3">
      <c r="A82">
        <v>81</v>
      </c>
      <c r="B82" s="39">
        <v>45819.428206018521</v>
      </c>
      <c r="C82" t="s">
        <v>340</v>
      </c>
      <c r="D82" t="s">
        <v>341</v>
      </c>
    </row>
    <row r="83" spans="1:4" x14ac:dyDescent="0.3">
      <c r="A83">
        <v>82</v>
      </c>
      <c r="B83" s="39">
        <v>45819.428252314814</v>
      </c>
      <c r="C83" t="s">
        <v>340</v>
      </c>
      <c r="D83" t="s">
        <v>342</v>
      </c>
    </row>
    <row r="84" spans="1:4" x14ac:dyDescent="0.3">
      <c r="A84">
        <v>83</v>
      </c>
      <c r="B84" s="39">
        <v>45819.428263888891</v>
      </c>
      <c r="C84" t="s">
        <v>340</v>
      </c>
      <c r="D84" t="s">
        <v>343</v>
      </c>
    </row>
    <row r="85" spans="1:4" x14ac:dyDescent="0.3">
      <c r="A85">
        <v>84</v>
      </c>
      <c r="B85" s="39">
        <v>45819.428287037037</v>
      </c>
      <c r="C85" t="s">
        <v>340</v>
      </c>
      <c r="D85" t="s">
        <v>344</v>
      </c>
    </row>
    <row r="86" spans="1:4" x14ac:dyDescent="0.3">
      <c r="A86">
        <v>85</v>
      </c>
      <c r="B86" s="39">
        <v>45819.441655092596</v>
      </c>
      <c r="C86" t="s">
        <v>340</v>
      </c>
      <c r="D86" t="s">
        <v>346</v>
      </c>
    </row>
    <row r="87" spans="1:4" x14ac:dyDescent="0.3">
      <c r="A87">
        <v>86</v>
      </c>
      <c r="B87" s="39">
        <v>45819.444351851853</v>
      </c>
      <c r="C87" t="s">
        <v>340</v>
      </c>
      <c r="D87" t="s">
        <v>347</v>
      </c>
    </row>
    <row r="88" spans="1:4" x14ac:dyDescent="0.3">
      <c r="A88">
        <v>87</v>
      </c>
      <c r="B88" s="39">
        <v>45819.446087962962</v>
      </c>
      <c r="C88" t="s">
        <v>340</v>
      </c>
      <c r="D88" t="s">
        <v>348</v>
      </c>
    </row>
    <row r="89" spans="1:4" x14ac:dyDescent="0.3">
      <c r="A89">
        <v>88</v>
      </c>
      <c r="B89" s="39">
        <v>45819.44667824074</v>
      </c>
      <c r="C89" t="s">
        <v>340</v>
      </c>
      <c r="D89" t="s">
        <v>349</v>
      </c>
    </row>
    <row r="90" spans="1:4" x14ac:dyDescent="0.3">
      <c r="A90">
        <v>89</v>
      </c>
      <c r="B90" s="39">
        <v>45819.447627314818</v>
      </c>
      <c r="C90" t="s">
        <v>340</v>
      </c>
      <c r="D90" t="s">
        <v>350</v>
      </c>
    </row>
    <row r="91" spans="1:4" x14ac:dyDescent="0.3">
      <c r="A91">
        <v>90</v>
      </c>
      <c r="B91" s="39">
        <v>45819.447997685187</v>
      </c>
      <c r="C91" t="s">
        <v>340</v>
      </c>
      <c r="D91" t="s">
        <v>351</v>
      </c>
    </row>
    <row r="92" spans="1:4" x14ac:dyDescent="0.3">
      <c r="A92">
        <v>91</v>
      </c>
      <c r="B92" s="39">
        <v>45819.448599537034</v>
      </c>
      <c r="C92" t="s">
        <v>340</v>
      </c>
      <c r="D92" t="s">
        <v>352</v>
      </c>
    </row>
    <row r="93" spans="1:4" x14ac:dyDescent="0.3">
      <c r="A93">
        <v>92</v>
      </c>
      <c r="B93" s="39">
        <v>45819.449143518519</v>
      </c>
      <c r="C93" t="s">
        <v>340</v>
      </c>
      <c r="D93" t="s">
        <v>353</v>
      </c>
    </row>
    <row r="94" spans="1:4" x14ac:dyDescent="0.3">
      <c r="A94">
        <v>93</v>
      </c>
      <c r="B94" s="39">
        <v>45819.450289351851</v>
      </c>
      <c r="C94" t="s">
        <v>340</v>
      </c>
      <c r="D94" t="s">
        <v>354</v>
      </c>
    </row>
    <row r="95" spans="1:4" x14ac:dyDescent="0.3">
      <c r="A95">
        <v>94</v>
      </c>
      <c r="B95" s="39">
        <v>45819.462060185186</v>
      </c>
      <c r="C95" t="s">
        <v>340</v>
      </c>
      <c r="D95" t="s">
        <v>355</v>
      </c>
    </row>
    <row r="96" spans="1:4" x14ac:dyDescent="0.3">
      <c r="A96">
        <v>95</v>
      </c>
      <c r="B96" s="39">
        <v>45819.462766203702</v>
      </c>
      <c r="C96" t="s">
        <v>340</v>
      </c>
      <c r="D96" t="s">
        <v>356</v>
      </c>
    </row>
    <row r="97" spans="1:4" x14ac:dyDescent="0.3">
      <c r="A97">
        <v>96</v>
      </c>
      <c r="B97" s="39">
        <v>45819.48704861111</v>
      </c>
      <c r="C97" t="s">
        <v>340</v>
      </c>
      <c r="D97" t="s">
        <v>357</v>
      </c>
    </row>
    <row r="98" spans="1:4" x14ac:dyDescent="0.3">
      <c r="A98">
        <v>97</v>
      </c>
      <c r="B98" s="39">
        <v>45819.495717592596</v>
      </c>
      <c r="C98" t="s">
        <v>340</v>
      </c>
      <c r="D98" t="s">
        <v>358</v>
      </c>
    </row>
    <row r="99" spans="1:4" x14ac:dyDescent="0.3">
      <c r="A99">
        <v>98</v>
      </c>
      <c r="B99" s="39">
        <v>45819.496979166666</v>
      </c>
      <c r="C99" t="s">
        <v>340</v>
      </c>
      <c r="D99" t="s">
        <v>359</v>
      </c>
    </row>
    <row r="100" spans="1:4" x14ac:dyDescent="0.3">
      <c r="A100">
        <v>99</v>
      </c>
      <c r="B100" s="39">
        <v>45819.525000000001</v>
      </c>
      <c r="C100" t="s">
        <v>340</v>
      </c>
      <c r="D100" t="s">
        <v>360</v>
      </c>
    </row>
    <row r="101" spans="1:4" x14ac:dyDescent="0.3">
      <c r="A101">
        <v>100</v>
      </c>
      <c r="B101" s="39">
        <v>45819.526365740741</v>
      </c>
      <c r="C101" t="s">
        <v>340</v>
      </c>
      <c r="D101" t="s">
        <v>363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76E0-386D-4C69-9B59-C1DF57A99158}">
  <sheetPr codeName="Sheet12"/>
  <dimension ref="A2:D67"/>
  <sheetViews>
    <sheetView workbookViewId="0">
      <selection activeCell="D2" sqref="D2"/>
    </sheetView>
  </sheetViews>
  <sheetFormatPr defaultRowHeight="14.4" x14ac:dyDescent="0.3"/>
  <cols>
    <col min="1" max="1" width="3" bestFit="1" customWidth="1"/>
    <col min="2" max="2" width="15.6640625" bestFit="1" customWidth="1"/>
    <col min="3" max="3" width="12.88671875" bestFit="1" customWidth="1"/>
    <col min="4" max="4" width="47.109375" bestFit="1" customWidth="1"/>
  </cols>
  <sheetData>
    <row r="2" spans="1:4" x14ac:dyDescent="0.3">
      <c r="A2">
        <v>1</v>
      </c>
      <c r="B2" s="39">
        <v>45819.991863425923</v>
      </c>
      <c r="C2" t="s">
        <v>235</v>
      </c>
      <c r="D2" t="s">
        <v>372</v>
      </c>
    </row>
    <row r="3" spans="1:4" x14ac:dyDescent="0.3">
      <c r="A3">
        <v>2</v>
      </c>
      <c r="B3" s="39">
        <v>45819.995370370372</v>
      </c>
      <c r="C3" t="s">
        <v>235</v>
      </c>
      <c r="D3" t="s">
        <v>373</v>
      </c>
    </row>
    <row r="4" spans="1:4" x14ac:dyDescent="0.3">
      <c r="A4">
        <v>3</v>
      </c>
      <c r="B4" s="39">
        <v>45820.008935185186</v>
      </c>
      <c r="C4" t="s">
        <v>235</v>
      </c>
      <c r="D4" t="s">
        <v>374</v>
      </c>
    </row>
    <row r="5" spans="1:4" x14ac:dyDescent="0.3">
      <c r="A5">
        <v>4</v>
      </c>
      <c r="B5" s="39">
        <v>45820.465300925927</v>
      </c>
      <c r="C5" t="s">
        <v>375</v>
      </c>
      <c r="D5" t="s">
        <v>376</v>
      </c>
    </row>
    <row r="6" spans="1:4" x14ac:dyDescent="0.3">
      <c r="A6">
        <v>5</v>
      </c>
      <c r="B6" s="39">
        <v>45820.780081018522</v>
      </c>
      <c r="C6" t="s">
        <v>377</v>
      </c>
      <c r="D6" t="s">
        <v>378</v>
      </c>
    </row>
    <row r="7" spans="1:4" x14ac:dyDescent="0.3">
      <c r="A7">
        <v>6</v>
      </c>
      <c r="B7" s="39">
        <v>45820.781226851854</v>
      </c>
      <c r="C7" t="s">
        <v>377</v>
      </c>
      <c r="D7" t="s">
        <v>379</v>
      </c>
    </row>
    <row r="8" spans="1:4" x14ac:dyDescent="0.3">
      <c r="A8">
        <v>7</v>
      </c>
      <c r="B8" s="39">
        <v>45820.78193287037</v>
      </c>
      <c r="C8" t="s">
        <v>377</v>
      </c>
      <c r="D8" t="s">
        <v>380</v>
      </c>
    </row>
    <row r="9" spans="1:4" x14ac:dyDescent="0.3">
      <c r="A9">
        <v>8</v>
      </c>
      <c r="B9" s="39">
        <v>45820.832800925928</v>
      </c>
      <c r="C9" t="s">
        <v>377</v>
      </c>
      <c r="D9" t="s">
        <v>382</v>
      </c>
    </row>
    <row r="10" spans="1:4" x14ac:dyDescent="0.3">
      <c r="A10">
        <v>9</v>
      </c>
      <c r="B10" s="39">
        <v>45820.839386574073</v>
      </c>
      <c r="C10" t="s">
        <v>383</v>
      </c>
      <c r="D10" t="s">
        <v>390</v>
      </c>
    </row>
    <row r="11" spans="1:4" x14ac:dyDescent="0.3">
      <c r="A11">
        <v>10</v>
      </c>
      <c r="B11" s="39">
        <v>45820.8518287037</v>
      </c>
      <c r="C11" t="s">
        <v>383</v>
      </c>
      <c r="D11" t="s">
        <v>392</v>
      </c>
    </row>
    <row r="12" spans="1:4" x14ac:dyDescent="0.3">
      <c r="A12">
        <v>11</v>
      </c>
      <c r="B12" s="39">
        <v>45820.851863425924</v>
      </c>
      <c r="C12" t="s">
        <v>383</v>
      </c>
      <c r="D12" t="s">
        <v>393</v>
      </c>
    </row>
    <row r="13" spans="1:4" x14ac:dyDescent="0.3">
      <c r="A13">
        <v>12</v>
      </c>
      <c r="B13" s="39">
        <v>45820.85297453704</v>
      </c>
      <c r="C13" t="s">
        <v>383</v>
      </c>
      <c r="D13" t="s">
        <v>394</v>
      </c>
    </row>
    <row r="14" spans="1:4" x14ac:dyDescent="0.3">
      <c r="A14">
        <v>13</v>
      </c>
      <c r="B14" s="39">
        <v>45820.86822916667</v>
      </c>
      <c r="C14" t="s">
        <v>383</v>
      </c>
      <c r="D14" t="s">
        <v>395</v>
      </c>
    </row>
    <row r="15" spans="1:4" x14ac:dyDescent="0.3">
      <c r="A15">
        <v>14</v>
      </c>
      <c r="B15" s="39">
        <v>45820.868263888886</v>
      </c>
      <c r="C15" t="s">
        <v>383</v>
      </c>
      <c r="D15" t="s">
        <v>396</v>
      </c>
    </row>
    <row r="16" spans="1:4" x14ac:dyDescent="0.3">
      <c r="A16">
        <v>15</v>
      </c>
      <c r="B16" s="39">
        <v>45820.868518518517</v>
      </c>
      <c r="C16" t="s">
        <v>383</v>
      </c>
      <c r="D16" t="s">
        <v>397</v>
      </c>
    </row>
    <row r="17" spans="1:4" x14ac:dyDescent="0.3">
      <c r="A17">
        <v>16</v>
      </c>
      <c r="B17" s="39">
        <v>45820.943460648145</v>
      </c>
      <c r="C17" t="s">
        <v>383</v>
      </c>
      <c r="D17" t="s">
        <v>399</v>
      </c>
    </row>
    <row r="18" spans="1:4" x14ac:dyDescent="0.3">
      <c r="A18">
        <v>17</v>
      </c>
      <c r="B18" s="39">
        <v>45820.943495370368</v>
      </c>
      <c r="C18" t="s">
        <v>383</v>
      </c>
      <c r="D18" t="s">
        <v>400</v>
      </c>
    </row>
    <row r="19" spans="1:4" x14ac:dyDescent="0.3">
      <c r="A19">
        <v>18</v>
      </c>
      <c r="B19" s="39">
        <v>45821.040763888886</v>
      </c>
      <c r="C19" t="s">
        <v>383</v>
      </c>
      <c r="D19" t="s">
        <v>402</v>
      </c>
    </row>
    <row r="20" spans="1:4" x14ac:dyDescent="0.3">
      <c r="A20">
        <v>19</v>
      </c>
      <c r="B20" s="39">
        <v>45821.040798611109</v>
      </c>
      <c r="C20" t="s">
        <v>383</v>
      </c>
      <c r="D20" t="s">
        <v>403</v>
      </c>
    </row>
    <row r="21" spans="1:4" x14ac:dyDescent="0.3">
      <c r="A21">
        <v>20</v>
      </c>
      <c r="B21" s="39">
        <v>45821.044907407406</v>
      </c>
      <c r="C21" t="s">
        <v>383</v>
      </c>
      <c r="D21" t="s">
        <v>413</v>
      </c>
    </row>
    <row r="22" spans="1:4" x14ac:dyDescent="0.3">
      <c r="A22">
        <v>21</v>
      </c>
      <c r="B22" s="39">
        <v>45821.045138888891</v>
      </c>
      <c r="C22" t="s">
        <v>383</v>
      </c>
      <c r="D22" t="s">
        <v>414</v>
      </c>
    </row>
    <row r="23" spans="1:4" x14ac:dyDescent="0.3">
      <c r="A23">
        <v>22</v>
      </c>
      <c r="B23" s="39">
        <v>45821.045162037037</v>
      </c>
      <c r="C23" t="s">
        <v>383</v>
      </c>
      <c r="D23" t="s">
        <v>415</v>
      </c>
    </row>
    <row r="24" spans="1:4" x14ac:dyDescent="0.3">
      <c r="A24">
        <v>23</v>
      </c>
      <c r="B24" s="39">
        <v>45821.351180555554</v>
      </c>
      <c r="C24" t="s">
        <v>383</v>
      </c>
      <c r="D24" t="s">
        <v>416</v>
      </c>
    </row>
    <row r="25" spans="1:4" x14ac:dyDescent="0.3">
      <c r="A25">
        <v>24</v>
      </c>
      <c r="B25" s="39">
        <v>45821.35119212963</v>
      </c>
      <c r="C25" t="s">
        <v>383</v>
      </c>
      <c r="D25" t="s">
        <v>417</v>
      </c>
    </row>
    <row r="26" spans="1:4" x14ac:dyDescent="0.3">
      <c r="A26">
        <v>25</v>
      </c>
      <c r="B26" s="39">
        <v>45821.357685185183</v>
      </c>
      <c r="C26" t="s">
        <v>383</v>
      </c>
      <c r="D26" t="s">
        <v>418</v>
      </c>
    </row>
    <row r="27" spans="1:4" x14ac:dyDescent="0.3">
      <c r="A27">
        <v>26</v>
      </c>
      <c r="B27" s="39">
        <v>45821.357731481483</v>
      </c>
      <c r="C27" t="s">
        <v>383</v>
      </c>
      <c r="D27" t="s">
        <v>419</v>
      </c>
    </row>
    <row r="28" spans="1:4" x14ac:dyDescent="0.3">
      <c r="A28">
        <v>27</v>
      </c>
      <c r="B28" s="39">
        <v>45821.41547453704</v>
      </c>
      <c r="C28" t="s">
        <v>383</v>
      </c>
      <c r="D28" t="s">
        <v>420</v>
      </c>
    </row>
    <row r="29" spans="1:4" x14ac:dyDescent="0.3">
      <c r="A29">
        <v>28</v>
      </c>
      <c r="B29" s="39">
        <v>45821.415520833332</v>
      </c>
      <c r="C29" t="s">
        <v>383</v>
      </c>
      <c r="D29" t="s">
        <v>421</v>
      </c>
    </row>
    <row r="30" spans="1:4" x14ac:dyDescent="0.3">
      <c r="A30">
        <v>29</v>
      </c>
      <c r="B30" s="39">
        <v>45821.423402777778</v>
      </c>
      <c r="C30" t="s">
        <v>383</v>
      </c>
      <c r="D30" t="s">
        <v>422</v>
      </c>
    </row>
    <row r="31" spans="1:4" x14ac:dyDescent="0.3">
      <c r="A31">
        <v>30</v>
      </c>
      <c r="B31" s="39">
        <v>45821.423437500001</v>
      </c>
      <c r="C31" t="s">
        <v>383</v>
      </c>
      <c r="D31" t="s">
        <v>423</v>
      </c>
    </row>
    <row r="32" spans="1:4" x14ac:dyDescent="0.3">
      <c r="A32">
        <v>31</v>
      </c>
      <c r="B32" s="39">
        <v>45823.60601851852</v>
      </c>
      <c r="C32" t="s">
        <v>383</v>
      </c>
      <c r="D32" t="s">
        <v>425</v>
      </c>
    </row>
    <row r="33" spans="1:4" x14ac:dyDescent="0.3">
      <c r="A33">
        <v>32</v>
      </c>
      <c r="B33" s="39">
        <v>45823.606053240743</v>
      </c>
      <c r="C33" t="s">
        <v>383</v>
      </c>
      <c r="D33" t="s">
        <v>426</v>
      </c>
    </row>
    <row r="34" spans="1:4" x14ac:dyDescent="0.3">
      <c r="A34">
        <v>33</v>
      </c>
      <c r="B34" s="39">
        <v>45823.606527777774</v>
      </c>
      <c r="C34" t="s">
        <v>383</v>
      </c>
      <c r="D34" t="s">
        <v>427</v>
      </c>
    </row>
    <row r="35" spans="1:4" x14ac:dyDescent="0.3">
      <c r="A35">
        <v>34</v>
      </c>
      <c r="B35" s="39">
        <v>45823.609143518515</v>
      </c>
      <c r="C35" t="s">
        <v>383</v>
      </c>
      <c r="D35" t="s">
        <v>428</v>
      </c>
    </row>
    <row r="36" spans="1:4" x14ac:dyDescent="0.3">
      <c r="A36">
        <v>35</v>
      </c>
      <c r="B36" s="39">
        <v>45823.681851851848</v>
      </c>
      <c r="C36" t="s">
        <v>383</v>
      </c>
      <c r="D36" t="s">
        <v>430</v>
      </c>
    </row>
    <row r="37" spans="1:4" x14ac:dyDescent="0.3">
      <c r="A37">
        <v>36</v>
      </c>
      <c r="B37" s="39">
        <v>45823.681886574072</v>
      </c>
      <c r="C37" t="s">
        <v>383</v>
      </c>
      <c r="D37" t="s">
        <v>431</v>
      </c>
    </row>
    <row r="38" spans="1:4" x14ac:dyDescent="0.3">
      <c r="A38">
        <v>37</v>
      </c>
      <c r="B38" s="39">
        <v>45823.696030092593</v>
      </c>
      <c r="C38" t="s">
        <v>383</v>
      </c>
      <c r="D38" t="s">
        <v>432</v>
      </c>
    </row>
    <row r="39" spans="1:4" x14ac:dyDescent="0.3">
      <c r="A39">
        <v>38</v>
      </c>
      <c r="B39" s="39">
        <v>45823.696076388886</v>
      </c>
      <c r="C39" t="s">
        <v>383</v>
      </c>
      <c r="D39" t="s">
        <v>433</v>
      </c>
    </row>
    <row r="40" spans="1:4" x14ac:dyDescent="0.3">
      <c r="A40">
        <v>39</v>
      </c>
      <c r="B40" s="39">
        <v>45823.930891203701</v>
      </c>
      <c r="C40" t="s">
        <v>434</v>
      </c>
      <c r="D40" t="s">
        <v>435</v>
      </c>
    </row>
    <row r="41" spans="1:4" x14ac:dyDescent="0.3">
      <c r="A41">
        <v>40</v>
      </c>
      <c r="B41" s="39">
        <v>45823.963020833333</v>
      </c>
      <c r="C41" t="s">
        <v>434</v>
      </c>
      <c r="D41" t="s">
        <v>436</v>
      </c>
    </row>
    <row r="42" spans="1:4" x14ac:dyDescent="0.3">
      <c r="A42">
        <v>41</v>
      </c>
      <c r="B42" s="39">
        <v>45823.963020833333</v>
      </c>
      <c r="C42" t="s">
        <v>434</v>
      </c>
      <c r="D42" t="s">
        <v>437</v>
      </c>
    </row>
    <row r="43" spans="1:4" x14ac:dyDescent="0.3">
      <c r="A43">
        <v>42</v>
      </c>
      <c r="B43" s="39">
        <v>45823.971180555556</v>
      </c>
      <c r="C43" t="s">
        <v>434</v>
      </c>
      <c r="D43" t="s">
        <v>438</v>
      </c>
    </row>
    <row r="44" spans="1:4" x14ac:dyDescent="0.3">
      <c r="A44">
        <v>43</v>
      </c>
      <c r="B44" s="39">
        <v>45823.971180555556</v>
      </c>
      <c r="C44" t="s">
        <v>434</v>
      </c>
      <c r="D44" t="s">
        <v>439</v>
      </c>
    </row>
    <row r="45" spans="1:4" x14ac:dyDescent="0.3">
      <c r="A45">
        <v>44</v>
      </c>
      <c r="B45" s="39">
        <v>45823.974965277775</v>
      </c>
      <c r="C45" t="s">
        <v>434</v>
      </c>
      <c r="D45" t="s">
        <v>440</v>
      </c>
    </row>
    <row r="46" spans="1:4" x14ac:dyDescent="0.3">
      <c r="A46">
        <v>45</v>
      </c>
      <c r="B46" s="39">
        <v>45823.975011574075</v>
      </c>
      <c r="C46" t="s">
        <v>434</v>
      </c>
      <c r="D46" t="s">
        <v>441</v>
      </c>
    </row>
    <row r="47" spans="1:4" x14ac:dyDescent="0.3">
      <c r="A47">
        <v>46</v>
      </c>
      <c r="B47" s="39">
        <v>45823.983368055553</v>
      </c>
      <c r="C47" t="s">
        <v>434</v>
      </c>
      <c r="D47" t="s">
        <v>442</v>
      </c>
    </row>
    <row r="48" spans="1:4" x14ac:dyDescent="0.3">
      <c r="A48">
        <v>47</v>
      </c>
      <c r="B48" s="39">
        <v>45823.989664351851</v>
      </c>
      <c r="C48" t="s">
        <v>434</v>
      </c>
      <c r="D48" t="s">
        <v>444</v>
      </c>
    </row>
    <row r="49" spans="1:4" x14ac:dyDescent="0.3">
      <c r="A49">
        <v>48</v>
      </c>
      <c r="B49" s="39">
        <v>45823.989699074074</v>
      </c>
      <c r="C49" t="s">
        <v>434</v>
      </c>
      <c r="D49" t="s">
        <v>445</v>
      </c>
    </row>
    <row r="50" spans="1:4" x14ac:dyDescent="0.3">
      <c r="A50">
        <v>49</v>
      </c>
      <c r="B50" s="39">
        <v>45823.99</v>
      </c>
      <c r="C50" t="s">
        <v>434</v>
      </c>
      <c r="D50" t="s">
        <v>446</v>
      </c>
    </row>
    <row r="51" spans="1:4" x14ac:dyDescent="0.3">
      <c r="A51">
        <v>50</v>
      </c>
      <c r="B51" s="39">
        <v>45823.990104166667</v>
      </c>
      <c r="C51" t="s">
        <v>434</v>
      </c>
      <c r="D51" t="s">
        <v>447</v>
      </c>
    </row>
    <row r="52" spans="1:4" x14ac:dyDescent="0.3">
      <c r="A52">
        <v>51</v>
      </c>
      <c r="B52" s="39">
        <v>45823.998495370368</v>
      </c>
      <c r="C52" t="s">
        <v>434</v>
      </c>
      <c r="D52" t="s">
        <v>448</v>
      </c>
    </row>
    <row r="53" spans="1:4" x14ac:dyDescent="0.3">
      <c r="A53">
        <v>52</v>
      </c>
      <c r="B53" s="39">
        <v>45823.998530092591</v>
      </c>
      <c r="C53" t="s">
        <v>434</v>
      </c>
      <c r="D53" t="s">
        <v>449</v>
      </c>
    </row>
    <row r="54" spans="1:4" x14ac:dyDescent="0.3">
      <c r="A54">
        <v>53</v>
      </c>
      <c r="B54" s="39">
        <v>45823.998935185184</v>
      </c>
      <c r="C54" t="s">
        <v>434</v>
      </c>
      <c r="D54" t="s">
        <v>450</v>
      </c>
    </row>
    <row r="55" spans="1:4" x14ac:dyDescent="0.3">
      <c r="A55">
        <v>54</v>
      </c>
      <c r="B55" s="39">
        <v>45823.999803240738</v>
      </c>
      <c r="C55" t="s">
        <v>434</v>
      </c>
      <c r="D55" t="s">
        <v>451</v>
      </c>
    </row>
    <row r="56" spans="1:4" x14ac:dyDescent="0.3">
      <c r="A56">
        <v>55</v>
      </c>
      <c r="B56" s="39">
        <v>45823.999849537038</v>
      </c>
      <c r="C56" t="s">
        <v>434</v>
      </c>
      <c r="D56" t="s">
        <v>452</v>
      </c>
    </row>
    <row r="57" spans="1:4" x14ac:dyDescent="0.3">
      <c r="A57">
        <v>56</v>
      </c>
      <c r="B57" s="39">
        <v>45824.405405092592</v>
      </c>
      <c r="C57" t="s">
        <v>434</v>
      </c>
      <c r="D57" t="s">
        <v>453</v>
      </c>
    </row>
    <row r="58" spans="1:4" x14ac:dyDescent="0.3">
      <c r="A58">
        <v>57</v>
      </c>
      <c r="B58" s="39">
        <v>45824.405428240738</v>
      </c>
      <c r="C58" t="s">
        <v>434</v>
      </c>
      <c r="D58" t="s">
        <v>454</v>
      </c>
    </row>
    <row r="59" spans="1:4" x14ac:dyDescent="0.3">
      <c r="A59">
        <v>58</v>
      </c>
      <c r="B59" s="39">
        <v>45824.405439814815</v>
      </c>
      <c r="C59" t="s">
        <v>434</v>
      </c>
      <c r="D59" t="s">
        <v>455</v>
      </c>
    </row>
    <row r="60" spans="1:4" x14ac:dyDescent="0.3">
      <c r="A60">
        <v>59</v>
      </c>
      <c r="B60" s="39">
        <v>45824.405462962961</v>
      </c>
      <c r="C60" t="s">
        <v>434</v>
      </c>
      <c r="D60" t="s">
        <v>456</v>
      </c>
    </row>
    <row r="61" spans="1:4" x14ac:dyDescent="0.3">
      <c r="A61">
        <v>60</v>
      </c>
      <c r="B61" s="39">
        <v>45824.405474537038</v>
      </c>
      <c r="C61" t="s">
        <v>434</v>
      </c>
      <c r="D61" t="s">
        <v>457</v>
      </c>
    </row>
    <row r="62" spans="1:4" x14ac:dyDescent="0.3">
      <c r="A62">
        <v>61</v>
      </c>
      <c r="B62" s="39">
        <v>45824.405497685184</v>
      </c>
      <c r="C62" t="s">
        <v>434</v>
      </c>
      <c r="D62" t="s">
        <v>458</v>
      </c>
    </row>
    <row r="63" spans="1:4" x14ac:dyDescent="0.3">
      <c r="A63">
        <v>62</v>
      </c>
      <c r="B63" s="39">
        <v>45824.40965277778</v>
      </c>
      <c r="C63" t="s">
        <v>434</v>
      </c>
      <c r="D63" t="s">
        <v>464</v>
      </c>
    </row>
    <row r="64" spans="1:4" x14ac:dyDescent="0.3">
      <c r="A64">
        <v>63</v>
      </c>
      <c r="B64" s="39">
        <v>45824.40966435185</v>
      </c>
      <c r="C64" t="s">
        <v>434</v>
      </c>
      <c r="D64" t="s">
        <v>465</v>
      </c>
    </row>
    <row r="65" spans="1:4" x14ac:dyDescent="0.3">
      <c r="A65">
        <v>64</v>
      </c>
      <c r="B65" s="39">
        <v>45824.410092592596</v>
      </c>
      <c r="C65" t="s">
        <v>434</v>
      </c>
      <c r="D65" t="s">
        <v>466</v>
      </c>
    </row>
    <row r="66" spans="1:4" x14ac:dyDescent="0.3">
      <c r="A66">
        <v>65</v>
      </c>
      <c r="B66" s="39">
        <v>45824.465046296296</v>
      </c>
      <c r="C66" t="s">
        <v>434</v>
      </c>
      <c r="D66" t="s">
        <v>476</v>
      </c>
    </row>
    <row r="67" spans="1:4" x14ac:dyDescent="0.3">
      <c r="A67">
        <v>66</v>
      </c>
      <c r="B67" s="39">
        <v>45824.465057870373</v>
      </c>
      <c r="C67" t="s">
        <v>434</v>
      </c>
      <c r="D67" t="s">
        <v>477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14C57-310F-4939-8C35-695762F0CC2C}">
  <sheetPr codeName="Sheet24"/>
  <dimension ref="A2:M28"/>
  <sheetViews>
    <sheetView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345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4.4220246586535027E-2</v>
      </c>
      <c r="D4" s="154">
        <v>3.778174233150372E-2</v>
      </c>
      <c r="E4" s="154">
        <v>4.5891509741726379E-2</v>
      </c>
      <c r="F4" s="154">
        <v>4.6986028975824226E-2</v>
      </c>
      <c r="G4" s="154">
        <v>4.9452483792362084E-2</v>
      </c>
      <c r="H4" s="155">
        <v>4.9452483792362084E-2</v>
      </c>
      <c r="I4" s="19">
        <v>4.5630749203385584E-2</v>
      </c>
      <c r="J4" s="20">
        <v>4.4385390610469422E-2</v>
      </c>
      <c r="K4" s="20">
        <v>4.459295037595544E-2</v>
      </c>
      <c r="M4" s="142"/>
    </row>
    <row r="5" spans="2:13" ht="28.8" x14ac:dyDescent="0.3">
      <c r="B5" s="156" t="s">
        <v>71</v>
      </c>
      <c r="C5" s="154">
        <v>8.7959847984462811E-2</v>
      </c>
      <c r="D5" s="154">
        <v>9.5067827551525735E-2</v>
      </c>
      <c r="E5" s="154">
        <v>0.10475448346891322</v>
      </c>
      <c r="F5" s="154">
        <v>0.1130228684394643</v>
      </c>
      <c r="G5" s="154">
        <v>8.8617812810615634E-2</v>
      </c>
      <c r="H5" s="155">
        <v>8.8617812810615634E-2</v>
      </c>
      <c r="I5" s="19">
        <v>9.6340108844266234E-2</v>
      </c>
      <c r="J5" s="20">
        <v>9.6495945546694523E-2</v>
      </c>
      <c r="K5" s="20">
        <v>9.6469972762956463E-2</v>
      </c>
    </row>
    <row r="6" spans="2:13" ht="28.8" x14ac:dyDescent="0.3">
      <c r="B6" s="153" t="s">
        <v>72</v>
      </c>
      <c r="C6" s="154">
        <v>3.4818078721899751E-2</v>
      </c>
      <c r="D6" s="154">
        <v>5.3212231750740815E-2</v>
      </c>
      <c r="E6" s="154">
        <v>5.450836717423501E-2</v>
      </c>
      <c r="F6" s="154">
        <v>4.1777506052535184E-2</v>
      </c>
      <c r="G6" s="154">
        <v>3.5300400588909549E-2</v>
      </c>
      <c r="H6" s="155">
        <v>3.5300400588909549E-2</v>
      </c>
      <c r="I6" s="19">
        <v>4.2486164146204979E-2</v>
      </c>
      <c r="J6" s="20">
        <v>4.3767259051647869E-2</v>
      </c>
      <c r="K6" s="20">
        <v>4.3553743234074051E-2</v>
      </c>
    </row>
    <row r="7" spans="2:13" x14ac:dyDescent="0.3">
      <c r="B7" s="156" t="s">
        <v>73</v>
      </c>
      <c r="C7" s="154">
        <v>0.12164338690222633</v>
      </c>
      <c r="D7" s="154">
        <v>0.1573597428616518</v>
      </c>
      <c r="E7" s="154">
        <v>0.10086022364815753</v>
      </c>
      <c r="F7" s="154">
        <v>8.3548766035280164E-2</v>
      </c>
      <c r="G7" s="154">
        <v>9.6642702992956672E-2</v>
      </c>
      <c r="H7" s="155">
        <v>9.6642702992956672E-2</v>
      </c>
      <c r="I7" s="19">
        <v>0.10944958757220485</v>
      </c>
      <c r="J7" s="20">
        <v>0.11593890750751107</v>
      </c>
      <c r="K7" s="20">
        <v>0.11485735418496004</v>
      </c>
    </row>
    <row r="8" spans="2:13" ht="28.8" x14ac:dyDescent="0.3">
      <c r="B8" s="153" t="s">
        <v>74</v>
      </c>
      <c r="C8" s="154">
        <v>8.7946563912474364E-4</v>
      </c>
      <c r="D8" s="154">
        <v>7.7239646254103711E-4</v>
      </c>
      <c r="E8" s="154">
        <v>8.2562682301174414E-4</v>
      </c>
      <c r="F8" s="154">
        <v>1.055252972313516E-3</v>
      </c>
      <c r="G8" s="154">
        <v>7.3278459063632966E-4</v>
      </c>
      <c r="H8" s="155">
        <v>7.3278459063632966E-4</v>
      </c>
      <c r="I8" s="19">
        <v>8.3305184637728349E-4</v>
      </c>
      <c r="J8" s="20">
        <v>8.455041405543717E-4</v>
      </c>
      <c r="K8" s="20">
        <v>8.4342875819152379E-4</v>
      </c>
    </row>
    <row r="9" spans="2:13" x14ac:dyDescent="0.3">
      <c r="B9" s="156" t="s">
        <v>75</v>
      </c>
      <c r="C9" s="154">
        <v>3.6257151218725456E-2</v>
      </c>
      <c r="D9" s="154">
        <v>3.1843080726871663E-2</v>
      </c>
      <c r="E9" s="154">
        <v>3.4037573772597064E-2</v>
      </c>
      <c r="F9" s="154">
        <v>4.3504219936617426E-2</v>
      </c>
      <c r="G9" s="154">
        <v>3.0210028148336478E-2</v>
      </c>
      <c r="H9" s="155">
        <v>3.0210028148336478E-2</v>
      </c>
      <c r="I9" s="19">
        <v>3.4343680325247428E-2</v>
      </c>
      <c r="J9" s="20">
        <v>3.4857042863718025E-2</v>
      </c>
      <c r="K9" s="20">
        <v>3.4771482440639594E-2</v>
      </c>
    </row>
    <row r="10" spans="2:13" ht="28.8" x14ac:dyDescent="0.3">
      <c r="B10" s="153" t="s">
        <v>76</v>
      </c>
      <c r="C10" s="154">
        <v>0</v>
      </c>
      <c r="D10" s="154">
        <v>0</v>
      </c>
      <c r="E10" s="154">
        <v>0</v>
      </c>
      <c r="F10" s="154">
        <v>0</v>
      </c>
      <c r="G10" s="154">
        <v>0</v>
      </c>
      <c r="H10" s="155">
        <v>0</v>
      </c>
      <c r="I10" s="19">
        <v>0</v>
      </c>
      <c r="J10" s="20">
        <v>0</v>
      </c>
      <c r="K10" s="20">
        <v>0</v>
      </c>
    </row>
    <row r="11" spans="2:13" x14ac:dyDescent="0.3">
      <c r="B11" s="156" t="s">
        <v>77</v>
      </c>
      <c r="C11" s="154">
        <v>0.50448243910553214</v>
      </c>
      <c r="D11" s="154">
        <v>0.57286541163331373</v>
      </c>
      <c r="E11" s="154">
        <v>0.55569848211988682</v>
      </c>
      <c r="F11" s="154">
        <v>0.58333937640627065</v>
      </c>
      <c r="G11" s="154">
        <v>0.60000472572390484</v>
      </c>
      <c r="H11" s="155">
        <v>0.60000472572390484</v>
      </c>
      <c r="I11" s="19">
        <v>0.56939919345213552</v>
      </c>
      <c r="J11" s="20">
        <v>0.55766578805913514</v>
      </c>
      <c r="K11" s="20">
        <v>0.55962135562463522</v>
      </c>
    </row>
    <row r="12" spans="2:13" ht="43.2" x14ac:dyDescent="0.3">
      <c r="B12" s="153" t="s">
        <v>78</v>
      </c>
      <c r="C12" s="154">
        <v>2.5146861541387473E-2</v>
      </c>
      <c r="D12" s="154">
        <v>1.2634189102829523E-2</v>
      </c>
      <c r="E12" s="154">
        <v>1.5698027651995294E-2</v>
      </c>
      <c r="F12" s="154">
        <v>2.4287841725183529E-2</v>
      </c>
      <c r="G12" s="154">
        <v>1.2375557063629821E-2</v>
      </c>
      <c r="H12" s="155">
        <v>1.2375557063629821E-2</v>
      </c>
      <c r="I12" s="19">
        <v>1.7086339024775909E-2</v>
      </c>
      <c r="J12" s="20">
        <v>1.820719111343989E-2</v>
      </c>
      <c r="K12" s="20">
        <v>1.8020382431995895E-2</v>
      </c>
    </row>
    <row r="13" spans="2:13" x14ac:dyDescent="0.3">
      <c r="B13" s="156" t="s">
        <v>79</v>
      </c>
      <c r="C13" s="154">
        <v>0.14459252230010616</v>
      </c>
      <c r="D13" s="154">
        <v>3.8463377579021955E-2</v>
      </c>
      <c r="E13" s="154">
        <v>8.7725705599476955E-2</v>
      </c>
      <c r="F13" s="154">
        <v>6.2478139456510998E-2</v>
      </c>
      <c r="G13" s="154">
        <v>8.6663504288648524E-2</v>
      </c>
      <c r="H13" s="155">
        <v>8.6663504288648524E-2</v>
      </c>
      <c r="I13" s="19">
        <v>8.4431125585402181E-2</v>
      </c>
      <c r="J13" s="20">
        <v>8.7836971106829656E-2</v>
      </c>
      <c r="K13" s="20">
        <v>8.7269330186591762E-2</v>
      </c>
    </row>
    <row r="14" spans="2:13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x14ac:dyDescent="0.3">
      <c r="B15" s="157" t="s">
        <v>81</v>
      </c>
      <c r="C15" s="154">
        <v>0.99999999999999978</v>
      </c>
      <c r="D15" s="154">
        <v>0.99999999999999989</v>
      </c>
      <c r="E15" s="154">
        <v>1</v>
      </c>
      <c r="F15" s="154">
        <v>1</v>
      </c>
      <c r="G15" s="158">
        <v>0.99999999999999989</v>
      </c>
      <c r="H15" s="159">
        <v>0.99999999999999989</v>
      </c>
      <c r="I15" s="19">
        <v>1</v>
      </c>
      <c r="J15" s="19">
        <v>1.0000000000000002</v>
      </c>
      <c r="K15" s="19">
        <v>1</v>
      </c>
    </row>
    <row r="16" spans="2:13" ht="15" thickBot="1" x14ac:dyDescent="0.35">
      <c r="B16" s="160" t="s">
        <v>82</v>
      </c>
      <c r="C16" s="161">
        <v>0.105064652488947</v>
      </c>
      <c r="D16" s="161">
        <v>0.10440055964761509</v>
      </c>
      <c r="E16" s="161">
        <v>0.11692353139096842</v>
      </c>
      <c r="F16" s="161">
        <v>0.11410662972585646</v>
      </c>
      <c r="G16" s="161">
        <v>9.7861226035537791E-2</v>
      </c>
      <c r="H16" s="162">
        <v>9.7861226035537791E-2</v>
      </c>
      <c r="I16" s="63">
        <v>0.10603630422074375</v>
      </c>
      <c r="J16" s="63">
        <v>0.10720534491611156</v>
      </c>
      <c r="K16" s="63">
        <v>0.10701050480021691</v>
      </c>
      <c r="M16" s="143"/>
    </row>
    <row r="17" spans="1:13" x14ac:dyDescent="0.3">
      <c r="A17" s="216">
        <v>2023</v>
      </c>
      <c r="B17" s="64" t="s">
        <v>336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17"/>
      <c r="B18" s="67" t="s">
        <v>337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17"/>
      <c r="B19" s="69" t="s">
        <v>338</v>
      </c>
      <c r="C19" s="70">
        <v>2.521551659734728E-2</v>
      </c>
      <c r="D19" s="70">
        <v>2.0880111929523021E-2</v>
      </c>
      <c r="E19" s="70">
        <v>1.8707765022554949E-2</v>
      </c>
      <c r="F19" s="70">
        <v>1.3692795567102775E-2</v>
      </c>
      <c r="G19" s="70">
        <v>7.8288980828430232E-3</v>
      </c>
      <c r="H19" s="109">
        <v>3.9144490414215116E-3</v>
      </c>
      <c r="I19" s="20">
        <v>1.6965808675319001E-2</v>
      </c>
      <c r="J19" s="110">
        <v>0.10720534491611156</v>
      </c>
      <c r="K19" s="43"/>
    </row>
    <row r="20" spans="1:13" x14ac:dyDescent="0.3">
      <c r="A20" s="217">
        <v>2024</v>
      </c>
      <c r="B20" s="64" t="s">
        <v>336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17"/>
      <c r="B21" s="67" t="s">
        <v>337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18"/>
      <c r="B22" s="69" t="s">
        <v>338</v>
      </c>
      <c r="C22" s="70">
        <v>2.4515085580754301E-2</v>
      </c>
      <c r="D22" s="70">
        <v>2.0880111929523021E-2</v>
      </c>
      <c r="E22" s="70">
        <v>1.9487255231828069E-2</v>
      </c>
      <c r="F22" s="70">
        <v>1.5214217296780861E-2</v>
      </c>
      <c r="G22" s="70">
        <v>9.7861226035537794E-3</v>
      </c>
      <c r="H22" s="109">
        <v>6.524081735702519E-3</v>
      </c>
      <c r="I22" s="20">
        <v>1.0603630422074376E-2</v>
      </c>
      <c r="J22" s="43"/>
      <c r="K22" s="110">
        <v>0.10701050480021693</v>
      </c>
      <c r="L22" s="81"/>
    </row>
    <row r="23" spans="1:13" x14ac:dyDescent="0.3">
      <c r="A23" s="81">
        <v>0.63621782532446258</v>
      </c>
      <c r="M23" s="81"/>
    </row>
    <row r="25" spans="1:13" x14ac:dyDescent="0.3">
      <c r="B25" s="52"/>
      <c r="D25" s="142"/>
      <c r="I25" s="81"/>
    </row>
    <row r="26" spans="1:13" x14ac:dyDescent="0.3"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5D7DD-8A34-461B-8EB1-91AAF3E4B6BA}">
  <sheetPr codeName="Sheet25"/>
  <dimension ref="A2:M28"/>
  <sheetViews>
    <sheetView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345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4.4246188588218743E-2</v>
      </c>
      <c r="D4" s="154">
        <v>3.7801207344058611E-2</v>
      </c>
      <c r="E4" s="154">
        <v>4.5916783160262063E-2</v>
      </c>
      <c r="F4" s="154">
        <v>4.7019107010776662E-2</v>
      </c>
      <c r="G4" s="154">
        <v>4.9476654278929978E-2</v>
      </c>
      <c r="H4" s="155">
        <v>4.9476654278929978E-2</v>
      </c>
      <c r="I4" s="19">
        <v>4.5656099110196004E-2</v>
      </c>
      <c r="J4" s="20">
        <v>4.4410479248022314E-2</v>
      </c>
      <c r="K4" s="20">
        <v>4.4618082558384592E-2</v>
      </c>
      <c r="M4" s="142"/>
    </row>
    <row r="5" spans="2:13" ht="28.8" x14ac:dyDescent="0.3">
      <c r="B5" s="156" t="s">
        <v>71</v>
      </c>
      <c r="C5" s="154">
        <v>8.8011450015221426E-2</v>
      </c>
      <c r="D5" s="154">
        <v>9.5116806141253535E-2</v>
      </c>
      <c r="E5" s="154">
        <v>0.10481217396371496</v>
      </c>
      <c r="F5" s="154">
        <v>0.11310243622746759</v>
      </c>
      <c r="G5" s="154">
        <v>8.8661125815139505E-2</v>
      </c>
      <c r="H5" s="155">
        <v>8.8661125815139505E-2</v>
      </c>
      <c r="I5" s="19">
        <v>9.6394186329656087E-2</v>
      </c>
      <c r="J5" s="20">
        <v>9.6550754323956059E-2</v>
      </c>
      <c r="K5" s="20">
        <v>9.6524659658239406E-2</v>
      </c>
    </row>
    <row r="6" spans="2:13" ht="28.8" x14ac:dyDescent="0.3">
      <c r="B6" s="153" t="s">
        <v>72</v>
      </c>
      <c r="C6" s="154">
        <v>3.4838504900552091E-2</v>
      </c>
      <c r="D6" s="154">
        <v>5.3239646493819986E-2</v>
      </c>
      <c r="E6" s="154">
        <v>5.4538386077187744E-2</v>
      </c>
      <c r="F6" s="154">
        <v>4.1806917301699102E-2</v>
      </c>
      <c r="G6" s="154">
        <v>3.531765407736643E-2</v>
      </c>
      <c r="H6" s="155">
        <v>3.531765407736643E-2</v>
      </c>
      <c r="I6" s="19">
        <v>4.2509793821331965E-2</v>
      </c>
      <c r="J6" s="20">
        <v>4.3791827824147513E-2</v>
      </c>
      <c r="K6" s="20">
        <v>4.3578155490344918E-2</v>
      </c>
    </row>
    <row r="7" spans="2:13" x14ac:dyDescent="0.3">
      <c r="B7" s="156" t="s">
        <v>73</v>
      </c>
      <c r="C7" s="154">
        <v>0.12171474952888324</v>
      </c>
      <c r="D7" s="154">
        <v>0.15744081401352089</v>
      </c>
      <c r="E7" s="154">
        <v>0.10091576949226265</v>
      </c>
      <c r="F7" s="154">
        <v>8.3607584136392077E-2</v>
      </c>
      <c r="G7" s="154">
        <v>9.6689938257506464E-2</v>
      </c>
      <c r="H7" s="155">
        <v>9.6689938257506464E-2</v>
      </c>
      <c r="I7" s="19">
        <v>0.10950979894767864</v>
      </c>
      <c r="J7" s="20">
        <v>0.11600349632729458</v>
      </c>
      <c r="K7" s="20">
        <v>0.11492121343069193</v>
      </c>
    </row>
    <row r="8" spans="2:13" ht="28.8" x14ac:dyDescent="0.3">
      <c r="B8" s="153" t="s">
        <v>74</v>
      </c>
      <c r="C8" s="154">
        <v>2.9332719383357952E-4</v>
      </c>
      <c r="D8" s="154">
        <v>2.5759813277135218E-4</v>
      </c>
      <c r="E8" s="154">
        <v>2.7536050434950735E-4</v>
      </c>
      <c r="F8" s="154">
        <v>3.519986224996006E-4</v>
      </c>
      <c r="G8" s="154">
        <v>2.4438091592506684E-4</v>
      </c>
      <c r="H8" s="155">
        <v>2.4438091592506684E-4</v>
      </c>
      <c r="I8" s="19">
        <v>2.7784104755069556E-4</v>
      </c>
      <c r="J8" s="20">
        <v>2.8199594598932214E-4</v>
      </c>
      <c r="K8" s="20">
        <v>2.8130346291621767E-4</v>
      </c>
    </row>
    <row r="9" spans="2:13" x14ac:dyDescent="0.3">
      <c r="B9" s="156" t="s">
        <v>75</v>
      </c>
      <c r="C9" s="154">
        <v>3.6278421635572232E-2</v>
      </c>
      <c r="D9" s="154">
        <v>3.1859486163145524E-2</v>
      </c>
      <c r="E9" s="154">
        <v>3.4056318979558776E-2</v>
      </c>
      <c r="F9" s="154">
        <v>4.3534846787598641E-2</v>
      </c>
      <c r="G9" s="154">
        <v>3.0224793657034503E-2</v>
      </c>
      <c r="H9" s="155">
        <v>3.0224793657034503E-2</v>
      </c>
      <c r="I9" s="19">
        <v>3.4363110146657362E-2</v>
      </c>
      <c r="J9" s="20">
        <v>3.4876983938717E-2</v>
      </c>
      <c r="K9" s="20">
        <v>3.4791338306707061E-2</v>
      </c>
    </row>
    <row r="10" spans="2:13" ht="28.8" x14ac:dyDescent="0.3">
      <c r="B10" s="153" t="s">
        <v>76</v>
      </c>
      <c r="C10" s="154">
        <v>0</v>
      </c>
      <c r="D10" s="154">
        <v>0</v>
      </c>
      <c r="E10" s="154">
        <v>0</v>
      </c>
      <c r="F10" s="154">
        <v>0</v>
      </c>
      <c r="G10" s="154">
        <v>0</v>
      </c>
      <c r="H10" s="155">
        <v>0</v>
      </c>
      <c r="I10" s="19">
        <v>0</v>
      </c>
      <c r="J10" s="20">
        <v>0</v>
      </c>
      <c r="K10" s="20">
        <v>0</v>
      </c>
    </row>
    <row r="11" spans="2:13" x14ac:dyDescent="0.3">
      <c r="B11" s="156" t="s">
        <v>77</v>
      </c>
      <c r="C11" s="154">
        <v>0.50477839594193452</v>
      </c>
      <c r="D11" s="154">
        <v>0.57316054975404584</v>
      </c>
      <c r="E11" s="154">
        <v>0.5560045169484924</v>
      </c>
      <c r="F11" s="154">
        <v>0.5837500457201602</v>
      </c>
      <c r="G11" s="154">
        <v>0.60029798513276844</v>
      </c>
      <c r="H11" s="155">
        <v>0.60029798513276844</v>
      </c>
      <c r="I11" s="19">
        <v>0.56971491310502831</v>
      </c>
      <c r="J11" s="20">
        <v>0.55797979748778825</v>
      </c>
      <c r="K11" s="20">
        <v>0.55993565009066149</v>
      </c>
    </row>
    <row r="12" spans="2:13" ht="43.2" x14ac:dyDescent="0.3">
      <c r="B12" s="153" t="s">
        <v>78</v>
      </c>
      <c r="C12" s="154">
        <v>2.5161614058046785E-2</v>
      </c>
      <c r="D12" s="154">
        <v>1.2640698189873461E-2</v>
      </c>
      <c r="E12" s="154">
        <v>1.5706672885618386E-2</v>
      </c>
      <c r="F12" s="154">
        <v>2.4304940298845036E-2</v>
      </c>
      <c r="G12" s="154">
        <v>1.2381605763570405E-2</v>
      </c>
      <c r="H12" s="155">
        <v>1.2381605763570405E-2</v>
      </c>
      <c r="I12" s="19">
        <v>1.7096189493254078E-2</v>
      </c>
      <c r="J12" s="20">
        <v>1.8217770520015369E-2</v>
      </c>
      <c r="K12" s="20">
        <v>1.8030840348888487E-2</v>
      </c>
    </row>
    <row r="13" spans="2:13" x14ac:dyDescent="0.3">
      <c r="B13" s="156" t="s">
        <v>79</v>
      </c>
      <c r="C13" s="154">
        <v>0.14467734813773739</v>
      </c>
      <c r="D13" s="154">
        <v>3.8483193767510832E-2</v>
      </c>
      <c r="E13" s="154">
        <v>8.7774017988553527E-2</v>
      </c>
      <c r="F13" s="154">
        <v>6.2522123894561063E-2</v>
      </c>
      <c r="G13" s="154">
        <v>8.6705862101759193E-2</v>
      </c>
      <c r="H13" s="155">
        <v>8.6705862101759193E-2</v>
      </c>
      <c r="I13" s="19">
        <v>8.4478067998646877E-2</v>
      </c>
      <c r="J13" s="20">
        <v>8.7886894384069644E-2</v>
      </c>
      <c r="K13" s="20">
        <v>8.7318756653165838E-2</v>
      </c>
    </row>
    <row r="14" spans="2:13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x14ac:dyDescent="0.3">
      <c r="B15" s="157" t="s">
        <v>81</v>
      </c>
      <c r="C15" s="154">
        <v>0.99999999999999989</v>
      </c>
      <c r="D15" s="154">
        <v>1</v>
      </c>
      <c r="E15" s="154">
        <v>1</v>
      </c>
      <c r="F15" s="154">
        <v>0.99999999999999989</v>
      </c>
      <c r="G15" s="158">
        <v>1</v>
      </c>
      <c r="H15" s="159">
        <v>1</v>
      </c>
      <c r="I15" s="19">
        <v>1</v>
      </c>
      <c r="J15" s="19">
        <v>1.0000000000000002</v>
      </c>
      <c r="K15" s="19">
        <v>0.99999999999999989</v>
      </c>
    </row>
    <row r="16" spans="2:13" ht="15" thickBot="1" x14ac:dyDescent="0.35">
      <c r="B16" s="160" t="s">
        <v>82</v>
      </c>
      <c r="C16" s="161">
        <v>0.1045396347406512</v>
      </c>
      <c r="D16" s="161">
        <v>0.10393915016052341</v>
      </c>
      <c r="E16" s="161">
        <v>0.11643720262741769</v>
      </c>
      <c r="F16" s="161">
        <v>0.1134829632338204</v>
      </c>
      <c r="G16" s="161">
        <v>9.7420295035791887E-2</v>
      </c>
      <c r="H16" s="162">
        <v>9.7420295035791887E-2</v>
      </c>
      <c r="I16" s="63">
        <v>0.10553992347233274</v>
      </c>
      <c r="J16" s="63">
        <v>0.10670207353817451</v>
      </c>
      <c r="K16" s="63">
        <v>0.10650838186053421</v>
      </c>
      <c r="M16" s="143"/>
    </row>
    <row r="17" spans="1:13" x14ac:dyDescent="0.3">
      <c r="A17" s="216">
        <v>2023</v>
      </c>
      <c r="B17" s="64" t="s">
        <v>336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17"/>
      <c r="B18" s="67" t="s">
        <v>337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17"/>
      <c r="B19" s="69" t="s">
        <v>338</v>
      </c>
      <c r="C19" s="70">
        <v>2.5089512337756286E-2</v>
      </c>
      <c r="D19" s="70">
        <v>2.0787830032104684E-2</v>
      </c>
      <c r="E19" s="70">
        <v>1.8629952420386831E-2</v>
      </c>
      <c r="F19" s="70">
        <v>1.3617955588058447E-2</v>
      </c>
      <c r="G19" s="70">
        <v>7.7936236028633508E-3</v>
      </c>
      <c r="H19" s="109">
        <v>3.8968118014316754E-3</v>
      </c>
      <c r="I19" s="20">
        <v>1.6886387755573239E-2</v>
      </c>
      <c r="J19" s="110">
        <v>0.10670207353817451</v>
      </c>
      <c r="K19" s="43"/>
    </row>
    <row r="20" spans="1:13" x14ac:dyDescent="0.3">
      <c r="A20" s="217">
        <v>2024</v>
      </c>
      <c r="B20" s="64" t="s">
        <v>336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17"/>
      <c r="B21" s="67" t="s">
        <v>337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18"/>
      <c r="B22" s="69" t="s">
        <v>338</v>
      </c>
      <c r="C22" s="70">
        <v>2.4392581439485281E-2</v>
      </c>
      <c r="D22" s="70">
        <v>2.0787830032104684E-2</v>
      </c>
      <c r="E22" s="70">
        <v>1.9406200437902948E-2</v>
      </c>
      <c r="F22" s="70">
        <v>1.5131061764509386E-2</v>
      </c>
      <c r="G22" s="70">
        <v>9.7420295035791898E-3</v>
      </c>
      <c r="H22" s="109">
        <v>6.4946863357194587E-3</v>
      </c>
      <c r="I22" s="20">
        <v>1.0553992347233275E-2</v>
      </c>
      <c r="J22" s="43"/>
      <c r="K22" s="110">
        <v>0.10650838186053424</v>
      </c>
      <c r="L22" s="81"/>
    </row>
    <row r="23" spans="1:13" x14ac:dyDescent="0.3">
      <c r="A23" s="81">
        <v>0.63323954083399647</v>
      </c>
      <c r="M23" s="81"/>
    </row>
    <row r="25" spans="1:13" x14ac:dyDescent="0.3">
      <c r="B25" s="52"/>
      <c r="D25" s="142"/>
      <c r="I25" s="81"/>
    </row>
    <row r="26" spans="1:13" x14ac:dyDescent="0.3"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0B9ED-50E6-4527-9993-F6D030AE6EF3}">
  <sheetPr codeName="Sheet14"/>
  <dimension ref="A2:M28"/>
  <sheetViews>
    <sheetView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345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0</v>
      </c>
      <c r="D4" s="154">
        <v>0</v>
      </c>
      <c r="E4" s="154">
        <v>0</v>
      </c>
      <c r="F4" s="154">
        <v>0</v>
      </c>
      <c r="G4" s="154">
        <v>0</v>
      </c>
      <c r="H4" s="155">
        <v>0</v>
      </c>
      <c r="I4" s="19">
        <v>0</v>
      </c>
      <c r="J4" s="20">
        <v>0</v>
      </c>
      <c r="K4" s="20">
        <v>0</v>
      </c>
      <c r="M4" s="142"/>
    </row>
    <row r="5" spans="2:13" ht="28.8" x14ac:dyDescent="0.3">
      <c r="B5" s="156" t="s">
        <v>71</v>
      </c>
      <c r="C5" s="154">
        <v>0.11780774603439001</v>
      </c>
      <c r="D5" s="154">
        <v>0.18890575712366944</v>
      </c>
      <c r="E5" s="154">
        <v>0.18174007191529093</v>
      </c>
      <c r="F5" s="154">
        <v>0.14831762547038715</v>
      </c>
      <c r="G5" s="154">
        <v>0.16768476902320117</v>
      </c>
      <c r="H5" s="155">
        <v>0.16768476902320117</v>
      </c>
      <c r="I5" s="19">
        <v>0.16202345643169</v>
      </c>
      <c r="J5" s="20">
        <v>0.15897746234773505</v>
      </c>
      <c r="K5" s="20">
        <v>0.15948512802839421</v>
      </c>
    </row>
    <row r="6" spans="2:13" ht="28.8" x14ac:dyDescent="0.3">
      <c r="B6" s="153" t="s">
        <v>72</v>
      </c>
      <c r="C6" s="154">
        <v>0</v>
      </c>
      <c r="D6" s="154">
        <v>0</v>
      </c>
      <c r="E6" s="154">
        <v>0</v>
      </c>
      <c r="F6" s="154">
        <v>0</v>
      </c>
      <c r="G6" s="154">
        <v>0</v>
      </c>
      <c r="H6" s="155">
        <v>0</v>
      </c>
      <c r="I6" s="19">
        <v>0</v>
      </c>
      <c r="J6" s="20">
        <v>0</v>
      </c>
      <c r="K6" s="20">
        <v>0</v>
      </c>
    </row>
    <row r="7" spans="2:13" x14ac:dyDescent="0.3">
      <c r="B7" s="156" t="s">
        <v>73</v>
      </c>
      <c r="C7" s="154">
        <v>0.15473215663340908</v>
      </c>
      <c r="D7" s="154">
        <v>0.19765585009340725</v>
      </c>
      <c r="E7" s="154">
        <v>0.1257176629517055</v>
      </c>
      <c r="F7" s="154">
        <v>0.14579561599989357</v>
      </c>
      <c r="G7" s="154">
        <v>0.12494930181354656</v>
      </c>
      <c r="H7" s="155">
        <v>0.12494930181354656</v>
      </c>
      <c r="I7" s="19">
        <v>0.14563331488425144</v>
      </c>
      <c r="J7" s="20">
        <v>0.15257243420206557</v>
      </c>
      <c r="K7" s="20">
        <v>0.15141591431576321</v>
      </c>
    </row>
    <row r="8" spans="2:13" ht="28.8" x14ac:dyDescent="0.3">
      <c r="B8" s="153" t="s">
        <v>74</v>
      </c>
      <c r="C8" s="154">
        <v>0</v>
      </c>
      <c r="D8" s="154">
        <v>0</v>
      </c>
      <c r="E8" s="154">
        <v>0</v>
      </c>
      <c r="F8" s="154">
        <v>0</v>
      </c>
      <c r="G8" s="154">
        <v>0</v>
      </c>
      <c r="H8" s="155">
        <v>0</v>
      </c>
      <c r="I8" s="19">
        <v>0</v>
      </c>
      <c r="J8" s="20">
        <v>0</v>
      </c>
      <c r="K8" s="20">
        <v>0</v>
      </c>
    </row>
    <row r="9" spans="2:13" x14ac:dyDescent="0.3">
      <c r="B9" s="156" t="s">
        <v>75</v>
      </c>
      <c r="C9" s="154">
        <v>5.1112009300710873E-2</v>
      </c>
      <c r="D9" s="154">
        <v>1.4708906282129248E-2</v>
      </c>
      <c r="E9" s="154">
        <v>2.0859407592824362E-2</v>
      </c>
      <c r="F9" s="154">
        <v>7.2180188014832388E-3</v>
      </c>
      <c r="G9" s="154">
        <v>3.853889895954906E-2</v>
      </c>
      <c r="H9" s="155">
        <v>3.853889895954906E-2</v>
      </c>
      <c r="I9" s="19">
        <v>2.8496023316040977E-2</v>
      </c>
      <c r="J9" s="20">
        <v>2.859636256533879E-2</v>
      </c>
      <c r="K9" s="20">
        <v>2.8579639357122481E-2</v>
      </c>
    </row>
    <row r="10" spans="2:13" ht="28.8" x14ac:dyDescent="0.3">
      <c r="B10" s="153" t="s">
        <v>76</v>
      </c>
      <c r="C10" s="154">
        <v>0</v>
      </c>
      <c r="D10" s="154">
        <v>0</v>
      </c>
      <c r="E10" s="154">
        <v>0</v>
      </c>
      <c r="F10" s="154">
        <v>0</v>
      </c>
      <c r="G10" s="154">
        <v>0</v>
      </c>
      <c r="H10" s="155">
        <v>0</v>
      </c>
      <c r="I10" s="19">
        <v>0</v>
      </c>
      <c r="J10" s="20">
        <v>0</v>
      </c>
      <c r="K10" s="20">
        <v>0</v>
      </c>
    </row>
    <row r="11" spans="2:13" x14ac:dyDescent="0.3">
      <c r="B11" s="156" t="s">
        <v>77</v>
      </c>
      <c r="C11" s="154">
        <v>0.53129957035838105</v>
      </c>
      <c r="D11" s="154">
        <v>0.56182159435444001</v>
      </c>
      <c r="E11" s="154">
        <v>0.58228539642807475</v>
      </c>
      <c r="F11" s="154">
        <v>0.63352745640561259</v>
      </c>
      <c r="G11" s="154">
        <v>0.58590962893066145</v>
      </c>
      <c r="H11" s="155">
        <v>0.58590962893066145</v>
      </c>
      <c r="I11" s="19">
        <v>0.58012554590130516</v>
      </c>
      <c r="J11" s="20">
        <v>0.5721944167699532</v>
      </c>
      <c r="K11" s="20">
        <v>0.5735162716251786</v>
      </c>
    </row>
    <row r="12" spans="2:13" ht="43.2" x14ac:dyDescent="0.3">
      <c r="B12" s="153" t="s">
        <v>78</v>
      </c>
      <c r="C12" s="154">
        <v>0</v>
      </c>
      <c r="D12" s="154">
        <v>0</v>
      </c>
      <c r="E12" s="154">
        <v>0</v>
      </c>
      <c r="F12" s="154">
        <v>0</v>
      </c>
      <c r="G12" s="154">
        <v>0</v>
      </c>
      <c r="H12" s="155">
        <v>0</v>
      </c>
      <c r="I12" s="19">
        <v>0</v>
      </c>
      <c r="J12" s="20">
        <v>0</v>
      </c>
      <c r="K12" s="20">
        <v>0</v>
      </c>
    </row>
    <row r="13" spans="2:13" ht="28.8" x14ac:dyDescent="0.3">
      <c r="B13" s="156" t="s">
        <v>79</v>
      </c>
      <c r="C13" s="154">
        <v>0.14504851767310889</v>
      </c>
      <c r="D13" s="154">
        <v>3.6907892146354059E-2</v>
      </c>
      <c r="E13" s="154">
        <v>8.9397461112104393E-2</v>
      </c>
      <c r="F13" s="154">
        <v>6.5141283322623422E-2</v>
      </c>
      <c r="G13" s="154">
        <v>8.2917401273041813E-2</v>
      </c>
      <c r="H13" s="155">
        <v>8.2917401273041813E-2</v>
      </c>
      <c r="I13" s="19">
        <v>8.3721659466712395E-2</v>
      </c>
      <c r="J13" s="20">
        <v>8.7659324114907455E-2</v>
      </c>
      <c r="K13" s="20">
        <v>8.7003046673541612E-2</v>
      </c>
    </row>
    <row r="14" spans="2:13" ht="57.6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ht="28.8" x14ac:dyDescent="0.3">
      <c r="B15" s="157" t="s">
        <v>81</v>
      </c>
      <c r="C15" s="154">
        <v>0.99999999999999989</v>
      </c>
      <c r="D15" s="154">
        <v>0.99999999999999989</v>
      </c>
      <c r="E15" s="154">
        <v>1</v>
      </c>
      <c r="F15" s="154">
        <v>1</v>
      </c>
      <c r="G15" s="158">
        <v>1</v>
      </c>
      <c r="H15" s="159">
        <v>1</v>
      </c>
      <c r="I15" s="19">
        <v>0.99999999999999989</v>
      </c>
      <c r="J15" s="19">
        <v>1</v>
      </c>
      <c r="K15" s="19">
        <v>1</v>
      </c>
    </row>
    <row r="16" spans="2:13" ht="43.8" thickBot="1" x14ac:dyDescent="0.35">
      <c r="B16" s="160" t="s">
        <v>82</v>
      </c>
      <c r="C16" s="161">
        <v>0</v>
      </c>
      <c r="D16" s="161">
        <v>0</v>
      </c>
      <c r="E16" s="161">
        <v>0</v>
      </c>
      <c r="F16" s="161">
        <v>0</v>
      </c>
      <c r="G16" s="161">
        <v>0</v>
      </c>
      <c r="H16" s="162">
        <v>0</v>
      </c>
      <c r="I16" s="63">
        <v>0</v>
      </c>
      <c r="J16" s="63">
        <v>0</v>
      </c>
      <c r="K16" s="63">
        <v>0</v>
      </c>
      <c r="M16" s="143"/>
    </row>
    <row r="17" spans="1:13" x14ac:dyDescent="0.3">
      <c r="A17" s="216">
        <v>2023</v>
      </c>
      <c r="B17" s="64" t="s">
        <v>336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17"/>
      <c r="B18" s="67" t="s">
        <v>337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17"/>
      <c r="B19" s="69" t="s">
        <v>338</v>
      </c>
      <c r="C19" s="70">
        <v>0</v>
      </c>
      <c r="D19" s="70">
        <v>0</v>
      </c>
      <c r="E19" s="70">
        <v>0</v>
      </c>
      <c r="F19" s="70">
        <v>0</v>
      </c>
      <c r="G19" s="70">
        <v>0</v>
      </c>
      <c r="H19" s="109">
        <v>0</v>
      </c>
      <c r="I19" s="20">
        <v>0</v>
      </c>
      <c r="J19" s="110">
        <v>0</v>
      </c>
      <c r="K19" s="43"/>
    </row>
    <row r="20" spans="1:13" x14ac:dyDescent="0.3">
      <c r="A20" s="217">
        <v>2024</v>
      </c>
      <c r="B20" s="64" t="s">
        <v>336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17"/>
      <c r="B21" s="67" t="s">
        <v>337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18"/>
      <c r="B22" s="69" t="s">
        <v>338</v>
      </c>
      <c r="C22" s="70">
        <v>0</v>
      </c>
      <c r="D22" s="70">
        <v>0</v>
      </c>
      <c r="E22" s="70">
        <v>0</v>
      </c>
      <c r="F22" s="70">
        <v>0</v>
      </c>
      <c r="G22" s="70">
        <v>0</v>
      </c>
      <c r="H22" s="109">
        <v>0</v>
      </c>
      <c r="I22" s="20">
        <v>0</v>
      </c>
      <c r="J22" s="43"/>
      <c r="K22" s="110">
        <v>0</v>
      </c>
      <c r="L22" s="81"/>
    </row>
    <row r="23" spans="1:13" x14ac:dyDescent="0.3">
      <c r="A23" s="81">
        <v>0</v>
      </c>
      <c r="M23" s="81"/>
    </row>
    <row r="25" spans="1:13" x14ac:dyDescent="0.3">
      <c r="B25" s="52"/>
      <c r="D25" s="142"/>
      <c r="I25" s="81"/>
    </row>
    <row r="26" spans="1:13" x14ac:dyDescent="0.3"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2ADC9-153D-4CAF-9302-92AA4D700661}">
  <sheetPr codeName="Sheet15"/>
  <dimension ref="A2:M28"/>
  <sheetViews>
    <sheetView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345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0</v>
      </c>
      <c r="D4" s="154">
        <v>0</v>
      </c>
      <c r="E4" s="154">
        <v>0</v>
      </c>
      <c r="F4" s="154">
        <v>0</v>
      </c>
      <c r="G4" s="154">
        <v>0</v>
      </c>
      <c r="H4" s="155">
        <v>0</v>
      </c>
      <c r="I4" s="19">
        <v>0</v>
      </c>
      <c r="J4" s="20">
        <v>0</v>
      </c>
      <c r="K4" s="20">
        <v>0</v>
      </c>
      <c r="M4" s="142"/>
    </row>
    <row r="5" spans="2:13" ht="28.8" x14ac:dyDescent="0.3">
      <c r="B5" s="156" t="s">
        <v>71</v>
      </c>
      <c r="C5" s="154">
        <v>0.11967341180453135</v>
      </c>
      <c r="D5" s="154">
        <v>0.17815558850678997</v>
      </c>
      <c r="E5" s="154">
        <v>0.17805116139367239</v>
      </c>
      <c r="F5" s="154">
        <v>0.15160276351942467</v>
      </c>
      <c r="G5" s="154">
        <v>0.1591502144293101</v>
      </c>
      <c r="H5" s="155">
        <v>0.1591502144293101</v>
      </c>
      <c r="I5" s="19">
        <v>0.15763055901383977</v>
      </c>
      <c r="J5" s="20">
        <v>0.15535216915349565</v>
      </c>
      <c r="K5" s="20">
        <v>0.15573190079688629</v>
      </c>
    </row>
    <row r="6" spans="2:13" ht="28.8" x14ac:dyDescent="0.3">
      <c r="B6" s="153" t="s">
        <v>72</v>
      </c>
      <c r="C6" s="154">
        <v>0</v>
      </c>
      <c r="D6" s="154">
        <v>0</v>
      </c>
      <c r="E6" s="154">
        <v>0</v>
      </c>
      <c r="F6" s="154">
        <v>0</v>
      </c>
      <c r="G6" s="154">
        <v>0</v>
      </c>
      <c r="H6" s="155">
        <v>0</v>
      </c>
      <c r="I6" s="19">
        <v>0</v>
      </c>
      <c r="J6" s="20">
        <v>0</v>
      </c>
      <c r="K6" s="20">
        <v>0</v>
      </c>
    </row>
    <row r="7" spans="2:13" x14ac:dyDescent="0.3">
      <c r="B7" s="156" t="s">
        <v>73</v>
      </c>
      <c r="C7" s="154">
        <v>0.14134604803652726</v>
      </c>
      <c r="D7" s="154">
        <v>0.18894147544794498</v>
      </c>
      <c r="E7" s="154">
        <v>0.12390118141770122</v>
      </c>
      <c r="F7" s="154">
        <v>0.12687554959083636</v>
      </c>
      <c r="G7" s="154">
        <v>0.11975133372288521</v>
      </c>
      <c r="H7" s="155">
        <v>0.11975133372288521</v>
      </c>
      <c r="I7" s="19">
        <v>0.13676115365646338</v>
      </c>
      <c r="J7" s="20">
        <v>0.14301254622786846</v>
      </c>
      <c r="K7" s="20">
        <v>0.1419706474659676</v>
      </c>
    </row>
    <row r="8" spans="2:13" ht="28.8" x14ac:dyDescent="0.3">
      <c r="B8" s="153" t="s">
        <v>74</v>
      </c>
      <c r="C8" s="154">
        <v>0</v>
      </c>
      <c r="D8" s="154">
        <v>0</v>
      </c>
      <c r="E8" s="154">
        <v>0</v>
      </c>
      <c r="F8" s="154">
        <v>0</v>
      </c>
      <c r="G8" s="154">
        <v>0</v>
      </c>
      <c r="H8" s="155">
        <v>0</v>
      </c>
      <c r="I8" s="19">
        <v>0</v>
      </c>
      <c r="J8" s="20">
        <v>0</v>
      </c>
      <c r="K8" s="20">
        <v>0</v>
      </c>
    </row>
    <row r="9" spans="2:13" x14ac:dyDescent="0.3">
      <c r="B9" s="156" t="s">
        <v>75</v>
      </c>
      <c r="C9" s="154">
        <v>5.1921446111153249E-2</v>
      </c>
      <c r="D9" s="154">
        <v>1.5175623308710187E-2</v>
      </c>
      <c r="E9" s="154">
        <v>2.1025230276331595E-2</v>
      </c>
      <c r="F9" s="154">
        <v>7.3778931800556951E-3</v>
      </c>
      <c r="G9" s="154">
        <v>3.9287077918105519E-2</v>
      </c>
      <c r="H9" s="155">
        <v>3.9287077918105519E-2</v>
      </c>
      <c r="I9" s="19">
        <v>2.9012391452076958E-2</v>
      </c>
      <c r="J9" s="20">
        <v>2.9102087736743533E-2</v>
      </c>
      <c r="K9" s="20">
        <v>2.9087138355965773E-2</v>
      </c>
    </row>
    <row r="10" spans="2:13" ht="28.8" x14ac:dyDescent="0.3">
      <c r="B10" s="153" t="s">
        <v>76</v>
      </c>
      <c r="C10" s="154">
        <v>0</v>
      </c>
      <c r="D10" s="154">
        <v>0</v>
      </c>
      <c r="E10" s="154">
        <v>0</v>
      </c>
      <c r="F10" s="154">
        <v>0</v>
      </c>
      <c r="G10" s="154">
        <v>0</v>
      </c>
      <c r="H10" s="155">
        <v>0</v>
      </c>
      <c r="I10" s="19">
        <v>0</v>
      </c>
      <c r="J10" s="20">
        <v>0</v>
      </c>
      <c r="K10" s="20">
        <v>0</v>
      </c>
    </row>
    <row r="11" spans="2:13" x14ac:dyDescent="0.3">
      <c r="B11" s="156" t="s">
        <v>77</v>
      </c>
      <c r="C11" s="154">
        <v>0.53971351133828127</v>
      </c>
      <c r="D11" s="154">
        <v>0.57964832456514526</v>
      </c>
      <c r="E11" s="154">
        <v>0.58691429715658794</v>
      </c>
      <c r="F11" s="154">
        <v>0.64755967371995715</v>
      </c>
      <c r="G11" s="154">
        <v>0.59728424698712579</v>
      </c>
      <c r="H11" s="155">
        <v>0.59728424698712579</v>
      </c>
      <c r="I11" s="19">
        <v>0.59140071679237061</v>
      </c>
      <c r="J11" s="20">
        <v>0.58337258035089989</v>
      </c>
      <c r="K11" s="20">
        <v>0.58471060309114498</v>
      </c>
    </row>
    <row r="12" spans="2:13" ht="43.2" x14ac:dyDescent="0.3">
      <c r="B12" s="153" t="s">
        <v>78</v>
      </c>
      <c r="C12" s="154">
        <v>0</v>
      </c>
      <c r="D12" s="154">
        <v>0</v>
      </c>
      <c r="E12" s="154">
        <v>0</v>
      </c>
      <c r="F12" s="154">
        <v>0</v>
      </c>
      <c r="G12" s="154">
        <v>0</v>
      </c>
      <c r="H12" s="155">
        <v>0</v>
      </c>
      <c r="I12" s="19">
        <v>0</v>
      </c>
      <c r="J12" s="20">
        <v>0</v>
      </c>
      <c r="K12" s="20">
        <v>0</v>
      </c>
    </row>
    <row r="13" spans="2:13" ht="28.8" x14ac:dyDescent="0.3">
      <c r="B13" s="156" t="s">
        <v>79</v>
      </c>
      <c r="C13" s="154">
        <v>0.14734558270950698</v>
      </c>
      <c r="D13" s="154">
        <v>3.8078988171409617E-2</v>
      </c>
      <c r="E13" s="154">
        <v>9.0108129755706826E-2</v>
      </c>
      <c r="F13" s="154">
        <v>6.6584119989726145E-2</v>
      </c>
      <c r="G13" s="154">
        <v>8.4527126942573458E-2</v>
      </c>
      <c r="H13" s="155">
        <v>8.4527126942573458E-2</v>
      </c>
      <c r="I13" s="19">
        <v>8.5195179085249415E-2</v>
      </c>
      <c r="J13" s="20">
        <v>8.916061653099254E-2</v>
      </c>
      <c r="K13" s="20">
        <v>8.8499710290035366E-2</v>
      </c>
    </row>
    <row r="14" spans="2:13" ht="57.6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ht="28.8" x14ac:dyDescent="0.3">
      <c r="B15" s="157" t="s">
        <v>81</v>
      </c>
      <c r="C15" s="154">
        <v>1</v>
      </c>
      <c r="D15" s="154">
        <v>1</v>
      </c>
      <c r="E15" s="154">
        <v>0.99999999999999989</v>
      </c>
      <c r="F15" s="154">
        <v>1</v>
      </c>
      <c r="G15" s="158">
        <v>1</v>
      </c>
      <c r="H15" s="159">
        <v>1</v>
      </c>
      <c r="I15" s="19">
        <v>1.0000000000000002</v>
      </c>
      <c r="J15" s="19">
        <v>1.0000000000000002</v>
      </c>
      <c r="K15" s="19">
        <v>1</v>
      </c>
    </row>
    <row r="16" spans="2:13" ht="43.8" thickBot="1" x14ac:dyDescent="0.35">
      <c r="B16" s="160" t="s">
        <v>82</v>
      </c>
      <c r="C16" s="161">
        <v>0</v>
      </c>
      <c r="D16" s="161">
        <v>0</v>
      </c>
      <c r="E16" s="161">
        <v>0</v>
      </c>
      <c r="F16" s="161">
        <v>0</v>
      </c>
      <c r="G16" s="161">
        <v>0</v>
      </c>
      <c r="H16" s="162">
        <v>0</v>
      </c>
      <c r="I16" s="63">
        <v>0</v>
      </c>
      <c r="J16" s="63">
        <v>0</v>
      </c>
      <c r="K16" s="63">
        <v>0</v>
      </c>
      <c r="M16" s="143"/>
    </row>
    <row r="17" spans="1:13" x14ac:dyDescent="0.3">
      <c r="A17" s="216">
        <v>2023</v>
      </c>
      <c r="B17" s="64" t="s">
        <v>336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17"/>
      <c r="B18" s="67" t="s">
        <v>337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17"/>
      <c r="B19" s="69" t="s">
        <v>338</v>
      </c>
      <c r="C19" s="70">
        <v>0</v>
      </c>
      <c r="D19" s="70">
        <v>0</v>
      </c>
      <c r="E19" s="70">
        <v>0</v>
      </c>
      <c r="F19" s="70">
        <v>0</v>
      </c>
      <c r="G19" s="70">
        <v>0</v>
      </c>
      <c r="H19" s="109">
        <v>0</v>
      </c>
      <c r="I19" s="20">
        <v>0</v>
      </c>
      <c r="J19" s="110">
        <v>0</v>
      </c>
      <c r="K19" s="43"/>
    </row>
    <row r="20" spans="1:13" x14ac:dyDescent="0.3">
      <c r="A20" s="217">
        <v>2024</v>
      </c>
      <c r="B20" s="64" t="s">
        <v>336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17"/>
      <c r="B21" s="67" t="s">
        <v>337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18"/>
      <c r="B22" s="69" t="s">
        <v>338</v>
      </c>
      <c r="C22" s="70">
        <v>0</v>
      </c>
      <c r="D22" s="70">
        <v>0</v>
      </c>
      <c r="E22" s="70">
        <v>0</v>
      </c>
      <c r="F22" s="70">
        <v>0</v>
      </c>
      <c r="G22" s="70">
        <v>0</v>
      </c>
      <c r="H22" s="109">
        <v>0</v>
      </c>
      <c r="I22" s="20">
        <v>0</v>
      </c>
      <c r="J22" s="43"/>
      <c r="K22" s="110">
        <v>0</v>
      </c>
      <c r="L22" s="81"/>
    </row>
    <row r="23" spans="1:13" x14ac:dyDescent="0.3">
      <c r="A23" s="81">
        <v>0</v>
      </c>
      <c r="M23" s="81"/>
    </row>
    <row r="25" spans="1:13" x14ac:dyDescent="0.3">
      <c r="B25" s="52"/>
      <c r="D25" s="142"/>
      <c r="I25" s="81"/>
    </row>
    <row r="26" spans="1:13" x14ac:dyDescent="0.3"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XYZTU</vt:lpstr>
      <vt:lpstr>SPEC001</vt:lpstr>
      <vt:lpstr>SPEC002</vt:lpstr>
      <vt:lpstr>SPEC003</vt:lpstr>
      <vt:lpstr>SPEC004</vt:lpstr>
      <vt:lpstr>SPEC005</vt:lpstr>
      <vt:lpstr>RESUME</vt:lpstr>
      <vt:lpstr>CALCULATE</vt:lpstr>
      <vt:lpstr>CATEGORY SPESIFICATION</vt:lpstr>
      <vt:lpstr>HISTORY_UNDO</vt:lpstr>
      <vt:lpstr>SIMULATION_PROCESS</vt:lpstr>
      <vt:lpstr>RESUME (2)</vt:lpstr>
      <vt:lpstr>HISTORY_CHANGE</vt:lpstr>
      <vt:lpstr>Before Multiple_86264562</vt:lpstr>
      <vt:lpstr>Before Multiple_86376812</vt:lpstr>
      <vt:lpstr>Before Multiple_35387941</vt:lpstr>
      <vt:lpstr>Before Multiple_40177324</vt:lpstr>
      <vt:lpstr>CALCULATE!Print_Area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Hype AMD</dc:creator>
  <cp:lastModifiedBy>MyBook Hype AMD</cp:lastModifiedBy>
  <dcterms:created xsi:type="dcterms:W3CDTF">2015-06-05T18:17:20Z</dcterms:created>
  <dcterms:modified xsi:type="dcterms:W3CDTF">2025-06-16T04:12:36Z</dcterms:modified>
</cp:coreProperties>
</file>